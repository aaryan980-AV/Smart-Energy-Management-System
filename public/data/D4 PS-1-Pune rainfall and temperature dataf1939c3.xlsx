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ditya Dembla\Box Sync\PMC- Working team docs folder\Projects\IT Projects\Hackathon\Data Sets\Other data sets\"/>
    </mc:Choice>
  </mc:AlternateContent>
  <bookViews>
    <workbookView xWindow="240" yWindow="80" windowWidth="20730" windowHeight="9980" activeTab="7"/>
  </bookViews>
  <sheets>
    <sheet name="Pro" sheetId="4" r:id="rId1"/>
    <sheet name="Data" sheetId="1" r:id="rId2"/>
    <sheet name="Final" sheetId="2" r:id="rId3"/>
    <sheet name="Final (2)" sheetId="5" r:id="rId4"/>
    <sheet name="graphs2014-15" sheetId="6" r:id="rId5"/>
    <sheet name="Sheet2" sheetId="7" r:id="rId6"/>
    <sheet name="Sheet3" sheetId="8" r:id="rId7"/>
    <sheet name="garphs 2015-16" sheetId="9" r:id="rId8"/>
  </sheets>
  <definedNames>
    <definedName name="_xlnm._FilterDatabase" localSheetId="2" hidden="1">Final!$B$6:$AW$37</definedName>
    <definedName name="_xlnm._FilterDatabase" localSheetId="3" hidden="1">'Final (2)'!$B$5:$AK$37</definedName>
    <definedName name="_xlnm.Print_Titles" localSheetId="2">Final!$A:$A,Final!$4:$6</definedName>
    <definedName name="_xlnm.Print_Titles" localSheetId="3">'Final (2)'!$A:$A,'Final (2)'!$4:$5</definedName>
  </definedNames>
  <calcPr calcId="171027"/>
  <pivotCaches>
    <pivotCache cacheId="0" r:id="rId9"/>
  </pivotCaches>
</workbook>
</file>

<file path=xl/calcChain.xml><?xml version="1.0" encoding="utf-8"?>
<calcChain xmlns="http://schemas.openxmlformats.org/spreadsheetml/2006/main">
  <c r="AC128" i="8" l="1"/>
  <c r="AA128" i="8"/>
  <c r="Y128" i="8"/>
  <c r="E39" i="8"/>
  <c r="J41" i="5"/>
  <c r="I42" i="5"/>
  <c r="I40" i="5"/>
  <c r="E103" i="8"/>
  <c r="J167" i="8"/>
  <c r="N167" i="8"/>
  <c r="R167" i="8"/>
  <c r="Q167" i="8"/>
  <c r="M167" i="8"/>
  <c r="I167" i="8"/>
  <c r="F167" i="8"/>
  <c r="E167" i="8"/>
  <c r="R103" i="8"/>
  <c r="Q103" i="8"/>
  <c r="N103" i="8"/>
  <c r="M103" i="8"/>
  <c r="J103" i="8"/>
  <c r="I103" i="8"/>
  <c r="F103" i="8"/>
  <c r="R39" i="8"/>
  <c r="Q39" i="8"/>
  <c r="N39" i="8"/>
  <c r="M39" i="8"/>
  <c r="J39" i="8"/>
  <c r="I39" i="8"/>
  <c r="F39" i="8"/>
  <c r="S39" i="8"/>
  <c r="O39" i="8"/>
  <c r="K35" i="8"/>
  <c r="K39" i="8" s="1"/>
  <c r="G39" i="8"/>
  <c r="S103" i="8"/>
  <c r="O103" i="8"/>
  <c r="K103" i="8"/>
  <c r="G103" i="8"/>
  <c r="G167" i="8"/>
  <c r="S167" i="8"/>
  <c r="O167" i="8"/>
  <c r="K167" i="8"/>
  <c r="N52" i="6"/>
  <c r="Q52" i="6"/>
  <c r="T52" i="6"/>
  <c r="W52" i="6"/>
  <c r="Z52" i="6"/>
  <c r="AC52" i="6"/>
  <c r="AF52" i="6"/>
  <c r="AJ52" i="6"/>
  <c r="AL52" i="6"/>
  <c r="AO52" i="6"/>
  <c r="AR52" i="6"/>
  <c r="AR51" i="6"/>
  <c r="AO51" i="6"/>
  <c r="AL51" i="6"/>
  <c r="AJ51" i="6"/>
  <c r="AF51" i="6"/>
  <c r="AC51" i="6"/>
  <c r="Z51" i="6"/>
  <c r="W51" i="6"/>
  <c r="T51" i="6"/>
  <c r="Q51" i="6"/>
  <c r="N51" i="6"/>
  <c r="K52" i="6"/>
  <c r="K51" i="6"/>
  <c r="Z36" i="6"/>
  <c r="AC36" i="6"/>
  <c r="AF36" i="6"/>
  <c r="AI36" i="6"/>
  <c r="AL36" i="6"/>
  <c r="AL35" i="6"/>
  <c r="AI35" i="6"/>
  <c r="AF35" i="6"/>
  <c r="AC35" i="6"/>
  <c r="Z35" i="6"/>
  <c r="N36" i="6"/>
  <c r="Q36" i="6"/>
  <c r="T36" i="6"/>
  <c r="W36" i="6"/>
  <c r="K36" i="6"/>
  <c r="W35" i="6"/>
  <c r="T35" i="6"/>
  <c r="Q35" i="6"/>
  <c r="N35" i="6"/>
  <c r="K35" i="6"/>
  <c r="AC20" i="6"/>
  <c r="AF20" i="6"/>
  <c r="AI20" i="6"/>
  <c r="AL20" i="6"/>
  <c r="AL19" i="6"/>
  <c r="AI19" i="6"/>
  <c r="AF19" i="6"/>
  <c r="AC19" i="6"/>
  <c r="Z20" i="6"/>
  <c r="Z19" i="6"/>
  <c r="W20" i="6"/>
  <c r="T20" i="6"/>
  <c r="Q20" i="6"/>
  <c r="N20" i="6"/>
  <c r="K20" i="6"/>
  <c r="W19" i="6"/>
  <c r="T19" i="6"/>
  <c r="Q19" i="6"/>
  <c r="N19" i="6"/>
  <c r="K19" i="6"/>
  <c r="AD466" i="7"/>
  <c r="AI104" i="7"/>
  <c r="AI466" i="7" s="1"/>
  <c r="AS85" i="7"/>
  <c r="AR85" i="7"/>
  <c r="AQ85" i="7"/>
  <c r="AP85" i="7"/>
  <c r="AO85" i="7"/>
  <c r="AN85" i="7"/>
  <c r="AM85" i="7"/>
  <c r="AL85" i="7"/>
  <c r="AK85" i="7"/>
  <c r="AJ85" i="7"/>
  <c r="AI85" i="7"/>
  <c r="AH85" i="7"/>
  <c r="AG85" i="7"/>
  <c r="AF85" i="7"/>
  <c r="AE85" i="7"/>
  <c r="AD85" i="7"/>
  <c r="AC85" i="7"/>
  <c r="AB85" i="7"/>
  <c r="AA85" i="7"/>
  <c r="Z85" i="7"/>
  <c r="Y85" i="7"/>
  <c r="X85" i="7"/>
  <c r="W85" i="7"/>
  <c r="V85" i="7"/>
  <c r="U85" i="7"/>
  <c r="T85" i="7"/>
  <c r="S85" i="7"/>
  <c r="Q85" i="7"/>
  <c r="P85" i="7"/>
  <c r="O85" i="7"/>
  <c r="N85" i="7"/>
  <c r="M85" i="7"/>
  <c r="L85" i="7"/>
  <c r="K85" i="7"/>
  <c r="J85" i="7"/>
  <c r="R83" i="7"/>
  <c r="R85" i="7" s="1"/>
  <c r="AT81" i="7"/>
  <c r="AT80" i="7"/>
  <c r="AT79" i="7"/>
  <c r="AT78" i="7"/>
  <c r="AT77" i="7"/>
  <c r="AT76" i="7"/>
  <c r="AT75" i="7"/>
  <c r="AT74" i="7"/>
  <c r="AT73" i="7"/>
  <c r="AT72" i="7"/>
  <c r="AT71" i="7"/>
  <c r="AT70" i="7"/>
  <c r="AT69" i="7"/>
  <c r="AT68" i="7"/>
  <c r="AT67" i="7"/>
  <c r="AT66" i="7"/>
  <c r="AT65" i="7"/>
  <c r="AT64" i="7"/>
  <c r="AT63" i="7"/>
  <c r="AT62" i="7"/>
  <c r="AT61" i="7"/>
  <c r="AT60" i="7"/>
  <c r="AT59" i="7"/>
  <c r="AT58" i="7"/>
  <c r="AT57" i="7"/>
  <c r="AT56" i="7"/>
  <c r="AT55" i="7"/>
  <c r="AT54" i="7"/>
  <c r="AT53" i="7"/>
  <c r="AT52" i="7"/>
  <c r="AT51" i="7"/>
  <c r="AS41" i="7"/>
  <c r="AR40" i="7"/>
  <c r="AQ40" i="7"/>
  <c r="AP40" i="7"/>
  <c r="AO40" i="7"/>
  <c r="AN40" i="7"/>
  <c r="AM40" i="7"/>
  <c r="AL40" i="7"/>
  <c r="AK40" i="7"/>
  <c r="AH40" i="7"/>
  <c r="AG40" i="7"/>
  <c r="AF40" i="7"/>
  <c r="AE40" i="7"/>
  <c r="AD40" i="7"/>
  <c r="AC40" i="7"/>
  <c r="AB40" i="7"/>
  <c r="Z40" i="7"/>
  <c r="X40" i="7"/>
  <c r="W40" i="7"/>
  <c r="V40" i="7"/>
  <c r="T40" i="7"/>
  <c r="S40" i="7"/>
  <c r="R40" i="7"/>
  <c r="Q40" i="7"/>
  <c r="P40" i="7"/>
  <c r="O40" i="7"/>
  <c r="N40" i="7"/>
  <c r="M40" i="7"/>
  <c r="L40" i="7"/>
  <c r="K40" i="7"/>
  <c r="J40" i="7"/>
  <c r="AJ39" i="7"/>
  <c r="AJ40" i="7" s="1"/>
  <c r="Y39" i="7"/>
  <c r="Y40" i="7" s="1"/>
  <c r="U39" i="7"/>
  <c r="U40" i="7" s="1"/>
  <c r="AT85" i="7" l="1"/>
  <c r="D43" i="5"/>
  <c r="G43" i="5"/>
  <c r="J43" i="5"/>
  <c r="M43" i="5"/>
  <c r="P43" i="5"/>
  <c r="S43" i="5"/>
  <c r="V43" i="5"/>
  <c r="Y43" i="5"/>
  <c r="AB43" i="5"/>
  <c r="AE43" i="5"/>
  <c r="AH43" i="5"/>
  <c r="AK43" i="5"/>
  <c r="AJ42" i="5"/>
  <c r="AG42" i="5"/>
  <c r="AD42" i="5"/>
  <c r="AA42" i="5"/>
  <c r="X42" i="5"/>
  <c r="U42" i="5"/>
  <c r="R42" i="5"/>
  <c r="O42" i="5"/>
  <c r="L42" i="5"/>
  <c r="F42" i="5"/>
  <c r="C42" i="5"/>
  <c r="AK41" i="5"/>
  <c r="AH41" i="5"/>
  <c r="AE41" i="5"/>
  <c r="AB41" i="5"/>
  <c r="Y41" i="5"/>
  <c r="V41" i="5"/>
  <c r="S41" i="5"/>
  <c r="P41" i="5"/>
  <c r="M41" i="5"/>
  <c r="G41" i="5"/>
  <c r="D41" i="5"/>
  <c r="AJ40" i="5"/>
  <c r="AG40" i="5"/>
  <c r="AD40" i="5"/>
  <c r="AA40" i="5"/>
  <c r="X40" i="5"/>
  <c r="U40" i="5"/>
  <c r="R40" i="5"/>
  <c r="O40" i="5"/>
  <c r="L40" i="5"/>
  <c r="F40" i="5"/>
  <c r="C40" i="5"/>
  <c r="AI38" i="5"/>
  <c r="AF38" i="5"/>
  <c r="AC38" i="5"/>
  <c r="Z38" i="5"/>
  <c r="W38" i="5"/>
  <c r="Q38" i="5"/>
  <c r="N38" i="5"/>
  <c r="K38" i="5"/>
  <c r="H38" i="5"/>
  <c r="B38" i="5"/>
  <c r="T38" i="5"/>
  <c r="H20" i="6"/>
  <c r="E20" i="6"/>
  <c r="AL43" i="5" l="1"/>
  <c r="AL41" i="5"/>
  <c r="AL42" i="5"/>
  <c r="T39" i="5"/>
  <c r="W39" i="5"/>
  <c r="Z39" i="5"/>
  <c r="AC39" i="5"/>
  <c r="AF39" i="5"/>
  <c r="AI39" i="5"/>
  <c r="Q39" i="5"/>
  <c r="N39" i="5"/>
  <c r="K39" i="5"/>
  <c r="H39" i="5"/>
  <c r="E37" i="5"/>
  <c r="E38" i="5" s="1"/>
  <c r="AL38" i="5" s="1"/>
  <c r="AE368" i="1"/>
  <c r="AE2" i="1"/>
  <c r="AE3" i="1"/>
  <c r="AE369" i="1"/>
  <c r="AE4" i="1"/>
  <c r="AE370" i="1"/>
  <c r="AE5" i="1"/>
  <c r="AE371" i="1"/>
  <c r="AE6" i="1"/>
  <c r="AE372" i="1"/>
  <c r="AE7" i="1"/>
  <c r="AE373" i="1"/>
  <c r="AE374" i="1"/>
  <c r="AE8" i="1"/>
  <c r="AE9" i="1"/>
  <c r="AE375" i="1"/>
  <c r="AE10" i="1"/>
  <c r="AE376" i="1"/>
  <c r="AE11" i="1"/>
  <c r="AE377" i="1"/>
  <c r="AE12" i="1"/>
  <c r="AE378" i="1"/>
  <c r="AE379" i="1"/>
  <c r="AE13" i="1"/>
  <c r="AE380" i="1"/>
  <c r="AE14" i="1"/>
  <c r="AE15" i="1"/>
  <c r="AE381" i="1"/>
  <c r="AE16" i="1"/>
  <c r="AE382" i="1"/>
  <c r="AE17" i="1"/>
  <c r="AE383" i="1"/>
  <c r="AE18" i="1"/>
  <c r="AE384" i="1"/>
  <c r="AE19" i="1"/>
  <c r="AE385" i="1"/>
  <c r="AE386" i="1"/>
  <c r="AE20" i="1"/>
  <c r="AE21" i="1"/>
  <c r="AE387" i="1"/>
  <c r="AE22" i="1"/>
  <c r="AE388" i="1"/>
  <c r="AE23" i="1"/>
  <c r="AE389" i="1"/>
  <c r="AE24" i="1"/>
  <c r="AE390" i="1"/>
  <c r="AE25" i="1"/>
  <c r="AE391" i="1"/>
  <c r="AE26" i="1"/>
  <c r="AE392" i="1"/>
  <c r="AE27" i="1"/>
  <c r="AE393" i="1"/>
  <c r="AE394" i="1"/>
  <c r="AE28" i="1"/>
  <c r="AE395" i="1"/>
  <c r="AE29" i="1"/>
  <c r="AE396" i="1"/>
  <c r="AE30" i="1"/>
  <c r="AE397" i="1"/>
  <c r="AE31" i="1"/>
  <c r="AE398" i="1"/>
  <c r="AE32" i="1"/>
  <c r="AE399" i="1"/>
  <c r="AE33" i="1"/>
  <c r="AE400" i="1"/>
  <c r="AE34" i="1"/>
  <c r="AE35" i="1"/>
  <c r="AE401" i="1"/>
  <c r="AE36" i="1"/>
  <c r="AE402" i="1"/>
  <c r="AE37" i="1"/>
  <c r="AE403" i="1"/>
  <c r="AE38" i="1"/>
  <c r="AE404" i="1"/>
  <c r="AE39" i="1"/>
  <c r="AE405" i="1"/>
  <c r="AE40" i="1"/>
  <c r="AE406" i="1"/>
  <c r="AE41" i="1"/>
  <c r="AE407" i="1"/>
  <c r="AE42" i="1"/>
  <c r="AE408" i="1"/>
  <c r="AE43" i="1"/>
  <c r="AE409" i="1"/>
  <c r="AE44" i="1"/>
  <c r="AE410" i="1"/>
  <c r="AE45" i="1"/>
  <c r="AE411" i="1"/>
  <c r="AE46" i="1"/>
  <c r="AE412" i="1"/>
  <c r="AE413" i="1"/>
  <c r="AE47" i="1"/>
  <c r="AE48" i="1"/>
  <c r="AE414" i="1"/>
  <c r="AE415" i="1"/>
  <c r="AE49" i="1"/>
  <c r="AE50" i="1"/>
  <c r="AE416" i="1"/>
  <c r="AE51" i="1"/>
  <c r="AE417" i="1"/>
  <c r="AE52" i="1"/>
  <c r="AE418" i="1"/>
  <c r="AE53" i="1"/>
  <c r="AE419" i="1"/>
  <c r="AE54" i="1"/>
  <c r="AE420" i="1"/>
  <c r="AE55" i="1"/>
  <c r="AE421" i="1"/>
  <c r="AE56" i="1"/>
  <c r="AE422" i="1"/>
  <c r="AE423" i="1"/>
  <c r="AE57" i="1"/>
  <c r="AE58" i="1"/>
  <c r="AE424" i="1"/>
  <c r="AE59" i="1"/>
  <c r="AE425" i="1"/>
  <c r="AE426" i="1"/>
  <c r="AE60" i="1"/>
  <c r="AE61" i="1"/>
  <c r="AE427" i="1"/>
  <c r="AE62" i="1"/>
  <c r="AE428" i="1"/>
  <c r="AE429" i="1"/>
  <c r="AE63" i="1"/>
  <c r="AE430" i="1"/>
  <c r="AE64" i="1"/>
  <c r="AE431" i="1"/>
  <c r="AE65" i="1"/>
  <c r="AE66" i="1"/>
  <c r="AE432" i="1"/>
  <c r="AE433" i="1"/>
  <c r="AE67" i="1"/>
  <c r="AE434" i="1"/>
  <c r="AE68" i="1"/>
  <c r="AE69" i="1"/>
  <c r="AE435" i="1"/>
  <c r="AE436" i="1"/>
  <c r="AE70" i="1"/>
  <c r="AE71" i="1"/>
  <c r="AE437" i="1"/>
  <c r="AE72" i="1"/>
  <c r="AE438" i="1"/>
  <c r="AE439" i="1"/>
  <c r="AE73" i="1"/>
  <c r="AE74" i="1"/>
  <c r="AE440" i="1"/>
  <c r="AE75" i="1"/>
  <c r="AE441" i="1"/>
  <c r="AE442" i="1"/>
  <c r="AE76" i="1"/>
  <c r="AE77" i="1"/>
  <c r="AE443" i="1"/>
  <c r="AE444" i="1"/>
  <c r="AE78" i="1"/>
  <c r="AE79" i="1"/>
  <c r="AE445" i="1"/>
  <c r="AE446" i="1"/>
  <c r="AE80" i="1"/>
  <c r="AE81" i="1"/>
  <c r="AE447" i="1"/>
  <c r="AE448" i="1"/>
  <c r="AE82" i="1"/>
  <c r="AE449" i="1"/>
  <c r="AE83" i="1"/>
  <c r="AE84" i="1"/>
  <c r="AE450" i="1"/>
  <c r="AE451" i="1"/>
  <c r="AE85" i="1"/>
  <c r="AE452" i="1"/>
  <c r="AE86" i="1"/>
  <c r="AE87" i="1"/>
  <c r="AE453" i="1"/>
  <c r="AE88" i="1"/>
  <c r="AE454" i="1"/>
  <c r="AE455" i="1"/>
  <c r="AE89" i="1"/>
  <c r="AE456" i="1"/>
  <c r="AE90" i="1"/>
  <c r="AE91" i="1"/>
  <c r="AE457" i="1"/>
  <c r="AE92" i="1"/>
  <c r="AE458" i="1"/>
  <c r="AE459" i="1"/>
  <c r="AE93" i="1"/>
  <c r="AE460" i="1"/>
  <c r="AE94" i="1"/>
  <c r="AE461" i="1"/>
  <c r="AE95" i="1"/>
  <c r="AE96" i="1"/>
  <c r="AE462" i="1"/>
  <c r="AE463" i="1"/>
  <c r="AE97" i="1"/>
  <c r="AE98" i="1"/>
  <c r="AE464" i="1"/>
  <c r="AE99" i="1"/>
  <c r="AE465" i="1"/>
  <c r="AE100" i="1"/>
  <c r="AE466" i="1"/>
  <c r="AE467" i="1"/>
  <c r="AE101" i="1"/>
  <c r="AE102" i="1"/>
  <c r="AE468" i="1"/>
  <c r="AE469" i="1"/>
  <c r="AE103" i="1"/>
  <c r="AE470" i="1"/>
  <c r="AE104" i="1"/>
  <c r="AE471" i="1"/>
  <c r="AE105" i="1"/>
  <c r="AE106" i="1"/>
  <c r="AE472" i="1"/>
  <c r="AE473" i="1"/>
  <c r="AE107" i="1"/>
  <c r="AE108" i="1"/>
  <c r="AE474" i="1"/>
  <c r="AE109" i="1"/>
  <c r="AE475" i="1"/>
  <c r="AE476" i="1"/>
  <c r="AE110" i="1"/>
  <c r="AE111" i="1"/>
  <c r="AE477" i="1"/>
  <c r="AE112" i="1"/>
  <c r="AE478" i="1"/>
  <c r="AE113" i="1"/>
  <c r="AE479" i="1"/>
  <c r="AE480" i="1"/>
  <c r="AE114" i="1"/>
  <c r="AE115" i="1"/>
  <c r="AE481" i="1"/>
  <c r="AE482" i="1"/>
  <c r="AE116" i="1"/>
  <c r="AE117" i="1"/>
  <c r="AE483" i="1"/>
  <c r="AE118" i="1"/>
  <c r="AE484" i="1"/>
  <c r="AE485" i="1"/>
  <c r="AE119" i="1"/>
  <c r="AE120" i="1"/>
  <c r="AE486" i="1"/>
  <c r="AE487" i="1"/>
  <c r="AE121" i="1"/>
  <c r="AE488" i="1"/>
  <c r="AE122" i="1"/>
  <c r="AE123" i="1"/>
  <c r="AE489" i="1"/>
  <c r="AE490" i="1"/>
  <c r="AE124" i="1"/>
  <c r="AE491" i="1"/>
  <c r="AE125" i="1"/>
  <c r="AE492" i="1"/>
  <c r="AE126" i="1"/>
  <c r="AE493" i="1"/>
  <c r="AE127" i="1"/>
  <c r="AE494" i="1"/>
  <c r="AE128" i="1"/>
  <c r="AE129" i="1"/>
  <c r="AE495" i="1"/>
  <c r="AE130" i="1"/>
  <c r="AE496" i="1"/>
  <c r="AE497" i="1"/>
  <c r="AE131" i="1"/>
  <c r="AE132" i="1"/>
  <c r="AE498" i="1"/>
  <c r="AE499" i="1"/>
  <c r="AE133" i="1"/>
  <c r="AE134" i="1"/>
  <c r="AE500" i="1"/>
  <c r="AE501" i="1"/>
  <c r="AE135" i="1"/>
  <c r="AE136" i="1"/>
  <c r="AE502" i="1"/>
  <c r="AE137" i="1"/>
  <c r="AE503" i="1"/>
  <c r="AE504" i="1"/>
  <c r="AE138" i="1"/>
  <c r="AE139" i="1"/>
  <c r="AE505" i="1"/>
  <c r="AE506" i="1"/>
  <c r="AE140" i="1"/>
  <c r="AE507" i="1"/>
  <c r="AE141" i="1"/>
  <c r="AE508" i="1"/>
  <c r="AE142" i="1"/>
  <c r="AE509" i="1"/>
  <c r="AE143" i="1"/>
  <c r="AE144" i="1"/>
  <c r="AE510" i="1"/>
  <c r="AE145" i="1"/>
  <c r="AE511" i="1"/>
  <c r="AE512" i="1"/>
  <c r="AE146" i="1"/>
  <c r="AE147" i="1"/>
  <c r="AE513" i="1"/>
  <c r="AE514" i="1"/>
  <c r="AE148" i="1"/>
  <c r="AE515" i="1"/>
  <c r="AE149" i="1"/>
  <c r="AE516" i="1"/>
  <c r="AE150" i="1"/>
  <c r="AE517" i="1"/>
  <c r="AE151" i="1"/>
  <c r="AE152" i="1"/>
  <c r="AE518" i="1"/>
  <c r="AE519" i="1"/>
  <c r="AE153" i="1"/>
  <c r="AE154" i="1"/>
  <c r="AE520" i="1"/>
  <c r="AE521" i="1"/>
  <c r="AE155" i="1"/>
  <c r="AE156" i="1"/>
  <c r="AE522" i="1"/>
  <c r="AE523" i="1"/>
  <c r="AE157" i="1"/>
  <c r="AE158" i="1"/>
  <c r="AE524" i="1"/>
  <c r="AE159" i="1"/>
  <c r="AE525" i="1"/>
  <c r="AE526" i="1"/>
  <c r="AE160" i="1"/>
  <c r="AE161" i="1"/>
  <c r="AE527" i="1"/>
  <c r="AE162" i="1"/>
  <c r="AE528" i="1"/>
  <c r="AE529" i="1"/>
  <c r="AE163" i="1"/>
  <c r="AE164" i="1"/>
  <c r="AE530" i="1"/>
  <c r="AE165" i="1"/>
  <c r="AE531" i="1"/>
  <c r="AE532" i="1"/>
  <c r="AE166" i="1"/>
  <c r="AE167" i="1"/>
  <c r="AE533" i="1"/>
  <c r="AE168" i="1"/>
  <c r="AE534" i="1"/>
  <c r="AE535" i="1"/>
  <c r="AE169" i="1"/>
  <c r="AE536" i="1"/>
  <c r="AE170" i="1"/>
  <c r="AE537" i="1"/>
  <c r="AE171" i="1"/>
  <c r="AE538" i="1"/>
  <c r="AE172" i="1"/>
  <c r="AE173" i="1"/>
  <c r="AE539" i="1"/>
  <c r="AE174" i="1"/>
  <c r="AE540" i="1"/>
  <c r="AE175" i="1"/>
  <c r="AE541" i="1"/>
  <c r="AE176" i="1"/>
  <c r="AE542" i="1"/>
  <c r="AE543" i="1"/>
  <c r="AE177" i="1"/>
  <c r="AE544" i="1"/>
  <c r="AE178" i="1"/>
  <c r="AE545" i="1"/>
  <c r="AE179" i="1"/>
  <c r="AE180" i="1"/>
  <c r="AE546" i="1"/>
  <c r="AE547" i="1"/>
  <c r="AE181" i="1"/>
  <c r="AE548" i="1"/>
  <c r="AE182" i="1"/>
  <c r="AE549" i="1"/>
  <c r="AE183" i="1"/>
  <c r="AE550" i="1"/>
  <c r="AE184" i="1"/>
  <c r="AE185" i="1"/>
  <c r="AE551" i="1"/>
  <c r="AE186" i="1"/>
  <c r="AE552" i="1"/>
  <c r="AE187" i="1"/>
  <c r="AE553" i="1"/>
  <c r="AE188" i="1"/>
  <c r="AE554" i="1"/>
  <c r="AE189" i="1"/>
  <c r="AE555" i="1"/>
  <c r="AE190" i="1"/>
  <c r="AE556" i="1"/>
  <c r="AE557" i="1"/>
  <c r="AE191" i="1"/>
  <c r="AE558" i="1"/>
  <c r="AE192" i="1"/>
  <c r="AE193" i="1"/>
  <c r="AE559" i="1"/>
  <c r="AE194" i="1"/>
  <c r="AE560" i="1"/>
  <c r="AE561" i="1"/>
  <c r="AE195" i="1"/>
  <c r="AE562" i="1"/>
  <c r="AE196" i="1"/>
  <c r="AE563" i="1"/>
  <c r="AE197" i="1"/>
  <c r="AE198" i="1"/>
  <c r="AE564" i="1"/>
  <c r="AE565" i="1"/>
  <c r="AE199" i="1"/>
  <c r="AE200" i="1"/>
  <c r="AE566" i="1"/>
  <c r="AE201" i="1"/>
  <c r="AE567" i="1"/>
  <c r="AE568" i="1"/>
  <c r="AE202" i="1"/>
  <c r="AE569" i="1"/>
  <c r="AE203" i="1"/>
  <c r="AE570" i="1"/>
  <c r="AE204" i="1"/>
  <c r="AE571" i="1"/>
  <c r="AE205" i="1"/>
  <c r="AE572" i="1"/>
  <c r="AE206" i="1"/>
  <c r="AE573" i="1"/>
  <c r="AE207" i="1"/>
  <c r="AE574" i="1"/>
  <c r="AE208" i="1"/>
  <c r="AE209" i="1"/>
  <c r="AE575" i="1"/>
  <c r="AE576" i="1"/>
  <c r="AE210" i="1"/>
  <c r="AE211" i="1"/>
  <c r="AE577" i="1"/>
  <c r="AE578" i="1"/>
  <c r="AE212" i="1"/>
  <c r="AE579" i="1"/>
  <c r="AE213" i="1"/>
  <c r="AE214" i="1"/>
  <c r="AE580" i="1"/>
  <c r="AE215" i="1"/>
  <c r="AE581" i="1"/>
  <c r="AE216" i="1"/>
  <c r="AE582" i="1"/>
  <c r="AE217" i="1"/>
  <c r="AE583" i="1"/>
  <c r="AE584" i="1"/>
  <c r="AE218" i="1"/>
  <c r="AE585" i="1"/>
  <c r="AE219" i="1"/>
  <c r="AE220" i="1"/>
  <c r="AE586" i="1"/>
  <c r="AE221" i="1"/>
  <c r="AE587" i="1"/>
  <c r="AE588" i="1"/>
  <c r="AE222" i="1"/>
  <c r="AE223" i="1"/>
  <c r="AE589" i="1"/>
  <c r="AE224" i="1"/>
  <c r="AE590" i="1"/>
  <c r="AE225" i="1"/>
  <c r="AE591" i="1"/>
  <c r="AE592" i="1"/>
  <c r="AE226" i="1"/>
  <c r="AE227" i="1"/>
  <c r="AE593" i="1"/>
  <c r="AE594" i="1"/>
  <c r="AE228" i="1"/>
  <c r="AE595" i="1"/>
  <c r="AE229" i="1"/>
  <c r="AE230" i="1"/>
  <c r="AE596" i="1"/>
  <c r="AE231" i="1"/>
  <c r="AE597" i="1"/>
  <c r="AE232" i="1"/>
  <c r="AE598" i="1"/>
  <c r="AE599" i="1"/>
  <c r="AE233" i="1"/>
  <c r="AE234" i="1"/>
  <c r="AE600" i="1"/>
  <c r="AE235" i="1"/>
  <c r="AE601" i="1"/>
  <c r="AE236" i="1"/>
  <c r="AE602" i="1"/>
  <c r="AE603" i="1"/>
  <c r="AE237" i="1"/>
  <c r="AE604" i="1"/>
  <c r="AE238" i="1"/>
  <c r="AE605" i="1"/>
  <c r="AE239" i="1"/>
  <c r="AE240" i="1"/>
  <c r="AE606" i="1"/>
  <c r="AE607" i="1"/>
  <c r="AE241" i="1"/>
  <c r="AE242" i="1"/>
  <c r="AE608" i="1"/>
  <c r="AE243" i="1"/>
  <c r="AE609" i="1"/>
  <c r="AE244" i="1"/>
  <c r="AE610" i="1"/>
  <c r="AE611" i="1"/>
  <c r="AE245" i="1"/>
  <c r="AE246" i="1"/>
  <c r="AE612" i="1"/>
  <c r="AE613" i="1"/>
  <c r="AE247" i="1"/>
  <c r="AE614" i="1"/>
  <c r="AE248" i="1"/>
  <c r="AE615" i="1"/>
  <c r="AE249" i="1"/>
  <c r="AE250" i="1"/>
  <c r="AE616" i="1"/>
  <c r="AE251" i="1"/>
  <c r="AE617" i="1"/>
  <c r="AE252" i="1"/>
  <c r="AE618" i="1"/>
  <c r="AE253" i="1"/>
  <c r="AE619" i="1"/>
  <c r="AE620" i="1"/>
  <c r="AE254" i="1"/>
  <c r="AE621" i="1"/>
  <c r="AE255" i="1"/>
  <c r="AE256" i="1"/>
  <c r="AE622" i="1"/>
  <c r="AE257" i="1"/>
  <c r="AE623" i="1"/>
  <c r="AE258" i="1"/>
  <c r="AE624" i="1"/>
  <c r="AE259" i="1"/>
  <c r="AE625" i="1"/>
  <c r="AE260" i="1"/>
  <c r="AE626" i="1"/>
  <c r="AE261" i="1"/>
  <c r="AE627" i="1"/>
  <c r="AE628" i="1"/>
  <c r="AE262" i="1"/>
  <c r="AE263" i="1"/>
  <c r="AE629" i="1"/>
  <c r="AE264" i="1"/>
  <c r="AE630" i="1"/>
  <c r="AE265" i="1"/>
  <c r="AE631" i="1"/>
  <c r="AE632" i="1"/>
  <c r="AE266" i="1"/>
  <c r="AE633" i="1"/>
  <c r="AE267" i="1"/>
  <c r="AE634" i="1"/>
  <c r="AE268" i="1"/>
  <c r="AE635" i="1"/>
  <c r="AE269" i="1"/>
  <c r="AE636" i="1"/>
  <c r="AE270" i="1"/>
  <c r="AE271" i="1"/>
  <c r="AE637" i="1"/>
  <c r="AE638" i="1"/>
  <c r="AE272" i="1"/>
  <c r="AE639" i="1"/>
  <c r="AE273" i="1"/>
  <c r="AE274" i="1"/>
  <c r="AE640" i="1"/>
  <c r="AE275" i="1"/>
  <c r="AE641" i="1"/>
  <c r="AE642" i="1"/>
  <c r="AE276" i="1"/>
  <c r="AE277" i="1"/>
  <c r="AE643" i="1"/>
  <c r="AE644" i="1"/>
  <c r="AE278" i="1"/>
  <c r="AE645" i="1"/>
  <c r="AE279" i="1"/>
  <c r="AE280" i="1"/>
  <c r="AE646" i="1"/>
  <c r="AE281" i="1"/>
  <c r="AE647" i="1"/>
  <c r="AE282" i="1"/>
  <c r="AE648" i="1"/>
  <c r="AE283" i="1"/>
  <c r="AE649" i="1"/>
  <c r="AE284" i="1"/>
  <c r="AE650" i="1"/>
  <c r="AE651" i="1"/>
  <c r="AE285" i="1"/>
  <c r="AE286" i="1"/>
  <c r="AE652" i="1"/>
  <c r="AE287" i="1"/>
  <c r="AE653" i="1"/>
  <c r="AE288" i="1"/>
  <c r="AE654" i="1"/>
  <c r="AE289" i="1"/>
  <c r="AE655" i="1"/>
  <c r="AE656" i="1"/>
  <c r="AE290" i="1"/>
  <c r="AE291" i="1"/>
  <c r="AE657" i="1"/>
  <c r="AE292" i="1"/>
  <c r="AE658" i="1"/>
  <c r="AE293" i="1"/>
  <c r="AE659" i="1"/>
  <c r="AE660" i="1"/>
  <c r="AE294" i="1"/>
  <c r="AE661" i="1"/>
  <c r="AE295" i="1"/>
  <c r="AE296" i="1"/>
  <c r="AE662" i="1"/>
  <c r="AE297" i="1"/>
  <c r="AE663" i="1"/>
  <c r="AE664" i="1"/>
  <c r="AE298" i="1"/>
  <c r="AE299" i="1"/>
  <c r="AE665" i="1"/>
  <c r="AE666" i="1"/>
  <c r="AE300" i="1"/>
  <c r="AE667" i="1"/>
  <c r="AE301" i="1"/>
  <c r="AE668" i="1"/>
  <c r="AE302" i="1"/>
  <c r="AE303" i="1"/>
  <c r="AE669" i="1"/>
  <c r="AE670" i="1"/>
  <c r="AE304" i="1"/>
  <c r="AE305" i="1"/>
  <c r="AE671" i="1"/>
  <c r="AE306" i="1"/>
  <c r="AE672" i="1"/>
  <c r="AE307" i="1"/>
  <c r="AE673" i="1"/>
  <c r="AE674" i="1"/>
  <c r="AE308" i="1"/>
  <c r="AE309" i="1"/>
  <c r="AE675" i="1"/>
  <c r="AE676" i="1"/>
  <c r="AE310" i="1"/>
  <c r="AE677" i="1"/>
  <c r="AE311" i="1"/>
  <c r="AE678" i="1"/>
  <c r="AE312" i="1"/>
  <c r="AE679" i="1"/>
  <c r="AE313" i="1"/>
  <c r="AE314" i="1"/>
  <c r="AE680" i="1"/>
  <c r="AE315" i="1"/>
  <c r="AE681" i="1"/>
  <c r="AE682" i="1"/>
  <c r="AE316" i="1"/>
  <c r="AE683" i="1"/>
  <c r="AE317" i="1"/>
  <c r="AE684" i="1"/>
  <c r="AE318" i="1"/>
  <c r="AE685" i="1"/>
  <c r="AE319" i="1"/>
  <c r="AE320" i="1"/>
  <c r="AE686" i="1"/>
  <c r="AE687" i="1"/>
  <c r="AE321" i="1"/>
  <c r="AE688" i="1"/>
  <c r="AE322" i="1"/>
  <c r="AE689" i="1"/>
  <c r="AE323" i="1"/>
  <c r="AE324" i="1"/>
  <c r="AE690" i="1"/>
  <c r="AE325" i="1"/>
  <c r="AE691" i="1"/>
  <c r="AE692" i="1"/>
  <c r="AE326" i="1"/>
  <c r="AE693" i="1"/>
  <c r="AE327" i="1"/>
  <c r="AE694" i="1"/>
  <c r="AE328" i="1"/>
  <c r="AE329" i="1"/>
  <c r="AE695" i="1"/>
  <c r="AE330" i="1"/>
  <c r="AE696" i="1"/>
  <c r="AE697" i="1"/>
  <c r="AE331" i="1"/>
  <c r="AE698" i="1"/>
  <c r="AE332" i="1"/>
  <c r="AE333" i="1"/>
  <c r="AE699" i="1"/>
  <c r="AE700" i="1"/>
  <c r="AE334" i="1"/>
  <c r="AE701" i="1"/>
  <c r="AE335" i="1"/>
  <c r="AE336" i="1"/>
  <c r="AE702" i="1"/>
  <c r="AE337" i="1"/>
  <c r="AE703" i="1"/>
  <c r="AE338" i="1"/>
  <c r="AE704" i="1"/>
  <c r="AE705" i="1"/>
  <c r="AE339" i="1"/>
  <c r="AE706" i="1"/>
  <c r="AE340" i="1"/>
  <c r="AE707" i="1"/>
  <c r="AE341" i="1"/>
  <c r="AE708" i="1"/>
  <c r="AE342" i="1"/>
  <c r="AE709" i="1"/>
  <c r="AE343" i="1"/>
  <c r="AE710" i="1"/>
  <c r="AE344" i="1"/>
  <c r="AE345" i="1"/>
  <c r="AE711" i="1"/>
  <c r="AE346" i="1"/>
  <c r="AE712" i="1"/>
  <c r="AE713" i="1"/>
  <c r="AE347" i="1"/>
  <c r="AE714" i="1"/>
  <c r="AE348" i="1"/>
  <c r="AE715" i="1"/>
  <c r="AE349" i="1"/>
  <c r="AE350" i="1"/>
  <c r="AE716" i="1"/>
  <c r="AE351" i="1"/>
  <c r="AE717" i="1"/>
  <c r="AE352" i="1"/>
  <c r="AE718" i="1"/>
  <c r="AE719" i="1"/>
  <c r="AE353" i="1"/>
  <c r="AE720" i="1"/>
  <c r="AE354" i="1"/>
  <c r="AE355" i="1"/>
  <c r="AE721" i="1"/>
  <c r="AE356" i="1"/>
  <c r="AE722" i="1"/>
  <c r="AE357" i="1"/>
  <c r="AE723" i="1"/>
  <c r="AE724" i="1"/>
  <c r="AE358" i="1"/>
  <c r="AE359" i="1"/>
  <c r="AE725" i="1"/>
  <c r="AE360" i="1"/>
  <c r="AE726" i="1"/>
  <c r="AE727" i="1"/>
  <c r="AE361" i="1"/>
  <c r="AE362" i="1"/>
  <c r="AE728" i="1"/>
  <c r="AE363" i="1"/>
  <c r="AE729" i="1"/>
  <c r="AE730" i="1"/>
  <c r="AE364" i="1"/>
  <c r="AE731" i="1"/>
  <c r="AE365" i="1"/>
  <c r="AE732" i="1"/>
  <c r="AE366" i="1"/>
  <c r="AE367" i="1"/>
  <c r="AD368" i="1"/>
  <c r="AD2" i="1"/>
  <c r="AD3" i="1"/>
  <c r="AD369" i="1"/>
  <c r="AD4" i="1"/>
  <c r="AD370" i="1"/>
  <c r="AD5" i="1"/>
  <c r="AD371" i="1"/>
  <c r="AD6" i="1"/>
  <c r="AD372" i="1"/>
  <c r="AD7" i="1"/>
  <c r="AD373" i="1"/>
  <c r="AD374" i="1"/>
  <c r="AD8" i="1"/>
  <c r="AD9" i="1"/>
  <c r="AD375" i="1"/>
  <c r="AD10" i="1"/>
  <c r="AD376" i="1"/>
  <c r="AD11" i="1"/>
  <c r="AD377" i="1"/>
  <c r="AD12" i="1"/>
  <c r="AD378" i="1"/>
  <c r="AD379" i="1"/>
  <c r="AD13" i="1"/>
  <c r="AD380" i="1"/>
  <c r="AD14" i="1"/>
  <c r="AD15" i="1"/>
  <c r="AD381" i="1"/>
  <c r="AD16" i="1"/>
  <c r="AD382" i="1"/>
  <c r="AD17" i="1"/>
  <c r="AD383" i="1"/>
  <c r="AD18" i="1"/>
  <c r="AD384" i="1"/>
  <c r="AD19" i="1"/>
  <c r="AD385" i="1"/>
  <c r="AD386" i="1"/>
  <c r="AD20" i="1"/>
  <c r="AD21" i="1"/>
  <c r="AD387" i="1"/>
  <c r="AD22" i="1"/>
  <c r="AD388" i="1"/>
  <c r="AD23" i="1"/>
  <c r="AD389" i="1"/>
  <c r="AD24" i="1"/>
  <c r="AD390" i="1"/>
  <c r="AD25" i="1"/>
  <c r="AD391" i="1"/>
  <c r="AD26" i="1"/>
  <c r="AD392" i="1"/>
  <c r="AD27" i="1"/>
  <c r="AD393" i="1"/>
  <c r="AD394" i="1"/>
  <c r="AD28" i="1"/>
  <c r="AD395" i="1"/>
  <c r="AD29" i="1"/>
  <c r="AD396" i="1"/>
  <c r="AD30" i="1"/>
  <c r="AD397" i="1"/>
  <c r="AD31" i="1"/>
  <c r="AD398" i="1"/>
  <c r="AD32" i="1"/>
  <c r="AD399" i="1"/>
  <c r="AD33" i="1"/>
  <c r="AD400" i="1"/>
  <c r="AD34" i="1"/>
  <c r="AD35" i="1"/>
  <c r="AD401" i="1"/>
  <c r="AD36" i="1"/>
  <c r="AD402" i="1"/>
  <c r="AD37" i="1"/>
  <c r="AD403" i="1"/>
  <c r="AD38" i="1"/>
  <c r="AD404" i="1"/>
  <c r="AD39" i="1"/>
  <c r="AD405" i="1"/>
  <c r="AD40" i="1"/>
  <c r="AD406" i="1"/>
  <c r="AD41" i="1"/>
  <c r="AD407" i="1"/>
  <c r="AD42" i="1"/>
  <c r="AD408" i="1"/>
  <c r="AD43" i="1"/>
  <c r="AD409" i="1"/>
  <c r="AD44" i="1"/>
  <c r="AD410" i="1"/>
  <c r="AD45" i="1"/>
  <c r="AD411" i="1"/>
  <c r="AD46" i="1"/>
  <c r="AD412" i="1"/>
  <c r="AD413" i="1"/>
  <c r="AD47" i="1"/>
  <c r="AD48" i="1"/>
  <c r="AD414" i="1"/>
  <c r="AD415" i="1"/>
  <c r="AD49" i="1"/>
  <c r="AD50" i="1"/>
  <c r="AD416" i="1"/>
  <c r="AD51" i="1"/>
  <c r="AD417" i="1"/>
  <c r="AD52" i="1"/>
  <c r="AD418" i="1"/>
  <c r="AD53" i="1"/>
  <c r="AD419" i="1"/>
  <c r="AD54" i="1"/>
  <c r="AD420" i="1"/>
  <c r="AD55" i="1"/>
  <c r="AD421" i="1"/>
  <c r="AD56" i="1"/>
  <c r="AD422" i="1"/>
  <c r="AD423" i="1"/>
  <c r="AD57" i="1"/>
  <c r="AD58" i="1"/>
  <c r="AD424" i="1"/>
  <c r="AD59" i="1"/>
  <c r="AD425" i="1"/>
  <c r="AD426" i="1"/>
  <c r="AD60" i="1"/>
  <c r="AD61" i="1"/>
  <c r="AD427" i="1"/>
  <c r="AD62" i="1"/>
  <c r="AD428" i="1"/>
  <c r="AD429" i="1"/>
  <c r="AD63" i="1"/>
  <c r="AD430" i="1"/>
  <c r="AD64" i="1"/>
  <c r="AD431" i="1"/>
  <c r="AD65" i="1"/>
  <c r="AD66" i="1"/>
  <c r="AD432" i="1"/>
  <c r="AD433" i="1"/>
  <c r="AD67" i="1"/>
  <c r="AD434" i="1"/>
  <c r="AD68" i="1"/>
  <c r="AD69" i="1"/>
  <c r="AD435" i="1"/>
  <c r="AD436" i="1"/>
  <c r="AD70" i="1"/>
  <c r="AD71" i="1"/>
  <c r="AD437" i="1"/>
  <c r="AD72" i="1"/>
  <c r="AD438" i="1"/>
  <c r="AD439" i="1"/>
  <c r="AD73" i="1"/>
  <c r="AD74" i="1"/>
  <c r="AD440" i="1"/>
  <c r="AD75" i="1"/>
  <c r="AD441" i="1"/>
  <c r="AD442" i="1"/>
  <c r="AD76" i="1"/>
  <c r="AD77" i="1"/>
  <c r="AD443" i="1"/>
  <c r="AD444" i="1"/>
  <c r="AD78" i="1"/>
  <c r="AD79" i="1"/>
  <c r="AD445" i="1"/>
  <c r="AD446" i="1"/>
  <c r="AD80" i="1"/>
  <c r="AD81" i="1"/>
  <c r="AD447" i="1"/>
  <c r="AD448" i="1"/>
  <c r="AD82" i="1"/>
  <c r="AD449" i="1"/>
  <c r="AD83" i="1"/>
  <c r="AD84" i="1"/>
  <c r="AD450" i="1"/>
  <c r="AD451" i="1"/>
  <c r="AD85" i="1"/>
  <c r="AD452" i="1"/>
  <c r="AD86" i="1"/>
  <c r="AD87" i="1"/>
  <c r="AD453" i="1"/>
  <c r="AD88" i="1"/>
  <c r="AD454" i="1"/>
  <c r="AD455" i="1"/>
  <c r="AD89" i="1"/>
  <c r="AD456" i="1"/>
  <c r="AD90" i="1"/>
  <c r="AD91" i="1"/>
  <c r="AD457" i="1"/>
  <c r="AD92" i="1"/>
  <c r="AD458" i="1"/>
  <c r="AD459" i="1"/>
  <c r="AD93" i="1"/>
  <c r="AD460" i="1"/>
  <c r="AD94" i="1"/>
  <c r="AD461" i="1"/>
  <c r="AD95" i="1"/>
  <c r="AD96" i="1"/>
  <c r="AD462" i="1"/>
  <c r="AD463" i="1"/>
  <c r="AD97" i="1"/>
  <c r="AD98" i="1"/>
  <c r="AD464" i="1"/>
  <c r="AD99" i="1"/>
  <c r="AD465" i="1"/>
  <c r="AD100" i="1"/>
  <c r="AD466" i="1"/>
  <c r="AD467" i="1"/>
  <c r="AD101" i="1"/>
  <c r="AD102" i="1"/>
  <c r="AD468" i="1"/>
  <c r="AD469" i="1"/>
  <c r="AD103" i="1"/>
  <c r="AD470" i="1"/>
  <c r="AD104" i="1"/>
  <c r="AD471" i="1"/>
  <c r="AD105" i="1"/>
  <c r="AD106" i="1"/>
  <c r="AD472" i="1"/>
  <c r="AD473" i="1"/>
  <c r="AD107" i="1"/>
  <c r="AD108" i="1"/>
  <c r="AD474" i="1"/>
  <c r="AD109" i="1"/>
  <c r="AD475" i="1"/>
  <c r="AD476" i="1"/>
  <c r="AD110" i="1"/>
  <c r="AD111" i="1"/>
  <c r="AD477" i="1"/>
  <c r="AD112" i="1"/>
  <c r="AD478" i="1"/>
  <c r="AD113" i="1"/>
  <c r="AD479" i="1"/>
  <c r="AD480" i="1"/>
  <c r="AD114" i="1"/>
  <c r="AD115" i="1"/>
  <c r="AD481" i="1"/>
  <c r="AD482" i="1"/>
  <c r="AD116" i="1"/>
  <c r="AD117" i="1"/>
  <c r="AD483" i="1"/>
  <c r="AD118" i="1"/>
  <c r="AD484" i="1"/>
  <c r="AD485" i="1"/>
  <c r="AD119" i="1"/>
  <c r="AD120" i="1"/>
  <c r="AD486" i="1"/>
  <c r="AD487" i="1"/>
  <c r="AD121" i="1"/>
  <c r="AD488" i="1"/>
  <c r="AD122" i="1"/>
  <c r="AD123" i="1"/>
  <c r="AD489" i="1"/>
  <c r="AD490" i="1"/>
  <c r="AD124" i="1"/>
  <c r="AD491" i="1"/>
  <c r="AD125" i="1"/>
  <c r="AD492" i="1"/>
  <c r="AD126" i="1"/>
  <c r="AD493" i="1"/>
  <c r="AD127" i="1"/>
  <c r="AD494" i="1"/>
  <c r="AD128" i="1"/>
  <c r="AD129" i="1"/>
  <c r="AD495" i="1"/>
  <c r="AD130" i="1"/>
  <c r="AD496" i="1"/>
  <c r="AD497" i="1"/>
  <c r="AD131" i="1"/>
  <c r="AD132" i="1"/>
  <c r="AD498" i="1"/>
  <c r="AD499" i="1"/>
  <c r="AD133" i="1"/>
  <c r="AD134" i="1"/>
  <c r="AD500" i="1"/>
  <c r="AD501" i="1"/>
  <c r="AD135" i="1"/>
  <c r="AD136" i="1"/>
  <c r="AD502" i="1"/>
  <c r="AD137" i="1"/>
  <c r="AD503" i="1"/>
  <c r="AD504" i="1"/>
  <c r="AD138" i="1"/>
  <c r="AD139" i="1"/>
  <c r="AD505" i="1"/>
  <c r="AD506" i="1"/>
  <c r="AD140" i="1"/>
  <c r="AD507" i="1"/>
  <c r="AD141" i="1"/>
  <c r="AD508" i="1"/>
  <c r="AD142" i="1"/>
  <c r="AD509" i="1"/>
  <c r="AD143" i="1"/>
  <c r="AD144" i="1"/>
  <c r="AD510" i="1"/>
  <c r="AD145" i="1"/>
  <c r="AD511" i="1"/>
  <c r="AD512" i="1"/>
  <c r="AD146" i="1"/>
  <c r="AD147" i="1"/>
  <c r="AD513" i="1"/>
  <c r="AD514" i="1"/>
  <c r="AD148" i="1"/>
  <c r="AD515" i="1"/>
  <c r="AD149" i="1"/>
  <c r="AD516" i="1"/>
  <c r="AD150" i="1"/>
  <c r="AD517" i="1"/>
  <c r="AD151" i="1"/>
  <c r="AD152" i="1"/>
  <c r="AD518" i="1"/>
  <c r="AD519" i="1"/>
  <c r="AD153" i="1"/>
  <c r="AD154" i="1"/>
  <c r="AD520" i="1"/>
  <c r="AD521" i="1"/>
  <c r="AD155" i="1"/>
  <c r="AD156" i="1"/>
  <c r="AD522" i="1"/>
  <c r="AD523" i="1"/>
  <c r="AD157" i="1"/>
  <c r="AD158" i="1"/>
  <c r="AD524" i="1"/>
  <c r="AD159" i="1"/>
  <c r="AD525" i="1"/>
  <c r="AD526" i="1"/>
  <c r="AD160" i="1"/>
  <c r="AD161" i="1"/>
  <c r="AD527" i="1"/>
  <c r="AD162" i="1"/>
  <c r="AD528" i="1"/>
  <c r="AD529" i="1"/>
  <c r="AD163" i="1"/>
  <c r="AD164" i="1"/>
  <c r="AD530" i="1"/>
  <c r="AD165" i="1"/>
  <c r="AD531" i="1"/>
  <c r="AD532" i="1"/>
  <c r="AD166" i="1"/>
  <c r="AD167" i="1"/>
  <c r="AD533" i="1"/>
  <c r="AD168" i="1"/>
  <c r="AD534" i="1"/>
  <c r="AD535" i="1"/>
  <c r="AD169" i="1"/>
  <c r="AD536" i="1"/>
  <c r="AD170" i="1"/>
  <c r="AD537" i="1"/>
  <c r="AD171" i="1"/>
  <c r="AD538" i="1"/>
  <c r="AD172" i="1"/>
  <c r="AD173" i="1"/>
  <c r="AD539" i="1"/>
  <c r="AD174" i="1"/>
  <c r="AD540" i="1"/>
  <c r="AD175" i="1"/>
  <c r="AD541" i="1"/>
  <c r="AD176" i="1"/>
  <c r="AD542" i="1"/>
  <c r="AD543" i="1"/>
  <c r="AD177" i="1"/>
  <c r="AD544" i="1"/>
  <c r="AD178" i="1"/>
  <c r="AD545" i="1"/>
  <c r="AD179" i="1"/>
  <c r="AD180" i="1"/>
  <c r="AD546" i="1"/>
  <c r="AD547" i="1"/>
  <c r="AD181" i="1"/>
  <c r="AD548" i="1"/>
  <c r="AD182" i="1"/>
  <c r="AD549" i="1"/>
  <c r="AD183" i="1"/>
  <c r="AD550" i="1"/>
  <c r="AD184" i="1"/>
  <c r="AD185" i="1"/>
  <c r="AD551" i="1"/>
  <c r="AD186" i="1"/>
  <c r="AD552" i="1"/>
  <c r="AD187" i="1"/>
  <c r="AD553" i="1"/>
  <c r="AD188" i="1"/>
  <c r="AD554" i="1"/>
  <c r="AD189" i="1"/>
  <c r="AD555" i="1"/>
  <c r="AD190" i="1"/>
  <c r="AD556" i="1"/>
  <c r="AD557" i="1"/>
  <c r="AD191" i="1"/>
  <c r="AD558" i="1"/>
  <c r="AD192" i="1"/>
  <c r="AD193" i="1"/>
  <c r="AD559" i="1"/>
  <c r="AD194" i="1"/>
  <c r="AD560" i="1"/>
  <c r="AD561" i="1"/>
  <c r="AD195" i="1"/>
  <c r="AD562" i="1"/>
  <c r="AD196" i="1"/>
  <c r="AD563" i="1"/>
  <c r="AD197" i="1"/>
  <c r="AD198" i="1"/>
  <c r="AD564" i="1"/>
  <c r="AD565" i="1"/>
  <c r="AD199" i="1"/>
  <c r="AD200" i="1"/>
  <c r="AD566" i="1"/>
  <c r="AD201" i="1"/>
  <c r="AD567" i="1"/>
  <c r="AD568" i="1"/>
  <c r="AD202" i="1"/>
  <c r="AD569" i="1"/>
  <c r="AD203" i="1"/>
  <c r="AD570" i="1"/>
  <c r="AD204" i="1"/>
  <c r="AD571" i="1"/>
  <c r="AD205" i="1"/>
  <c r="AD572" i="1"/>
  <c r="AD206" i="1"/>
  <c r="AD573" i="1"/>
  <c r="AD207" i="1"/>
  <c r="AD574" i="1"/>
  <c r="AD208" i="1"/>
  <c r="AD209" i="1"/>
  <c r="AD575" i="1"/>
  <c r="AD576" i="1"/>
  <c r="AD210" i="1"/>
  <c r="AD211" i="1"/>
  <c r="AD577" i="1"/>
  <c r="AD578" i="1"/>
  <c r="AD212" i="1"/>
  <c r="AD579" i="1"/>
  <c r="AD213" i="1"/>
  <c r="AD214" i="1"/>
  <c r="AD580" i="1"/>
  <c r="AD215" i="1"/>
  <c r="AD581" i="1"/>
  <c r="AD216" i="1"/>
  <c r="AD582" i="1"/>
  <c r="AD217" i="1"/>
  <c r="AD583" i="1"/>
  <c r="AD584" i="1"/>
  <c r="AD218" i="1"/>
  <c r="AD585" i="1"/>
  <c r="AD219" i="1"/>
  <c r="AD220" i="1"/>
  <c r="AD586" i="1"/>
  <c r="AD221" i="1"/>
  <c r="AD587" i="1"/>
  <c r="AD588" i="1"/>
  <c r="AD222" i="1"/>
  <c r="AD223" i="1"/>
  <c r="AD589" i="1"/>
  <c r="AD224" i="1"/>
  <c r="AD590" i="1"/>
  <c r="AD225" i="1"/>
  <c r="AD591" i="1"/>
  <c r="AD592" i="1"/>
  <c r="AD226" i="1"/>
  <c r="AD227" i="1"/>
  <c r="AD593" i="1"/>
  <c r="AD594" i="1"/>
  <c r="AD228" i="1"/>
  <c r="AD595" i="1"/>
  <c r="AD229" i="1"/>
  <c r="AD230" i="1"/>
  <c r="AD596" i="1"/>
  <c r="AD231" i="1"/>
  <c r="AD597" i="1"/>
  <c r="AD232" i="1"/>
  <c r="AD598" i="1"/>
  <c r="AD599" i="1"/>
  <c r="AD233" i="1"/>
  <c r="AD234" i="1"/>
  <c r="AD600" i="1"/>
  <c r="AD235" i="1"/>
  <c r="AD601" i="1"/>
  <c r="AD236" i="1"/>
  <c r="AD602" i="1"/>
  <c r="AD603" i="1"/>
  <c r="AD237" i="1"/>
  <c r="AD604" i="1"/>
  <c r="AD238" i="1"/>
  <c r="AD605" i="1"/>
  <c r="AD239" i="1"/>
  <c r="AD240" i="1"/>
  <c r="AD606" i="1"/>
  <c r="AD607" i="1"/>
  <c r="AD241" i="1"/>
  <c r="AD242" i="1"/>
  <c r="AD608" i="1"/>
  <c r="AD243" i="1"/>
  <c r="AD609" i="1"/>
  <c r="AD244" i="1"/>
  <c r="AD610" i="1"/>
  <c r="AD611" i="1"/>
  <c r="AD245" i="1"/>
  <c r="AD246" i="1"/>
  <c r="AD612" i="1"/>
  <c r="AD613" i="1"/>
  <c r="AD247" i="1"/>
  <c r="AD614" i="1"/>
  <c r="AD248" i="1"/>
  <c r="AD615" i="1"/>
  <c r="AD249" i="1"/>
  <c r="AD250" i="1"/>
  <c r="AD616" i="1"/>
  <c r="AD251" i="1"/>
  <c r="AD617" i="1"/>
  <c r="AD252" i="1"/>
  <c r="AD618" i="1"/>
  <c r="AD253" i="1"/>
  <c r="AD619" i="1"/>
  <c r="AD620" i="1"/>
  <c r="AD254" i="1"/>
  <c r="AD621" i="1"/>
  <c r="AD255" i="1"/>
  <c r="AD256" i="1"/>
  <c r="AD622" i="1"/>
  <c r="AD257" i="1"/>
  <c r="AD623" i="1"/>
  <c r="AD258" i="1"/>
  <c r="AD624" i="1"/>
  <c r="AD259" i="1"/>
  <c r="AD625" i="1"/>
  <c r="AD260" i="1"/>
  <c r="AD626" i="1"/>
  <c r="AD261" i="1"/>
  <c r="AD627" i="1"/>
  <c r="AD628" i="1"/>
  <c r="AD262" i="1"/>
  <c r="AD263" i="1"/>
  <c r="AD629" i="1"/>
  <c r="AD264" i="1"/>
  <c r="AD630" i="1"/>
  <c r="AD265" i="1"/>
  <c r="AD631" i="1"/>
  <c r="AD632" i="1"/>
  <c r="AD266" i="1"/>
  <c r="AD633" i="1"/>
  <c r="AD267" i="1"/>
  <c r="AD634" i="1"/>
  <c r="AD268" i="1"/>
  <c r="AD635" i="1"/>
  <c r="AD269" i="1"/>
  <c r="AD636" i="1"/>
  <c r="AD270" i="1"/>
  <c r="AD271" i="1"/>
  <c r="AD637" i="1"/>
  <c r="AD638" i="1"/>
  <c r="AD272" i="1"/>
  <c r="AD639" i="1"/>
  <c r="AD273" i="1"/>
  <c r="AD274" i="1"/>
  <c r="AD640" i="1"/>
  <c r="AD275" i="1"/>
  <c r="AD641" i="1"/>
  <c r="AD642" i="1"/>
  <c r="AD276" i="1"/>
  <c r="AD277" i="1"/>
  <c r="AD643" i="1"/>
  <c r="AD644" i="1"/>
  <c r="AD278" i="1"/>
  <c r="AD645" i="1"/>
  <c r="AD279" i="1"/>
  <c r="AD280" i="1"/>
  <c r="AD646" i="1"/>
  <c r="AD281" i="1"/>
  <c r="AD647" i="1"/>
  <c r="AD282" i="1"/>
  <c r="AD648" i="1"/>
  <c r="AD283" i="1"/>
  <c r="AD649" i="1"/>
  <c r="AD284" i="1"/>
  <c r="AD650" i="1"/>
  <c r="AD651" i="1"/>
  <c r="AD285" i="1"/>
  <c r="AD286" i="1"/>
  <c r="AD652" i="1"/>
  <c r="AD287" i="1"/>
  <c r="AD653" i="1"/>
  <c r="AD288" i="1"/>
  <c r="AD654" i="1"/>
  <c r="AD289" i="1"/>
  <c r="AD655" i="1"/>
  <c r="AD656" i="1"/>
  <c r="AD290" i="1"/>
  <c r="AD291" i="1"/>
  <c r="AD657" i="1"/>
  <c r="AD292" i="1"/>
  <c r="AD658" i="1"/>
  <c r="AD293" i="1"/>
  <c r="AD659" i="1"/>
  <c r="AD660" i="1"/>
  <c r="AD294" i="1"/>
  <c r="AD661" i="1"/>
  <c r="AD295" i="1"/>
  <c r="AD296" i="1"/>
  <c r="AD662" i="1"/>
  <c r="AD297" i="1"/>
  <c r="AD663" i="1"/>
  <c r="AD664" i="1"/>
  <c r="AD298" i="1"/>
  <c r="AD299" i="1"/>
  <c r="AD665" i="1"/>
  <c r="AD666" i="1"/>
  <c r="AD300" i="1"/>
  <c r="AD667" i="1"/>
  <c r="AD301" i="1"/>
  <c r="AD668" i="1"/>
  <c r="AD302" i="1"/>
  <c r="AD303" i="1"/>
  <c r="AD669" i="1"/>
  <c r="AD670" i="1"/>
  <c r="AD304" i="1"/>
  <c r="AD305" i="1"/>
  <c r="AD671" i="1"/>
  <c r="AD306" i="1"/>
  <c r="AD672" i="1"/>
  <c r="AD307" i="1"/>
  <c r="AD673" i="1"/>
  <c r="AD674" i="1"/>
  <c r="AD308" i="1"/>
  <c r="AD309" i="1"/>
  <c r="AD675" i="1"/>
  <c r="AD676" i="1"/>
  <c r="AD310" i="1"/>
  <c r="AD677" i="1"/>
  <c r="AD311" i="1"/>
  <c r="AD678" i="1"/>
  <c r="AD312" i="1"/>
  <c r="AD679" i="1"/>
  <c r="AD313" i="1"/>
  <c r="AD314" i="1"/>
  <c r="AD680" i="1"/>
  <c r="AD315" i="1"/>
  <c r="AD681" i="1"/>
  <c r="AD682" i="1"/>
  <c r="AD316" i="1"/>
  <c r="AD683" i="1"/>
  <c r="AD317" i="1"/>
  <c r="AD684" i="1"/>
  <c r="AD318" i="1"/>
  <c r="AD685" i="1"/>
  <c r="AD319" i="1"/>
  <c r="AD320" i="1"/>
  <c r="AD686" i="1"/>
  <c r="AD687" i="1"/>
  <c r="AD321" i="1"/>
  <c r="AD688" i="1"/>
  <c r="AD322" i="1"/>
  <c r="AD689" i="1"/>
  <c r="AD323" i="1"/>
  <c r="AD324" i="1"/>
  <c r="AD690" i="1"/>
  <c r="AD325" i="1"/>
  <c r="AD691" i="1"/>
  <c r="AD692" i="1"/>
  <c r="AD326" i="1"/>
  <c r="AD693" i="1"/>
  <c r="AD327" i="1"/>
  <c r="AD694" i="1"/>
  <c r="AD328" i="1"/>
  <c r="AD329" i="1"/>
  <c r="AD695" i="1"/>
  <c r="AD330" i="1"/>
  <c r="AD696" i="1"/>
  <c r="AD697" i="1"/>
  <c r="AD331" i="1"/>
  <c r="AD698" i="1"/>
  <c r="AD332" i="1"/>
  <c r="AD333" i="1"/>
  <c r="AD699" i="1"/>
  <c r="AD700" i="1"/>
  <c r="AD334" i="1"/>
  <c r="AD701" i="1"/>
  <c r="AD335" i="1"/>
  <c r="AD336" i="1"/>
  <c r="AD702" i="1"/>
  <c r="AD337" i="1"/>
  <c r="AD703" i="1"/>
  <c r="AD338" i="1"/>
  <c r="AD704" i="1"/>
  <c r="AD705" i="1"/>
  <c r="AD339" i="1"/>
  <c r="AD706" i="1"/>
  <c r="AD340" i="1"/>
  <c r="AD707" i="1"/>
  <c r="AD341" i="1"/>
  <c r="AD708" i="1"/>
  <c r="AD342" i="1"/>
  <c r="AD709" i="1"/>
  <c r="AD343" i="1"/>
  <c r="AD710" i="1"/>
  <c r="AD344" i="1"/>
  <c r="AD345" i="1"/>
  <c r="AD711" i="1"/>
  <c r="AD346" i="1"/>
  <c r="AD712" i="1"/>
  <c r="AD713" i="1"/>
  <c r="AD347" i="1"/>
  <c r="AD714" i="1"/>
  <c r="AD348" i="1"/>
  <c r="AD715" i="1"/>
  <c r="AD349" i="1"/>
  <c r="AD350" i="1"/>
  <c r="AD716" i="1"/>
  <c r="AD351" i="1"/>
  <c r="AD717" i="1"/>
  <c r="AD352" i="1"/>
  <c r="AD718" i="1"/>
  <c r="AD719" i="1"/>
  <c r="AD353" i="1"/>
  <c r="AD720" i="1"/>
  <c r="AD354" i="1"/>
  <c r="AD355" i="1"/>
  <c r="AD721" i="1"/>
  <c r="AD356" i="1"/>
  <c r="AD722" i="1"/>
  <c r="AD357" i="1"/>
  <c r="AD723" i="1"/>
  <c r="AD724" i="1"/>
  <c r="AD358" i="1"/>
  <c r="AD359" i="1"/>
  <c r="AD725" i="1"/>
  <c r="AD360" i="1"/>
  <c r="AD726" i="1"/>
  <c r="AD727" i="1"/>
  <c r="AD361" i="1"/>
  <c r="AD362" i="1"/>
  <c r="AD728" i="1"/>
  <c r="AD363" i="1"/>
  <c r="AD729" i="1"/>
  <c r="AD730" i="1"/>
  <c r="AD364" i="1"/>
  <c r="AD731" i="1"/>
  <c r="AD365" i="1"/>
  <c r="AD732" i="1"/>
  <c r="AD366" i="1"/>
  <c r="AD367" i="1"/>
  <c r="AC368" i="1"/>
  <c r="AC2" i="1"/>
  <c r="AC3" i="1"/>
  <c r="AC369" i="1"/>
  <c r="AC4" i="1"/>
  <c r="AC370" i="1"/>
  <c r="AC5" i="1"/>
  <c r="AC371" i="1"/>
  <c r="AC6" i="1"/>
  <c r="AC372" i="1"/>
  <c r="AC7" i="1"/>
  <c r="AC373" i="1"/>
  <c r="AC374" i="1"/>
  <c r="AC8" i="1"/>
  <c r="AC9" i="1"/>
  <c r="AC375" i="1"/>
  <c r="AC10" i="1"/>
  <c r="AC376" i="1"/>
  <c r="AC11" i="1"/>
  <c r="AC377" i="1"/>
  <c r="AC12" i="1"/>
  <c r="AC378" i="1"/>
  <c r="AC379" i="1"/>
  <c r="AC13" i="1"/>
  <c r="AC380" i="1"/>
  <c r="AC14" i="1"/>
  <c r="AC15" i="1"/>
  <c r="AC381" i="1"/>
  <c r="AC16" i="1"/>
  <c r="AC382" i="1"/>
  <c r="AC17" i="1"/>
  <c r="AC383" i="1"/>
  <c r="AC18" i="1"/>
  <c r="AC384" i="1"/>
  <c r="AC19" i="1"/>
  <c r="AC385" i="1"/>
  <c r="AC386" i="1"/>
  <c r="AC20" i="1"/>
  <c r="AC21" i="1"/>
  <c r="AC387" i="1"/>
  <c r="AC22" i="1"/>
  <c r="AC388" i="1"/>
  <c r="AC23" i="1"/>
  <c r="AC389" i="1"/>
  <c r="AC24" i="1"/>
  <c r="AC390" i="1"/>
  <c r="AC25" i="1"/>
  <c r="AC391" i="1"/>
  <c r="AC26" i="1"/>
  <c r="AC392" i="1"/>
  <c r="AC27" i="1"/>
  <c r="AC393" i="1"/>
  <c r="AC394" i="1"/>
  <c r="AC28" i="1"/>
  <c r="AC395" i="1"/>
  <c r="AC29" i="1"/>
  <c r="AC396" i="1"/>
  <c r="AC30" i="1"/>
  <c r="AC397" i="1"/>
  <c r="AC31" i="1"/>
  <c r="AC398" i="1"/>
  <c r="AC32" i="1"/>
  <c r="AC399" i="1"/>
  <c r="AC33" i="1"/>
  <c r="AC400" i="1"/>
  <c r="AC34" i="1"/>
  <c r="AC35" i="1"/>
  <c r="AC401" i="1"/>
  <c r="AC36" i="1"/>
  <c r="AC402" i="1"/>
  <c r="AC37" i="1"/>
  <c r="AC403" i="1"/>
  <c r="AC38" i="1"/>
  <c r="AC404" i="1"/>
  <c r="AC39" i="1"/>
  <c r="AC405" i="1"/>
  <c r="AC40" i="1"/>
  <c r="AC406" i="1"/>
  <c r="AC41" i="1"/>
  <c r="AC407" i="1"/>
  <c r="AC42" i="1"/>
  <c r="AC408" i="1"/>
  <c r="AC43" i="1"/>
  <c r="AC409" i="1"/>
  <c r="AC44" i="1"/>
  <c r="AC410" i="1"/>
  <c r="AC45" i="1"/>
  <c r="AC411" i="1"/>
  <c r="AC46" i="1"/>
  <c r="AC412" i="1"/>
  <c r="AC413" i="1"/>
  <c r="AC47" i="1"/>
  <c r="AC48" i="1"/>
  <c r="AC414" i="1"/>
  <c r="AC415" i="1"/>
  <c r="AC49" i="1"/>
  <c r="AC50" i="1"/>
  <c r="AC416" i="1"/>
  <c r="AC51" i="1"/>
  <c r="AC417" i="1"/>
  <c r="AC52" i="1"/>
  <c r="AC418" i="1"/>
  <c r="AC53" i="1"/>
  <c r="AC419" i="1"/>
  <c r="AC54" i="1"/>
  <c r="AC420" i="1"/>
  <c r="AC55" i="1"/>
  <c r="AC421" i="1"/>
  <c r="AC56" i="1"/>
  <c r="AC422" i="1"/>
  <c r="AC423" i="1"/>
  <c r="AC57" i="1"/>
  <c r="AC58" i="1"/>
  <c r="AC424" i="1"/>
  <c r="AC59" i="1"/>
  <c r="AC425" i="1"/>
  <c r="AC426" i="1"/>
  <c r="AC60" i="1"/>
  <c r="AC61" i="1"/>
  <c r="AC427" i="1"/>
  <c r="AC62" i="1"/>
  <c r="AC428" i="1"/>
  <c r="AC429" i="1"/>
  <c r="AC63" i="1"/>
  <c r="AC430" i="1"/>
  <c r="AC64" i="1"/>
  <c r="AC431" i="1"/>
  <c r="AC65" i="1"/>
  <c r="AC66" i="1"/>
  <c r="AC432" i="1"/>
  <c r="AC433" i="1"/>
  <c r="AC67" i="1"/>
  <c r="AC434" i="1"/>
  <c r="AC68" i="1"/>
  <c r="AC69" i="1"/>
  <c r="AC435" i="1"/>
  <c r="AC436" i="1"/>
  <c r="AC70" i="1"/>
  <c r="AC71" i="1"/>
  <c r="AC437" i="1"/>
  <c r="AC72" i="1"/>
  <c r="AC438" i="1"/>
  <c r="AC439" i="1"/>
  <c r="AC73" i="1"/>
  <c r="AC74" i="1"/>
  <c r="AC440" i="1"/>
  <c r="AC75" i="1"/>
  <c r="AC441" i="1"/>
  <c r="AC442" i="1"/>
  <c r="AC76" i="1"/>
  <c r="AC77" i="1"/>
  <c r="AC443" i="1"/>
  <c r="AC444" i="1"/>
  <c r="AC78" i="1"/>
  <c r="AC79" i="1"/>
  <c r="AC445" i="1"/>
  <c r="AC446" i="1"/>
  <c r="AC80" i="1"/>
  <c r="AC81" i="1"/>
  <c r="AC447" i="1"/>
  <c r="AC448" i="1"/>
  <c r="AC82" i="1"/>
  <c r="AC449" i="1"/>
  <c r="AC83" i="1"/>
  <c r="AC84" i="1"/>
  <c r="AC450" i="1"/>
  <c r="AC451" i="1"/>
  <c r="AC85" i="1"/>
  <c r="AC452" i="1"/>
  <c r="AC86" i="1"/>
  <c r="AC87" i="1"/>
  <c r="AC453" i="1"/>
  <c r="AC88" i="1"/>
  <c r="AC454" i="1"/>
  <c r="AC455" i="1"/>
  <c r="AC89" i="1"/>
  <c r="AC456" i="1"/>
  <c r="AC90" i="1"/>
  <c r="AC91" i="1"/>
  <c r="AC457" i="1"/>
  <c r="AC92" i="1"/>
  <c r="AC458" i="1"/>
  <c r="AC459" i="1"/>
  <c r="AC93" i="1"/>
  <c r="AC460" i="1"/>
  <c r="AC94" i="1"/>
  <c r="AC461" i="1"/>
  <c r="AC95" i="1"/>
  <c r="AC96" i="1"/>
  <c r="AC462" i="1"/>
  <c r="AC463" i="1"/>
  <c r="AC97" i="1"/>
  <c r="AC98" i="1"/>
  <c r="AC464" i="1"/>
  <c r="AC99" i="1"/>
  <c r="AC465" i="1"/>
  <c r="AC100" i="1"/>
  <c r="AC466" i="1"/>
  <c r="AC467" i="1"/>
  <c r="AC101" i="1"/>
  <c r="AC102" i="1"/>
  <c r="AC468" i="1"/>
  <c r="AC469" i="1"/>
  <c r="AC103" i="1"/>
  <c r="AC470" i="1"/>
  <c r="AC104" i="1"/>
  <c r="AC471" i="1"/>
  <c r="AC105" i="1"/>
  <c r="AC106" i="1"/>
  <c r="AC472" i="1"/>
  <c r="AC473" i="1"/>
  <c r="AC107" i="1"/>
  <c r="AC108" i="1"/>
  <c r="AC474" i="1"/>
  <c r="AC109" i="1"/>
  <c r="AC475" i="1"/>
  <c r="AC476" i="1"/>
  <c r="AC110" i="1"/>
  <c r="AC111" i="1"/>
  <c r="AC477" i="1"/>
  <c r="AC112" i="1"/>
  <c r="AC478" i="1"/>
  <c r="AC113" i="1"/>
  <c r="AC479" i="1"/>
  <c r="AC480" i="1"/>
  <c r="AC114" i="1"/>
  <c r="AC115" i="1"/>
  <c r="AC481" i="1"/>
  <c r="AC482" i="1"/>
  <c r="AC116" i="1"/>
  <c r="AC117" i="1"/>
  <c r="AC483" i="1"/>
  <c r="AC118" i="1"/>
  <c r="AC484" i="1"/>
  <c r="AC485" i="1"/>
  <c r="AC119" i="1"/>
  <c r="AC120" i="1"/>
  <c r="AC486" i="1"/>
  <c r="AC487" i="1"/>
  <c r="AC121" i="1"/>
  <c r="AC488" i="1"/>
  <c r="AC122" i="1"/>
  <c r="AC123" i="1"/>
  <c r="AC489" i="1"/>
  <c r="AC490" i="1"/>
  <c r="AC124" i="1"/>
  <c r="AC491" i="1"/>
  <c r="AC125" i="1"/>
  <c r="AC492" i="1"/>
  <c r="AC126" i="1"/>
  <c r="AC493" i="1"/>
  <c r="AC127" i="1"/>
  <c r="AC494" i="1"/>
  <c r="AC128" i="1"/>
  <c r="AC129" i="1"/>
  <c r="AC495" i="1"/>
  <c r="AC130" i="1"/>
  <c r="AC496" i="1"/>
  <c r="AC497" i="1"/>
  <c r="AC131" i="1"/>
  <c r="AC132" i="1"/>
  <c r="AC498" i="1"/>
  <c r="AC499" i="1"/>
  <c r="AC133" i="1"/>
  <c r="AC134" i="1"/>
  <c r="AC500" i="1"/>
  <c r="AC501" i="1"/>
  <c r="AC135" i="1"/>
  <c r="AC136" i="1"/>
  <c r="AC502" i="1"/>
  <c r="AC137" i="1"/>
  <c r="AC503" i="1"/>
  <c r="AC504" i="1"/>
  <c r="AC138" i="1"/>
  <c r="AC139" i="1"/>
  <c r="AC505" i="1"/>
  <c r="AC506" i="1"/>
  <c r="AC140" i="1"/>
  <c r="AC507" i="1"/>
  <c r="AC141" i="1"/>
  <c r="AC508" i="1"/>
  <c r="AC142" i="1"/>
  <c r="AC509" i="1"/>
  <c r="AC143" i="1"/>
  <c r="AC144" i="1"/>
  <c r="AC510" i="1"/>
  <c r="AC145" i="1"/>
  <c r="AC511" i="1"/>
  <c r="AC512" i="1"/>
  <c r="AC146" i="1"/>
  <c r="AC147" i="1"/>
  <c r="AC513" i="1"/>
  <c r="AC514" i="1"/>
  <c r="AC148" i="1"/>
  <c r="AC515" i="1"/>
  <c r="AC149" i="1"/>
  <c r="AC516" i="1"/>
  <c r="AC150" i="1"/>
  <c r="AC517" i="1"/>
  <c r="AC151" i="1"/>
  <c r="AC152" i="1"/>
  <c r="AC518" i="1"/>
  <c r="AC519" i="1"/>
  <c r="AC153" i="1"/>
  <c r="AC154" i="1"/>
  <c r="AC520" i="1"/>
  <c r="AC521" i="1"/>
  <c r="AC155" i="1"/>
  <c r="AC156" i="1"/>
  <c r="AC522" i="1"/>
  <c r="AC523" i="1"/>
  <c r="AC157" i="1"/>
  <c r="AC158" i="1"/>
  <c r="AC524" i="1"/>
  <c r="AC159" i="1"/>
  <c r="AC525" i="1"/>
  <c r="AC526" i="1"/>
  <c r="AC160" i="1"/>
  <c r="AC161" i="1"/>
  <c r="AC527" i="1"/>
  <c r="AC162" i="1"/>
  <c r="AC528" i="1"/>
  <c r="AC529" i="1"/>
  <c r="AC163" i="1"/>
  <c r="AC164" i="1"/>
  <c r="AC530" i="1"/>
  <c r="AC165" i="1"/>
  <c r="AC531" i="1"/>
  <c r="AC532" i="1"/>
  <c r="AC166" i="1"/>
  <c r="AC167" i="1"/>
  <c r="AC533" i="1"/>
  <c r="AC168" i="1"/>
  <c r="AC534" i="1"/>
  <c r="AC535" i="1"/>
  <c r="AC169" i="1"/>
  <c r="AC536" i="1"/>
  <c r="AC170" i="1"/>
  <c r="AC537" i="1"/>
  <c r="AC171" i="1"/>
  <c r="AC538" i="1"/>
  <c r="AC172" i="1"/>
  <c r="AC173" i="1"/>
  <c r="AC539" i="1"/>
  <c r="AC174" i="1"/>
  <c r="AC540" i="1"/>
  <c r="AC175" i="1"/>
  <c r="AC541" i="1"/>
  <c r="AC176" i="1"/>
  <c r="AC542" i="1"/>
  <c r="AC543" i="1"/>
  <c r="AC177" i="1"/>
  <c r="AC544" i="1"/>
  <c r="AC178" i="1"/>
  <c r="AC545" i="1"/>
  <c r="AC179" i="1"/>
  <c r="AC180" i="1"/>
  <c r="AC546" i="1"/>
  <c r="AC547" i="1"/>
  <c r="AC181" i="1"/>
  <c r="AC548" i="1"/>
  <c r="AC182" i="1"/>
  <c r="AC549" i="1"/>
  <c r="AC183" i="1"/>
  <c r="AC550" i="1"/>
  <c r="AC184" i="1"/>
  <c r="AC185" i="1"/>
  <c r="AC551" i="1"/>
  <c r="AC186" i="1"/>
  <c r="AC552" i="1"/>
  <c r="AC187" i="1"/>
  <c r="AC553" i="1"/>
  <c r="AC188" i="1"/>
  <c r="AC554" i="1"/>
  <c r="AC189" i="1"/>
  <c r="AC555" i="1"/>
  <c r="AC190" i="1"/>
  <c r="AC556" i="1"/>
  <c r="AC557" i="1"/>
  <c r="AC191" i="1"/>
  <c r="AC558" i="1"/>
  <c r="AC192" i="1"/>
  <c r="AC193" i="1"/>
  <c r="AC559" i="1"/>
  <c r="AC194" i="1"/>
  <c r="AC560" i="1"/>
  <c r="AC561" i="1"/>
  <c r="AC195" i="1"/>
  <c r="AC562" i="1"/>
  <c r="AC196" i="1"/>
  <c r="AC563" i="1"/>
  <c r="AC197" i="1"/>
  <c r="AC198" i="1"/>
  <c r="AC564" i="1"/>
  <c r="AC565" i="1"/>
  <c r="AC199" i="1"/>
  <c r="AC200" i="1"/>
  <c r="AC566" i="1"/>
  <c r="AC201" i="1"/>
  <c r="AC567" i="1"/>
  <c r="AC568" i="1"/>
  <c r="AC202" i="1"/>
  <c r="AC569" i="1"/>
  <c r="AC203" i="1"/>
  <c r="AC570" i="1"/>
  <c r="AC204" i="1"/>
  <c r="AC571" i="1"/>
  <c r="AC205" i="1"/>
  <c r="AC572" i="1"/>
  <c r="AC206" i="1"/>
  <c r="AC573" i="1"/>
  <c r="AC207" i="1"/>
  <c r="AC574" i="1"/>
  <c r="AC208" i="1"/>
  <c r="AC209" i="1"/>
  <c r="AC575" i="1"/>
  <c r="AC576" i="1"/>
  <c r="AC210" i="1"/>
  <c r="AC211" i="1"/>
  <c r="AC577" i="1"/>
  <c r="AC578" i="1"/>
  <c r="AC212" i="1"/>
  <c r="AC579" i="1"/>
  <c r="AC213" i="1"/>
  <c r="AC214" i="1"/>
  <c r="AC580" i="1"/>
  <c r="AC215" i="1"/>
  <c r="AC581" i="1"/>
  <c r="AC216" i="1"/>
  <c r="AC582" i="1"/>
  <c r="AC217" i="1"/>
  <c r="AC583" i="1"/>
  <c r="AC584" i="1"/>
  <c r="AC218" i="1"/>
  <c r="AC585" i="1"/>
  <c r="AC219" i="1"/>
  <c r="AC220" i="1"/>
  <c r="AC586" i="1"/>
  <c r="AC221" i="1"/>
  <c r="AC587" i="1"/>
  <c r="AC588" i="1"/>
  <c r="AC222" i="1"/>
  <c r="AC223" i="1"/>
  <c r="AC589" i="1"/>
  <c r="AC224" i="1"/>
  <c r="AC590" i="1"/>
  <c r="AC225" i="1"/>
  <c r="AC591" i="1"/>
  <c r="AC592" i="1"/>
  <c r="AC226" i="1"/>
  <c r="AC227" i="1"/>
  <c r="AC593" i="1"/>
  <c r="AC594" i="1"/>
  <c r="AC228" i="1"/>
  <c r="AC595" i="1"/>
  <c r="AC229" i="1"/>
  <c r="AC230" i="1"/>
  <c r="AC596" i="1"/>
  <c r="AC231" i="1"/>
  <c r="AC597" i="1"/>
  <c r="AC232" i="1"/>
  <c r="AC598" i="1"/>
  <c r="AC599" i="1"/>
  <c r="AC233" i="1"/>
  <c r="AC234" i="1"/>
  <c r="AC600" i="1"/>
  <c r="AC235" i="1"/>
  <c r="AC601" i="1"/>
  <c r="AC236" i="1"/>
  <c r="AC602" i="1"/>
  <c r="AC603" i="1"/>
  <c r="AC237" i="1"/>
  <c r="AC604" i="1"/>
  <c r="AC238" i="1"/>
  <c r="AC605" i="1"/>
  <c r="AC239" i="1"/>
  <c r="AC240" i="1"/>
  <c r="AC606" i="1"/>
  <c r="AC607" i="1"/>
  <c r="AC241" i="1"/>
  <c r="AC242" i="1"/>
  <c r="AC608" i="1"/>
  <c r="AC243" i="1"/>
  <c r="AC609" i="1"/>
  <c r="AC244" i="1"/>
  <c r="AC610" i="1"/>
  <c r="AC611" i="1"/>
  <c r="AC245" i="1"/>
  <c r="AC246" i="1"/>
  <c r="AC612" i="1"/>
  <c r="AC613" i="1"/>
  <c r="AC247" i="1"/>
  <c r="AC614" i="1"/>
  <c r="AC248" i="1"/>
  <c r="AC615" i="1"/>
  <c r="AC249" i="1"/>
  <c r="AC250" i="1"/>
  <c r="AC616" i="1"/>
  <c r="AC251" i="1"/>
  <c r="AC617" i="1"/>
  <c r="AC252" i="1"/>
  <c r="AC618" i="1"/>
  <c r="AC253" i="1"/>
  <c r="AC619" i="1"/>
  <c r="AC620" i="1"/>
  <c r="AC254" i="1"/>
  <c r="AC621" i="1"/>
  <c r="AC255" i="1"/>
  <c r="AC256" i="1"/>
  <c r="AC622" i="1"/>
  <c r="AC257" i="1"/>
  <c r="AC623" i="1"/>
  <c r="AC258" i="1"/>
  <c r="AC624" i="1"/>
  <c r="AC259" i="1"/>
  <c r="AC625" i="1"/>
  <c r="AC260" i="1"/>
  <c r="AC626" i="1"/>
  <c r="AC261" i="1"/>
  <c r="AC627" i="1"/>
  <c r="AC628" i="1"/>
  <c r="AC262" i="1"/>
  <c r="AC263" i="1"/>
  <c r="AC629" i="1"/>
  <c r="AC264" i="1"/>
  <c r="AC630" i="1"/>
  <c r="AC265" i="1"/>
  <c r="AC631" i="1"/>
  <c r="AC632" i="1"/>
  <c r="AC266" i="1"/>
  <c r="AC633" i="1"/>
  <c r="AC267" i="1"/>
  <c r="AC634" i="1"/>
  <c r="AC268" i="1"/>
  <c r="AC635" i="1"/>
  <c r="AC269" i="1"/>
  <c r="AC636" i="1"/>
  <c r="AC270" i="1"/>
  <c r="AC271" i="1"/>
  <c r="AC637" i="1"/>
  <c r="AC638" i="1"/>
  <c r="AC272" i="1"/>
  <c r="AC639" i="1"/>
  <c r="AC273" i="1"/>
  <c r="AC274" i="1"/>
  <c r="AC640" i="1"/>
  <c r="AC275" i="1"/>
  <c r="AC641" i="1"/>
  <c r="AC642" i="1"/>
  <c r="AC276" i="1"/>
  <c r="AC277" i="1"/>
  <c r="AC643" i="1"/>
  <c r="AC644" i="1"/>
  <c r="AC278" i="1"/>
  <c r="AC645" i="1"/>
  <c r="AC279" i="1"/>
  <c r="AC280" i="1"/>
  <c r="AC646" i="1"/>
  <c r="AC281" i="1"/>
  <c r="AC647" i="1"/>
  <c r="AC282" i="1"/>
  <c r="AC648" i="1"/>
  <c r="AC283" i="1"/>
  <c r="AC649" i="1"/>
  <c r="AC284" i="1"/>
  <c r="AC650" i="1"/>
  <c r="AC651" i="1"/>
  <c r="AC285" i="1"/>
  <c r="AC286" i="1"/>
  <c r="AC652" i="1"/>
  <c r="AC287" i="1"/>
  <c r="AC653" i="1"/>
  <c r="AC288" i="1"/>
  <c r="AC654" i="1"/>
  <c r="AC289" i="1"/>
  <c r="AC655" i="1"/>
  <c r="AC656" i="1"/>
  <c r="AC290" i="1"/>
  <c r="AC291" i="1"/>
  <c r="AC657" i="1"/>
  <c r="AC292" i="1"/>
  <c r="AC658" i="1"/>
  <c r="AC293" i="1"/>
  <c r="AC659" i="1"/>
  <c r="AC660" i="1"/>
  <c r="AC294" i="1"/>
  <c r="AC661" i="1"/>
  <c r="AC295" i="1"/>
  <c r="AC296" i="1"/>
  <c r="AC662" i="1"/>
  <c r="AC297" i="1"/>
  <c r="AC663" i="1"/>
  <c r="AC664" i="1"/>
  <c r="AC298" i="1"/>
  <c r="AC299" i="1"/>
  <c r="AC665" i="1"/>
  <c r="AC666" i="1"/>
  <c r="AC300" i="1"/>
  <c r="AC667" i="1"/>
  <c r="AC301" i="1"/>
  <c r="AC668" i="1"/>
  <c r="AC302" i="1"/>
  <c r="AC303" i="1"/>
  <c r="AC669" i="1"/>
  <c r="AC670" i="1"/>
  <c r="AC304" i="1"/>
  <c r="AC305" i="1"/>
  <c r="AC671" i="1"/>
  <c r="AC306" i="1"/>
  <c r="AC672" i="1"/>
  <c r="AC307" i="1"/>
  <c r="AC673" i="1"/>
  <c r="AC674" i="1"/>
  <c r="AC308" i="1"/>
  <c r="AC309" i="1"/>
  <c r="AC675" i="1"/>
  <c r="AC676" i="1"/>
  <c r="AC310" i="1"/>
  <c r="AC677" i="1"/>
  <c r="AC311" i="1"/>
  <c r="AC678" i="1"/>
  <c r="AC312" i="1"/>
  <c r="AC679" i="1"/>
  <c r="AC313" i="1"/>
  <c r="AC314" i="1"/>
  <c r="AC680" i="1"/>
  <c r="AC315" i="1"/>
  <c r="AC681" i="1"/>
  <c r="AC682" i="1"/>
  <c r="AC316" i="1"/>
  <c r="AC683" i="1"/>
  <c r="AC317" i="1"/>
  <c r="AC684" i="1"/>
  <c r="AC318" i="1"/>
  <c r="AC685" i="1"/>
  <c r="AC319" i="1"/>
  <c r="AC320" i="1"/>
  <c r="AC686" i="1"/>
  <c r="AC687" i="1"/>
  <c r="AC321" i="1"/>
  <c r="AC688" i="1"/>
  <c r="AC322" i="1"/>
  <c r="AC689" i="1"/>
  <c r="AC323" i="1"/>
  <c r="AC324" i="1"/>
  <c r="AC690" i="1"/>
  <c r="AC325" i="1"/>
  <c r="AC691" i="1"/>
  <c r="AC692" i="1"/>
  <c r="AC326" i="1"/>
  <c r="AC693" i="1"/>
  <c r="AC327" i="1"/>
  <c r="AC694" i="1"/>
  <c r="AC328" i="1"/>
  <c r="AC329" i="1"/>
  <c r="AC695" i="1"/>
  <c r="AC330" i="1"/>
  <c r="AC696" i="1"/>
  <c r="AC697" i="1"/>
  <c r="AC331" i="1"/>
  <c r="AC698" i="1"/>
  <c r="AC332" i="1"/>
  <c r="AC333" i="1"/>
  <c r="AC699" i="1"/>
  <c r="AC700" i="1"/>
  <c r="AC334" i="1"/>
  <c r="AC701" i="1"/>
  <c r="AC335" i="1"/>
  <c r="AC336" i="1"/>
  <c r="AC702" i="1"/>
  <c r="AC337" i="1"/>
  <c r="AC703" i="1"/>
  <c r="AC338" i="1"/>
  <c r="AC704" i="1"/>
  <c r="AC705" i="1"/>
  <c r="AC339" i="1"/>
  <c r="AC706" i="1"/>
  <c r="AC340" i="1"/>
  <c r="AC707" i="1"/>
  <c r="AC341" i="1"/>
  <c r="AC708" i="1"/>
  <c r="AC342" i="1"/>
  <c r="AC709" i="1"/>
  <c r="AC343" i="1"/>
  <c r="AC710" i="1"/>
  <c r="AC344" i="1"/>
  <c r="AC345" i="1"/>
  <c r="AC711" i="1"/>
  <c r="AC346" i="1"/>
  <c r="AC712" i="1"/>
  <c r="AC713" i="1"/>
  <c r="AC347" i="1"/>
  <c r="AC714" i="1"/>
  <c r="AC348" i="1"/>
  <c r="AC715" i="1"/>
  <c r="AC349" i="1"/>
  <c r="AC350" i="1"/>
  <c r="AC716" i="1"/>
  <c r="AC351" i="1"/>
  <c r="AC717" i="1"/>
  <c r="AC352" i="1"/>
  <c r="AC718" i="1"/>
  <c r="AC719" i="1"/>
  <c r="AC353" i="1"/>
  <c r="AC720" i="1"/>
  <c r="AC354" i="1"/>
  <c r="AC355" i="1"/>
  <c r="AC721" i="1"/>
  <c r="AC356" i="1"/>
  <c r="AC722" i="1"/>
  <c r="AC357" i="1"/>
  <c r="AC723" i="1"/>
  <c r="AC724" i="1"/>
  <c r="AC358" i="1"/>
  <c r="AC359" i="1"/>
  <c r="AC725" i="1"/>
  <c r="AC360" i="1"/>
  <c r="AC726" i="1"/>
  <c r="AC727" i="1"/>
  <c r="AC361" i="1"/>
  <c r="AC362" i="1"/>
  <c r="AC728" i="1"/>
  <c r="AC363" i="1"/>
  <c r="AC729" i="1"/>
  <c r="AC730" i="1"/>
  <c r="AC364" i="1"/>
  <c r="AC731" i="1"/>
  <c r="AC365" i="1"/>
  <c r="AC732" i="1"/>
  <c r="AC366" i="1"/>
  <c r="AC367" i="1"/>
  <c r="AF368" i="1"/>
  <c r="AF2" i="1"/>
  <c r="AF3" i="1"/>
  <c r="AF369" i="1"/>
  <c r="AF4" i="1"/>
  <c r="AF370" i="1"/>
  <c r="AF5" i="1"/>
  <c r="AF371" i="1"/>
  <c r="AF6" i="1"/>
  <c r="AF372" i="1"/>
  <c r="AF7" i="1"/>
  <c r="AF373" i="1"/>
  <c r="AF374" i="1"/>
  <c r="AF8" i="1"/>
  <c r="AF9" i="1"/>
  <c r="AF375" i="1"/>
  <c r="AF10" i="1"/>
  <c r="AF376" i="1"/>
  <c r="AF11" i="1"/>
  <c r="AF377" i="1"/>
  <c r="AF12" i="1"/>
  <c r="AF378" i="1"/>
  <c r="AF379" i="1"/>
  <c r="AF13" i="1"/>
  <c r="AF380" i="1"/>
  <c r="AF14" i="1"/>
  <c r="AF15" i="1"/>
  <c r="AF381" i="1"/>
  <c r="AF16" i="1"/>
  <c r="AF382" i="1"/>
  <c r="AF17" i="1"/>
  <c r="AF383" i="1"/>
  <c r="AF18" i="1"/>
  <c r="AF384" i="1"/>
  <c r="AF19" i="1"/>
  <c r="AF385" i="1"/>
  <c r="AF386" i="1"/>
  <c r="AF20" i="1"/>
  <c r="AF21" i="1"/>
  <c r="AF387" i="1"/>
  <c r="AF22" i="1"/>
  <c r="AF388" i="1"/>
  <c r="AF23" i="1"/>
  <c r="AF389" i="1"/>
  <c r="AF24" i="1"/>
  <c r="AF390" i="1"/>
  <c r="AF25" i="1"/>
  <c r="AF391" i="1"/>
  <c r="AF26" i="1"/>
  <c r="AF392" i="1"/>
  <c r="AF27" i="1"/>
  <c r="AF393" i="1"/>
  <c r="AF394" i="1"/>
  <c r="AF28" i="1"/>
  <c r="AF395" i="1"/>
  <c r="AF29" i="1"/>
  <c r="AF396" i="1"/>
  <c r="AF30" i="1"/>
  <c r="AF397" i="1"/>
  <c r="AF31" i="1"/>
  <c r="AF398" i="1"/>
  <c r="AF32" i="1"/>
  <c r="AF399" i="1"/>
  <c r="AF33" i="1"/>
  <c r="AF400" i="1"/>
  <c r="AF34" i="1"/>
  <c r="AF35" i="1"/>
  <c r="AF401" i="1"/>
  <c r="AF36" i="1"/>
  <c r="AF402" i="1"/>
  <c r="AF37" i="1"/>
  <c r="AF403" i="1"/>
  <c r="AF38" i="1"/>
  <c r="AF404" i="1"/>
  <c r="AF39" i="1"/>
  <c r="AF405" i="1"/>
  <c r="AF40" i="1"/>
  <c r="AF406" i="1"/>
  <c r="AF41" i="1"/>
  <c r="AF407" i="1"/>
  <c r="AF42" i="1"/>
  <c r="AF408" i="1"/>
  <c r="AF43" i="1"/>
  <c r="AF409" i="1"/>
  <c r="AF44" i="1"/>
  <c r="AF410" i="1"/>
  <c r="AF45" i="1"/>
  <c r="AF411" i="1"/>
  <c r="AF46" i="1"/>
  <c r="AF412" i="1"/>
  <c r="AF413" i="1"/>
  <c r="AF47" i="1"/>
  <c r="AF48" i="1"/>
  <c r="AF414" i="1"/>
  <c r="AF415" i="1"/>
  <c r="AF49" i="1"/>
  <c r="AF50" i="1"/>
  <c r="AF416" i="1"/>
  <c r="AF51" i="1"/>
  <c r="AF417" i="1"/>
  <c r="AF52" i="1"/>
  <c r="AF418" i="1"/>
  <c r="AF53" i="1"/>
  <c r="AF419" i="1"/>
  <c r="AF54" i="1"/>
  <c r="AF420" i="1"/>
  <c r="AF55" i="1"/>
  <c r="AF421" i="1"/>
  <c r="AF56" i="1"/>
  <c r="AF422" i="1"/>
  <c r="AF423" i="1"/>
  <c r="AF57" i="1"/>
  <c r="AF58" i="1"/>
  <c r="AF424" i="1"/>
  <c r="AF59" i="1"/>
  <c r="AF425" i="1"/>
  <c r="AF426" i="1"/>
  <c r="AF60" i="1"/>
  <c r="AF61" i="1"/>
  <c r="AF427" i="1"/>
  <c r="AF62" i="1"/>
  <c r="AF428" i="1"/>
  <c r="AF429" i="1"/>
  <c r="AF63" i="1"/>
  <c r="AF430" i="1"/>
  <c r="AF64" i="1"/>
  <c r="AF431" i="1"/>
  <c r="AF65" i="1"/>
  <c r="AF66" i="1"/>
  <c r="AF432" i="1"/>
  <c r="AF433" i="1"/>
  <c r="AF67" i="1"/>
  <c r="AF434" i="1"/>
  <c r="AF68" i="1"/>
  <c r="AF69" i="1"/>
  <c r="AF435" i="1"/>
  <c r="AF436" i="1"/>
  <c r="AF70" i="1"/>
  <c r="AF71" i="1"/>
  <c r="AF437" i="1"/>
  <c r="AF72" i="1"/>
  <c r="AF438" i="1"/>
  <c r="AF439" i="1"/>
  <c r="AF73" i="1"/>
  <c r="AF74" i="1"/>
  <c r="AF440" i="1"/>
  <c r="AF75" i="1"/>
  <c r="AF441" i="1"/>
  <c r="AF442" i="1"/>
  <c r="AF76" i="1"/>
  <c r="AF77" i="1"/>
  <c r="AF443" i="1"/>
  <c r="AF444" i="1"/>
  <c r="AF78" i="1"/>
  <c r="AF79" i="1"/>
  <c r="AF445" i="1"/>
  <c r="AF446" i="1"/>
  <c r="AF80" i="1"/>
  <c r="AF81" i="1"/>
  <c r="AF447" i="1"/>
  <c r="AF448" i="1"/>
  <c r="AF82" i="1"/>
  <c r="AF449" i="1"/>
  <c r="AF83" i="1"/>
  <c r="AF84" i="1"/>
  <c r="AF450" i="1"/>
  <c r="AF451" i="1"/>
  <c r="AF85" i="1"/>
  <c r="AF452" i="1"/>
  <c r="AF86" i="1"/>
  <c r="AF87" i="1"/>
  <c r="AF453" i="1"/>
  <c r="AF88" i="1"/>
  <c r="AF454" i="1"/>
  <c r="AF455" i="1"/>
  <c r="AF89" i="1"/>
  <c r="AF456" i="1"/>
  <c r="AF90" i="1"/>
  <c r="AF91" i="1"/>
  <c r="AF457" i="1"/>
  <c r="AF92" i="1"/>
  <c r="AF458" i="1"/>
  <c r="AF459" i="1"/>
  <c r="AF93" i="1"/>
  <c r="AF460" i="1"/>
  <c r="AF94" i="1"/>
  <c r="AF461" i="1"/>
  <c r="AF95" i="1"/>
  <c r="AF96" i="1"/>
  <c r="AF462" i="1"/>
  <c r="AF463" i="1"/>
  <c r="AF97" i="1"/>
  <c r="AF98" i="1"/>
  <c r="AF464" i="1"/>
  <c r="AF99" i="1"/>
  <c r="AF465" i="1"/>
  <c r="AF100" i="1"/>
  <c r="AF466" i="1"/>
  <c r="AF467" i="1"/>
  <c r="AF101" i="1"/>
  <c r="AF102" i="1"/>
  <c r="AF468" i="1"/>
  <c r="AF469" i="1"/>
  <c r="AF103" i="1"/>
  <c r="AF470" i="1"/>
  <c r="AF104" i="1"/>
  <c r="AF471" i="1"/>
  <c r="AF105" i="1"/>
  <c r="AF106" i="1"/>
  <c r="AF472" i="1"/>
  <c r="AF473" i="1"/>
  <c r="AF107" i="1"/>
  <c r="AF108" i="1"/>
  <c r="AF474" i="1"/>
  <c r="AF109" i="1"/>
  <c r="AF475" i="1"/>
  <c r="AF476" i="1"/>
  <c r="AF110" i="1"/>
  <c r="AF111" i="1"/>
  <c r="AF477" i="1"/>
  <c r="AF112" i="1"/>
  <c r="AF478" i="1"/>
  <c r="AF113" i="1"/>
  <c r="AF479" i="1"/>
  <c r="AF480" i="1"/>
  <c r="AF114" i="1"/>
  <c r="AF115" i="1"/>
  <c r="AF481" i="1"/>
  <c r="AF482" i="1"/>
  <c r="AF116" i="1"/>
  <c r="AF117" i="1"/>
  <c r="AF483" i="1"/>
  <c r="AF118" i="1"/>
  <c r="AF484" i="1"/>
  <c r="AF485" i="1"/>
  <c r="AF119" i="1"/>
  <c r="AF120" i="1"/>
  <c r="AF486" i="1"/>
  <c r="AF487" i="1"/>
  <c r="AF121" i="1"/>
  <c r="AF488" i="1"/>
  <c r="AF122" i="1"/>
  <c r="AF123" i="1"/>
  <c r="AF489" i="1"/>
  <c r="AF490" i="1"/>
  <c r="AF124" i="1"/>
  <c r="AF491" i="1"/>
  <c r="AF125" i="1"/>
  <c r="AF492" i="1"/>
  <c r="AF126" i="1"/>
  <c r="AF493" i="1"/>
  <c r="AF127" i="1"/>
  <c r="AF494" i="1"/>
  <c r="AF128" i="1"/>
  <c r="AF129" i="1"/>
  <c r="AF495" i="1"/>
  <c r="AF130" i="1"/>
  <c r="AF496" i="1"/>
  <c r="AF497" i="1"/>
  <c r="AF131" i="1"/>
  <c r="AF132" i="1"/>
  <c r="AF498" i="1"/>
  <c r="AF499" i="1"/>
  <c r="AF133" i="1"/>
  <c r="AF134" i="1"/>
  <c r="AF500" i="1"/>
  <c r="AF501" i="1"/>
  <c r="AF135" i="1"/>
  <c r="AF136" i="1"/>
  <c r="AF502" i="1"/>
  <c r="AF137" i="1"/>
  <c r="AF503" i="1"/>
  <c r="AF504" i="1"/>
  <c r="AF138" i="1"/>
  <c r="AF139" i="1"/>
  <c r="AF505" i="1"/>
  <c r="AF506" i="1"/>
  <c r="AF140" i="1"/>
  <c r="AF507" i="1"/>
  <c r="AF141" i="1"/>
  <c r="AF508" i="1"/>
  <c r="AF142" i="1"/>
  <c r="AF509" i="1"/>
  <c r="AF143" i="1"/>
  <c r="AF144" i="1"/>
  <c r="AF510" i="1"/>
  <c r="AF145" i="1"/>
  <c r="AF511" i="1"/>
  <c r="AF512" i="1"/>
  <c r="AF146" i="1"/>
  <c r="AF147" i="1"/>
  <c r="AF513" i="1"/>
  <c r="AF514" i="1"/>
  <c r="AF148" i="1"/>
  <c r="AF515" i="1"/>
  <c r="AF149" i="1"/>
  <c r="AF516" i="1"/>
  <c r="AF150" i="1"/>
  <c r="AF517" i="1"/>
  <c r="AF151" i="1"/>
  <c r="AF152" i="1"/>
  <c r="AF518" i="1"/>
  <c r="AF519" i="1"/>
  <c r="AF153" i="1"/>
  <c r="AF154" i="1"/>
  <c r="AF520" i="1"/>
  <c r="AF521" i="1"/>
  <c r="AF155" i="1"/>
  <c r="AF156" i="1"/>
  <c r="AF522" i="1"/>
  <c r="AF523" i="1"/>
  <c r="AF157" i="1"/>
  <c r="AF158" i="1"/>
  <c r="AF524" i="1"/>
  <c r="AF159" i="1"/>
  <c r="AF525" i="1"/>
  <c r="AF526" i="1"/>
  <c r="AF160" i="1"/>
  <c r="AF161" i="1"/>
  <c r="AF527" i="1"/>
  <c r="AF162" i="1"/>
  <c r="AF528" i="1"/>
  <c r="AF529" i="1"/>
  <c r="AF163" i="1"/>
  <c r="AF164" i="1"/>
  <c r="AF530" i="1"/>
  <c r="AF165" i="1"/>
  <c r="AF531" i="1"/>
  <c r="AF532" i="1"/>
  <c r="AF166" i="1"/>
  <c r="AF167" i="1"/>
  <c r="AF533" i="1"/>
  <c r="AF168" i="1"/>
  <c r="AF534" i="1"/>
  <c r="AF535" i="1"/>
  <c r="AF169" i="1"/>
  <c r="AF536" i="1"/>
  <c r="AF170" i="1"/>
  <c r="AF537" i="1"/>
  <c r="AF171" i="1"/>
  <c r="AF538" i="1"/>
  <c r="AF172" i="1"/>
  <c r="AF173" i="1"/>
  <c r="AF539" i="1"/>
  <c r="AF174" i="1"/>
  <c r="AF540" i="1"/>
  <c r="AF175" i="1"/>
  <c r="AF541" i="1"/>
  <c r="AF176" i="1"/>
  <c r="AF542" i="1"/>
  <c r="AF543" i="1"/>
  <c r="AF177" i="1"/>
  <c r="AF544" i="1"/>
  <c r="AF178" i="1"/>
  <c r="AF545" i="1"/>
  <c r="AF179" i="1"/>
  <c r="AF180" i="1"/>
  <c r="AF546" i="1"/>
  <c r="AF547" i="1"/>
  <c r="AF181" i="1"/>
  <c r="AF548" i="1"/>
  <c r="AF182" i="1"/>
  <c r="AF549" i="1"/>
  <c r="AF183" i="1"/>
  <c r="AF550" i="1"/>
  <c r="AF184" i="1"/>
  <c r="AF185" i="1"/>
  <c r="AF551" i="1"/>
  <c r="AF186" i="1"/>
  <c r="AF552" i="1"/>
  <c r="AF187" i="1"/>
  <c r="AF553" i="1"/>
  <c r="AF188" i="1"/>
  <c r="AF554" i="1"/>
  <c r="AF189" i="1"/>
  <c r="AF555" i="1"/>
  <c r="AF190" i="1"/>
  <c r="AF556" i="1"/>
  <c r="AF557" i="1"/>
  <c r="AF191" i="1"/>
  <c r="AF558" i="1"/>
  <c r="AF192" i="1"/>
  <c r="AF193" i="1"/>
  <c r="AF559" i="1"/>
  <c r="AF194" i="1"/>
  <c r="AF560" i="1"/>
  <c r="AF561" i="1"/>
  <c r="AF195" i="1"/>
  <c r="AF562" i="1"/>
  <c r="AF196" i="1"/>
  <c r="AF563" i="1"/>
  <c r="AF197" i="1"/>
  <c r="AF198" i="1"/>
  <c r="AF564" i="1"/>
  <c r="AF565" i="1"/>
  <c r="AF199" i="1"/>
  <c r="AF200" i="1"/>
  <c r="AF566" i="1"/>
  <c r="AF201" i="1"/>
  <c r="AF567" i="1"/>
  <c r="AF568" i="1"/>
  <c r="AF202" i="1"/>
  <c r="AF569" i="1"/>
  <c r="AF203" i="1"/>
  <c r="AF570" i="1"/>
  <c r="AF204" i="1"/>
  <c r="AF571" i="1"/>
  <c r="AF205" i="1"/>
  <c r="AF572" i="1"/>
  <c r="AF206" i="1"/>
  <c r="AF573" i="1"/>
  <c r="AF207" i="1"/>
  <c r="AF574" i="1"/>
  <c r="AF208" i="1"/>
  <c r="AF209" i="1"/>
  <c r="AF575" i="1"/>
  <c r="AF576" i="1"/>
  <c r="AF210" i="1"/>
  <c r="AF211" i="1"/>
  <c r="AF577" i="1"/>
  <c r="AF578" i="1"/>
  <c r="AF212" i="1"/>
  <c r="AF579" i="1"/>
  <c r="AF213" i="1"/>
  <c r="AF214" i="1"/>
  <c r="AF580" i="1"/>
  <c r="AF215" i="1"/>
  <c r="AF581" i="1"/>
  <c r="AF216" i="1"/>
  <c r="AF582" i="1"/>
  <c r="AF217" i="1"/>
  <c r="AF583" i="1"/>
  <c r="AF584" i="1"/>
  <c r="AF218" i="1"/>
  <c r="AF585" i="1"/>
  <c r="AF219" i="1"/>
  <c r="AF220" i="1"/>
  <c r="AF586" i="1"/>
  <c r="AF221" i="1"/>
  <c r="AF587" i="1"/>
  <c r="AF588" i="1"/>
  <c r="AF222" i="1"/>
  <c r="AF223" i="1"/>
  <c r="AF589" i="1"/>
  <c r="AF224" i="1"/>
  <c r="AF590" i="1"/>
  <c r="AF225" i="1"/>
  <c r="AF591" i="1"/>
  <c r="AF592" i="1"/>
  <c r="AF226" i="1"/>
  <c r="AF227" i="1"/>
  <c r="AF593" i="1"/>
  <c r="AF594" i="1"/>
  <c r="AF228" i="1"/>
  <c r="AF595" i="1"/>
  <c r="AF229" i="1"/>
  <c r="AF230" i="1"/>
  <c r="AF596" i="1"/>
  <c r="AF231" i="1"/>
  <c r="AF597" i="1"/>
  <c r="AF232" i="1"/>
  <c r="AF598" i="1"/>
  <c r="AF599" i="1"/>
  <c r="AF233" i="1"/>
  <c r="AF234" i="1"/>
  <c r="AF600" i="1"/>
  <c r="AF235" i="1"/>
  <c r="AF601" i="1"/>
  <c r="AF236" i="1"/>
  <c r="AF602" i="1"/>
  <c r="AF603" i="1"/>
  <c r="AF237" i="1"/>
  <c r="AF604" i="1"/>
  <c r="AF238" i="1"/>
  <c r="AF605" i="1"/>
  <c r="AF239" i="1"/>
  <c r="AF240" i="1"/>
  <c r="AF606" i="1"/>
  <c r="AF607" i="1"/>
  <c r="AF241" i="1"/>
  <c r="AF242" i="1"/>
  <c r="AF608" i="1"/>
  <c r="AF243" i="1"/>
  <c r="AF609" i="1"/>
  <c r="AF244" i="1"/>
  <c r="AF610" i="1"/>
  <c r="AF611" i="1"/>
  <c r="AF245" i="1"/>
  <c r="AF246" i="1"/>
  <c r="AF612" i="1"/>
  <c r="AF613" i="1"/>
  <c r="AF247" i="1"/>
  <c r="AF614" i="1"/>
  <c r="AF248" i="1"/>
  <c r="AF615" i="1"/>
  <c r="AF249" i="1"/>
  <c r="AF250" i="1"/>
  <c r="AF616" i="1"/>
  <c r="AF251" i="1"/>
  <c r="AF617" i="1"/>
  <c r="AF252" i="1"/>
  <c r="AF618" i="1"/>
  <c r="AF253" i="1"/>
  <c r="AF619" i="1"/>
  <c r="AF620" i="1"/>
  <c r="AF254" i="1"/>
  <c r="AF621" i="1"/>
  <c r="AF255" i="1"/>
  <c r="AF256" i="1"/>
  <c r="AF622" i="1"/>
  <c r="AF257" i="1"/>
  <c r="AF623" i="1"/>
  <c r="AF258" i="1"/>
  <c r="AF624" i="1"/>
  <c r="AF259" i="1"/>
  <c r="AF625" i="1"/>
  <c r="AF260" i="1"/>
  <c r="AF626" i="1"/>
  <c r="AF261" i="1"/>
  <c r="AF627" i="1"/>
  <c r="AF628" i="1"/>
  <c r="AF262" i="1"/>
  <c r="AF263" i="1"/>
  <c r="AF629" i="1"/>
  <c r="AF264" i="1"/>
  <c r="AF630" i="1"/>
  <c r="AF265" i="1"/>
  <c r="AF631" i="1"/>
  <c r="AF632" i="1"/>
  <c r="AF266" i="1"/>
  <c r="AF633" i="1"/>
  <c r="AF267" i="1"/>
  <c r="AF634" i="1"/>
  <c r="AF268" i="1"/>
  <c r="AF635" i="1"/>
  <c r="AF269" i="1"/>
  <c r="AF636" i="1"/>
  <c r="AF270" i="1"/>
  <c r="AF271" i="1"/>
  <c r="AF637" i="1"/>
  <c r="AF638" i="1"/>
  <c r="AF272" i="1"/>
  <c r="AF639" i="1"/>
  <c r="AF273" i="1"/>
  <c r="AF274" i="1"/>
  <c r="AF640" i="1"/>
  <c r="AF275" i="1"/>
  <c r="AF641" i="1"/>
  <c r="AF642" i="1"/>
  <c r="AF276" i="1"/>
  <c r="AF277" i="1"/>
  <c r="AF643" i="1"/>
  <c r="AF644" i="1"/>
  <c r="AF278" i="1"/>
  <c r="AF645" i="1"/>
  <c r="AF279" i="1"/>
  <c r="AF280" i="1"/>
  <c r="AF646" i="1"/>
  <c r="AF281" i="1"/>
  <c r="AF647" i="1"/>
  <c r="AF282" i="1"/>
  <c r="AF648" i="1"/>
  <c r="AF283" i="1"/>
  <c r="AF649" i="1"/>
  <c r="AF284" i="1"/>
  <c r="AF650" i="1"/>
  <c r="AF651" i="1"/>
  <c r="AF285" i="1"/>
  <c r="AF286" i="1"/>
  <c r="AF652" i="1"/>
  <c r="AF287" i="1"/>
  <c r="AF653" i="1"/>
  <c r="AF288" i="1"/>
  <c r="AF654" i="1"/>
  <c r="AF289" i="1"/>
  <c r="AF655" i="1"/>
  <c r="AF656" i="1"/>
  <c r="AF290" i="1"/>
  <c r="AF291" i="1"/>
  <c r="AF657" i="1"/>
  <c r="AF292" i="1"/>
  <c r="AF658" i="1"/>
  <c r="AF293" i="1"/>
  <c r="AF659" i="1"/>
  <c r="AF660" i="1"/>
  <c r="AF294" i="1"/>
  <c r="AF661" i="1"/>
  <c r="AF295" i="1"/>
  <c r="AF296" i="1"/>
  <c r="AF662" i="1"/>
  <c r="AF297" i="1"/>
  <c r="AF663" i="1"/>
  <c r="AF664" i="1"/>
  <c r="AF298" i="1"/>
  <c r="AF299" i="1"/>
  <c r="AF665" i="1"/>
  <c r="AF666" i="1"/>
  <c r="AF300" i="1"/>
  <c r="AF667" i="1"/>
  <c r="AF301" i="1"/>
  <c r="AF668" i="1"/>
  <c r="AF302" i="1"/>
  <c r="AF303" i="1"/>
  <c r="AF669" i="1"/>
  <c r="AF670" i="1"/>
  <c r="AF304" i="1"/>
  <c r="AF305" i="1"/>
  <c r="AF671" i="1"/>
  <c r="AF306" i="1"/>
  <c r="AF672" i="1"/>
  <c r="AF307" i="1"/>
  <c r="AF673" i="1"/>
  <c r="AF674" i="1"/>
  <c r="AF308" i="1"/>
  <c r="AF309" i="1"/>
  <c r="AF675" i="1"/>
  <c r="AF676" i="1"/>
  <c r="AF310" i="1"/>
  <c r="AF677" i="1"/>
  <c r="AF311" i="1"/>
  <c r="AF678" i="1"/>
  <c r="AF312" i="1"/>
  <c r="AF679" i="1"/>
  <c r="AF313" i="1"/>
  <c r="AF314" i="1"/>
  <c r="AF680" i="1"/>
  <c r="AF315" i="1"/>
  <c r="AF681" i="1"/>
  <c r="AF682" i="1"/>
  <c r="AF316" i="1"/>
  <c r="AF683" i="1"/>
  <c r="AF317" i="1"/>
  <c r="AF684" i="1"/>
  <c r="AF318" i="1"/>
  <c r="AF685" i="1"/>
  <c r="AF319" i="1"/>
  <c r="AF320" i="1"/>
  <c r="AF686" i="1"/>
  <c r="AF687" i="1"/>
  <c r="AF321" i="1"/>
  <c r="AF688" i="1"/>
  <c r="AF322" i="1"/>
  <c r="AF689" i="1"/>
  <c r="AF323" i="1"/>
  <c r="AF324" i="1"/>
  <c r="AF690" i="1"/>
  <c r="AF325" i="1"/>
  <c r="AF691" i="1"/>
  <c r="AF692" i="1"/>
  <c r="AF326" i="1"/>
  <c r="AF693" i="1"/>
  <c r="AF327" i="1"/>
  <c r="AF694" i="1"/>
  <c r="AF328" i="1"/>
  <c r="AF329" i="1"/>
  <c r="AF695" i="1"/>
  <c r="AF330" i="1"/>
  <c r="AF696" i="1"/>
  <c r="AF697" i="1"/>
  <c r="AF331" i="1"/>
  <c r="AF698" i="1"/>
  <c r="AF332" i="1"/>
  <c r="AF333" i="1"/>
  <c r="AF699" i="1"/>
  <c r="AF700" i="1"/>
  <c r="AF334" i="1"/>
  <c r="AF701" i="1"/>
  <c r="AF335" i="1"/>
  <c r="AF336" i="1"/>
  <c r="AF702" i="1"/>
  <c r="AF337" i="1"/>
  <c r="AF703" i="1"/>
  <c r="AF338" i="1"/>
  <c r="AF704" i="1"/>
  <c r="AF705" i="1"/>
  <c r="AF339" i="1"/>
  <c r="AF706" i="1"/>
  <c r="AF340" i="1"/>
  <c r="AF707" i="1"/>
  <c r="AF341" i="1"/>
  <c r="AF708" i="1"/>
  <c r="AF342" i="1"/>
  <c r="AF709" i="1"/>
  <c r="AF343" i="1"/>
  <c r="AF710" i="1"/>
  <c r="AF344" i="1"/>
  <c r="AF345" i="1"/>
  <c r="AF711" i="1"/>
  <c r="AF346" i="1"/>
  <c r="AF712" i="1"/>
  <c r="AF713" i="1"/>
  <c r="AF347" i="1"/>
  <c r="AF714" i="1"/>
  <c r="AF348" i="1"/>
  <c r="AF715" i="1"/>
  <c r="AF349" i="1"/>
  <c r="AF350" i="1"/>
  <c r="AF716" i="1"/>
  <c r="AF351" i="1"/>
  <c r="AF717" i="1"/>
  <c r="AF352" i="1"/>
  <c r="AF718" i="1"/>
  <c r="AF719" i="1"/>
  <c r="AF353" i="1"/>
  <c r="AF720" i="1"/>
  <c r="AF354" i="1"/>
  <c r="AF355" i="1"/>
  <c r="AF721" i="1"/>
  <c r="AF356" i="1"/>
  <c r="AF722" i="1"/>
  <c r="AF357" i="1"/>
  <c r="AF723" i="1"/>
  <c r="AF724" i="1"/>
  <c r="AF358" i="1"/>
  <c r="AF359" i="1"/>
  <c r="AF725" i="1"/>
  <c r="AF360" i="1"/>
  <c r="AF726" i="1"/>
  <c r="AF727" i="1"/>
  <c r="AF361" i="1"/>
  <c r="AF362" i="1"/>
  <c r="AF728" i="1"/>
  <c r="AF363" i="1"/>
  <c r="AF729" i="1"/>
  <c r="AF730" i="1"/>
  <c r="AF364" i="1"/>
  <c r="AF731" i="1"/>
  <c r="AF365" i="1"/>
  <c r="AF732" i="1"/>
  <c r="AF366" i="1"/>
  <c r="AF367" i="1"/>
  <c r="AH367" i="1"/>
  <c r="AG367" i="1"/>
  <c r="AH366" i="1"/>
  <c r="AG366" i="1"/>
  <c r="AH732" i="1"/>
  <c r="AG732" i="1"/>
  <c r="AH365" i="1"/>
  <c r="AG365" i="1"/>
  <c r="AH731" i="1"/>
  <c r="AG731" i="1"/>
  <c r="AH364" i="1"/>
  <c r="AG364" i="1"/>
  <c r="AH730" i="1"/>
  <c r="AG730" i="1"/>
  <c r="AH729" i="1"/>
  <c r="AG729" i="1"/>
  <c r="AH363" i="1"/>
  <c r="AG363" i="1"/>
  <c r="AH728" i="1"/>
  <c r="AG728" i="1"/>
  <c r="AH362" i="1"/>
  <c r="AG362" i="1"/>
  <c r="AH361" i="1"/>
  <c r="AG361" i="1"/>
  <c r="AH727" i="1"/>
  <c r="AG727" i="1"/>
  <c r="AH726" i="1"/>
  <c r="AG726" i="1"/>
  <c r="AH360" i="1"/>
  <c r="AG360" i="1"/>
  <c r="AH725" i="1"/>
  <c r="AG725" i="1"/>
  <c r="AH359" i="1"/>
  <c r="AG359" i="1"/>
  <c r="AH358" i="1"/>
  <c r="AG358" i="1"/>
  <c r="AH724" i="1"/>
  <c r="AG724" i="1"/>
  <c r="AH723" i="1"/>
  <c r="AG723" i="1"/>
  <c r="AH357" i="1"/>
  <c r="AG357" i="1"/>
  <c r="AH722" i="1"/>
  <c r="AG722" i="1"/>
  <c r="AH356" i="1"/>
  <c r="AG356" i="1"/>
  <c r="AH721" i="1"/>
  <c r="AG721" i="1"/>
  <c r="AH355" i="1"/>
  <c r="AG355" i="1"/>
  <c r="AH354" i="1"/>
  <c r="AG354" i="1"/>
  <c r="AH720" i="1"/>
  <c r="AG720" i="1"/>
  <c r="AH353" i="1"/>
  <c r="AG353" i="1"/>
  <c r="AH719" i="1"/>
  <c r="AG719" i="1"/>
  <c r="AH718" i="1"/>
  <c r="AG718" i="1"/>
  <c r="AH352" i="1"/>
  <c r="AG352" i="1"/>
  <c r="AH717" i="1"/>
  <c r="AG717" i="1"/>
  <c r="AH351" i="1"/>
  <c r="AG351" i="1"/>
  <c r="AH716" i="1"/>
  <c r="AG716" i="1"/>
  <c r="AH350" i="1"/>
  <c r="AG350" i="1"/>
  <c r="AH349" i="1"/>
  <c r="AG349" i="1"/>
  <c r="AH715" i="1"/>
  <c r="AG715" i="1"/>
  <c r="AH348" i="1"/>
  <c r="AG348" i="1"/>
  <c r="AH714" i="1"/>
  <c r="AG714" i="1"/>
  <c r="AH347" i="1"/>
  <c r="AG347" i="1"/>
  <c r="AH713" i="1"/>
  <c r="AG713" i="1"/>
  <c r="AH712" i="1"/>
  <c r="AG712" i="1"/>
  <c r="AH346" i="1"/>
  <c r="AG346" i="1"/>
  <c r="AH711" i="1"/>
  <c r="AG711" i="1"/>
  <c r="AH345" i="1"/>
  <c r="AG345" i="1"/>
  <c r="AH344" i="1"/>
  <c r="AG344" i="1"/>
  <c r="AH710" i="1"/>
  <c r="AG710" i="1"/>
  <c r="AH343" i="1"/>
  <c r="AG343" i="1"/>
  <c r="AH709" i="1"/>
  <c r="AG709" i="1"/>
  <c r="AH342" i="1"/>
  <c r="AG342" i="1"/>
  <c r="AH708" i="1"/>
  <c r="AG708" i="1"/>
  <c r="AH341" i="1"/>
  <c r="AG341" i="1"/>
  <c r="AH707" i="1"/>
  <c r="AG707" i="1"/>
  <c r="AH340" i="1"/>
  <c r="AG340" i="1"/>
  <c r="AH706" i="1"/>
  <c r="AG706" i="1"/>
  <c r="AH339" i="1"/>
  <c r="AG339" i="1"/>
  <c r="AH705" i="1"/>
  <c r="AG705" i="1"/>
  <c r="AH704" i="1"/>
  <c r="AG704" i="1"/>
  <c r="AH338" i="1"/>
  <c r="AG338" i="1"/>
  <c r="AH703" i="1"/>
  <c r="AG703" i="1"/>
  <c r="AH337" i="1"/>
  <c r="AG337" i="1"/>
  <c r="AH702" i="1"/>
  <c r="AG702" i="1"/>
  <c r="AH336" i="1"/>
  <c r="AG336" i="1"/>
  <c r="AH335" i="1"/>
  <c r="AG335" i="1"/>
  <c r="AH701" i="1"/>
  <c r="AG701" i="1"/>
  <c r="AH334" i="1"/>
  <c r="AG334" i="1"/>
  <c r="AH700" i="1"/>
  <c r="AG700" i="1"/>
  <c r="AH699" i="1"/>
  <c r="AG699" i="1"/>
  <c r="AH333" i="1"/>
  <c r="AG333" i="1"/>
  <c r="AH332" i="1"/>
  <c r="AG332" i="1"/>
  <c r="AH698" i="1"/>
  <c r="AG698" i="1"/>
  <c r="AH331" i="1"/>
  <c r="AG331" i="1"/>
  <c r="AH697" i="1"/>
  <c r="AG697" i="1"/>
  <c r="AH696" i="1"/>
  <c r="AG696" i="1"/>
  <c r="AH330" i="1"/>
  <c r="AG330" i="1"/>
  <c r="AH695" i="1"/>
  <c r="AG695" i="1"/>
  <c r="AH329" i="1"/>
  <c r="AG329" i="1"/>
  <c r="AH328" i="1"/>
  <c r="AG328" i="1"/>
  <c r="AH694" i="1"/>
  <c r="AG694" i="1"/>
  <c r="AH327" i="1"/>
  <c r="AG327" i="1"/>
  <c r="AH693" i="1"/>
  <c r="AG693" i="1"/>
  <c r="AH326" i="1"/>
  <c r="AG326" i="1"/>
  <c r="AH692" i="1"/>
  <c r="AG692" i="1"/>
  <c r="AH691" i="1"/>
  <c r="AG691" i="1"/>
  <c r="AH325" i="1"/>
  <c r="AG325" i="1"/>
  <c r="AH690" i="1"/>
  <c r="AG690" i="1"/>
  <c r="AH324" i="1"/>
  <c r="AG324" i="1"/>
  <c r="AH323" i="1"/>
  <c r="AG323" i="1"/>
  <c r="AH689" i="1"/>
  <c r="AG689" i="1"/>
  <c r="AH322" i="1"/>
  <c r="AG322" i="1"/>
  <c r="AH688" i="1"/>
  <c r="AG688" i="1"/>
  <c r="AH321" i="1"/>
  <c r="AG321" i="1"/>
  <c r="AH687" i="1"/>
  <c r="AG687" i="1"/>
  <c r="AH686" i="1"/>
  <c r="AG686" i="1"/>
  <c r="AH320" i="1"/>
  <c r="AG320" i="1"/>
  <c r="AH319" i="1"/>
  <c r="AG319" i="1"/>
  <c r="AH685" i="1"/>
  <c r="AG685" i="1"/>
  <c r="AH318" i="1"/>
  <c r="AG318" i="1"/>
  <c r="AH684" i="1"/>
  <c r="AG684" i="1"/>
  <c r="AH317" i="1"/>
  <c r="AG317" i="1"/>
  <c r="AH683" i="1"/>
  <c r="AG683" i="1"/>
  <c r="AH316" i="1"/>
  <c r="AG316" i="1"/>
  <c r="AH682" i="1"/>
  <c r="AG682" i="1"/>
  <c r="AH681" i="1"/>
  <c r="AG681" i="1"/>
  <c r="AH315" i="1"/>
  <c r="AG315" i="1"/>
  <c r="AH680" i="1"/>
  <c r="AG680" i="1"/>
  <c r="AH314" i="1"/>
  <c r="AG314" i="1"/>
  <c r="AH313" i="1"/>
  <c r="AG313" i="1"/>
  <c r="AH679" i="1"/>
  <c r="AG679" i="1"/>
  <c r="AH312" i="1"/>
  <c r="AG312" i="1"/>
  <c r="AH678" i="1"/>
  <c r="AG678" i="1"/>
  <c r="AH311" i="1"/>
  <c r="AG311" i="1"/>
  <c r="AH677" i="1"/>
  <c r="AG677" i="1"/>
  <c r="AH310" i="1"/>
  <c r="AG310" i="1"/>
  <c r="AH676" i="1"/>
  <c r="AG676" i="1"/>
  <c r="AH675" i="1"/>
  <c r="AG675" i="1"/>
  <c r="AH309" i="1"/>
  <c r="AG309" i="1"/>
  <c r="AH308" i="1"/>
  <c r="AG308" i="1"/>
  <c r="AH674" i="1"/>
  <c r="AG674" i="1"/>
  <c r="AH673" i="1"/>
  <c r="AG673" i="1"/>
  <c r="AH307" i="1"/>
  <c r="AG307" i="1"/>
  <c r="AH672" i="1"/>
  <c r="AG672" i="1"/>
  <c r="AH306" i="1"/>
  <c r="AG306" i="1"/>
  <c r="AH671" i="1"/>
  <c r="AG671" i="1"/>
  <c r="AH305" i="1"/>
  <c r="AG305" i="1"/>
  <c r="AH304" i="1"/>
  <c r="AG304" i="1"/>
  <c r="AH670" i="1"/>
  <c r="AG670" i="1"/>
  <c r="AH669" i="1"/>
  <c r="AG669" i="1"/>
  <c r="AH303" i="1"/>
  <c r="AG303" i="1"/>
  <c r="AH302" i="1"/>
  <c r="AG302" i="1"/>
  <c r="AH668" i="1"/>
  <c r="AG668" i="1"/>
  <c r="AH301" i="1"/>
  <c r="AG301" i="1"/>
  <c r="AH667" i="1"/>
  <c r="AG667" i="1"/>
  <c r="AH300" i="1"/>
  <c r="AG300" i="1"/>
  <c r="AH666" i="1"/>
  <c r="AG666" i="1"/>
  <c r="AH665" i="1"/>
  <c r="AG665" i="1"/>
  <c r="AH299" i="1"/>
  <c r="AG299" i="1"/>
  <c r="AH298" i="1"/>
  <c r="AG298" i="1"/>
  <c r="AH664" i="1"/>
  <c r="AG664" i="1"/>
  <c r="AH663" i="1"/>
  <c r="AG663" i="1"/>
  <c r="AH297" i="1"/>
  <c r="AG297" i="1"/>
  <c r="AH662" i="1"/>
  <c r="AG662" i="1"/>
  <c r="AH296" i="1"/>
  <c r="AG296" i="1"/>
  <c r="AH295" i="1"/>
  <c r="AG295" i="1"/>
  <c r="AH661" i="1"/>
  <c r="AG661" i="1"/>
  <c r="AH294" i="1"/>
  <c r="AG294" i="1"/>
  <c r="AH660" i="1"/>
  <c r="AG660" i="1"/>
  <c r="AH659" i="1"/>
  <c r="AG659" i="1"/>
  <c r="AH293" i="1"/>
  <c r="AG293" i="1"/>
  <c r="AH658" i="1"/>
  <c r="AG658" i="1"/>
  <c r="AH292" i="1"/>
  <c r="AG292" i="1"/>
  <c r="AH657" i="1"/>
  <c r="AG657" i="1"/>
  <c r="AH291" i="1"/>
  <c r="AG291" i="1"/>
  <c r="AH290" i="1"/>
  <c r="AG290" i="1"/>
  <c r="AH656" i="1"/>
  <c r="AG656" i="1"/>
  <c r="AH655" i="1"/>
  <c r="AG655" i="1"/>
  <c r="AH289" i="1"/>
  <c r="AG289" i="1"/>
  <c r="AH654" i="1"/>
  <c r="AG654" i="1"/>
  <c r="AH288" i="1"/>
  <c r="AG288" i="1"/>
  <c r="AH653" i="1"/>
  <c r="AG653" i="1"/>
  <c r="AH287" i="1"/>
  <c r="AG287" i="1"/>
  <c r="AH652" i="1"/>
  <c r="AG652" i="1"/>
  <c r="AH286" i="1"/>
  <c r="AG286" i="1"/>
  <c r="AH285" i="1"/>
  <c r="AG285" i="1"/>
  <c r="AH651" i="1"/>
  <c r="AG651" i="1"/>
  <c r="AH650" i="1"/>
  <c r="AG650" i="1"/>
  <c r="AH284" i="1"/>
  <c r="AG284" i="1"/>
  <c r="AH649" i="1"/>
  <c r="AG649" i="1"/>
  <c r="AH283" i="1"/>
  <c r="AG283" i="1"/>
  <c r="AH648" i="1"/>
  <c r="AG648" i="1"/>
  <c r="AH282" i="1"/>
  <c r="AG282" i="1"/>
  <c r="AH647" i="1"/>
  <c r="AG647" i="1"/>
  <c r="AH281" i="1"/>
  <c r="AG281" i="1"/>
  <c r="AH646" i="1"/>
  <c r="AG646" i="1"/>
  <c r="AH280" i="1"/>
  <c r="AG280" i="1"/>
  <c r="AH279" i="1"/>
  <c r="AG279" i="1"/>
  <c r="AH645" i="1"/>
  <c r="AG645" i="1"/>
  <c r="AH278" i="1"/>
  <c r="AG278" i="1"/>
  <c r="AH644" i="1"/>
  <c r="AG644" i="1"/>
  <c r="AH643" i="1"/>
  <c r="AG643" i="1"/>
  <c r="AH277" i="1"/>
  <c r="AG277" i="1"/>
  <c r="AH276" i="1"/>
  <c r="AG276" i="1"/>
  <c r="AH642" i="1"/>
  <c r="AG642" i="1"/>
  <c r="AH641" i="1"/>
  <c r="AG641" i="1"/>
  <c r="AH275" i="1"/>
  <c r="AG275" i="1"/>
  <c r="AH640" i="1"/>
  <c r="AG640" i="1"/>
  <c r="AH274" i="1"/>
  <c r="AG274" i="1"/>
  <c r="AH273" i="1"/>
  <c r="AG273" i="1"/>
  <c r="AH639" i="1"/>
  <c r="AG639" i="1"/>
  <c r="AH272" i="1"/>
  <c r="AG272" i="1"/>
  <c r="AH638" i="1"/>
  <c r="AG638" i="1"/>
  <c r="AH637" i="1"/>
  <c r="AG637" i="1"/>
  <c r="AH271" i="1"/>
  <c r="AG271" i="1"/>
  <c r="AH270" i="1"/>
  <c r="AG270" i="1"/>
  <c r="AH636" i="1"/>
  <c r="AG636" i="1"/>
  <c r="AH269" i="1"/>
  <c r="AG269" i="1"/>
  <c r="AH635" i="1"/>
  <c r="AG635" i="1"/>
  <c r="AH268" i="1"/>
  <c r="AG268" i="1"/>
  <c r="AH634" i="1"/>
  <c r="AG634" i="1"/>
  <c r="AH267" i="1"/>
  <c r="AG267" i="1"/>
  <c r="AH633" i="1"/>
  <c r="AG633" i="1"/>
  <c r="AH266" i="1"/>
  <c r="AG266" i="1"/>
  <c r="AH632" i="1"/>
  <c r="AG632" i="1"/>
  <c r="AH631" i="1"/>
  <c r="AG631" i="1"/>
  <c r="AH265" i="1"/>
  <c r="AG265" i="1"/>
  <c r="AH630" i="1"/>
  <c r="AG630" i="1"/>
  <c r="AH264" i="1"/>
  <c r="AG264" i="1"/>
  <c r="AH629" i="1"/>
  <c r="AG629" i="1"/>
  <c r="AH263" i="1"/>
  <c r="AG263" i="1"/>
  <c r="AH262" i="1"/>
  <c r="AG262" i="1"/>
  <c r="AH628" i="1"/>
  <c r="AG628" i="1"/>
  <c r="AH627" i="1"/>
  <c r="AG627" i="1"/>
  <c r="AH261" i="1"/>
  <c r="AG261" i="1"/>
  <c r="AH626" i="1"/>
  <c r="AG626" i="1"/>
  <c r="AH260" i="1"/>
  <c r="AG260" i="1"/>
  <c r="AH625" i="1"/>
  <c r="AG625" i="1"/>
  <c r="AH259" i="1"/>
  <c r="AG259" i="1"/>
  <c r="AH624" i="1"/>
  <c r="AG624" i="1"/>
  <c r="AH258" i="1"/>
  <c r="AG258" i="1"/>
  <c r="AH623" i="1"/>
  <c r="AG623" i="1"/>
  <c r="AH257" i="1"/>
  <c r="AG257" i="1"/>
  <c r="AH622" i="1"/>
  <c r="AG622" i="1"/>
  <c r="AH256" i="1"/>
  <c r="AG256" i="1"/>
  <c r="AH255" i="1"/>
  <c r="AG255" i="1"/>
  <c r="AH621" i="1"/>
  <c r="AG621" i="1"/>
  <c r="AH254" i="1"/>
  <c r="AG254" i="1"/>
  <c r="AH620" i="1"/>
  <c r="AG620" i="1"/>
  <c r="AH619" i="1"/>
  <c r="AG619" i="1"/>
  <c r="AH253" i="1"/>
  <c r="AG253" i="1"/>
  <c r="AH618" i="1"/>
  <c r="AG618" i="1"/>
  <c r="AH252" i="1"/>
  <c r="AG252" i="1"/>
  <c r="AH617" i="1"/>
  <c r="AG617" i="1"/>
  <c r="AH251" i="1"/>
  <c r="AG251" i="1"/>
  <c r="AH616" i="1"/>
  <c r="AG616" i="1"/>
  <c r="AH250" i="1"/>
  <c r="AG250" i="1"/>
  <c r="AH249" i="1"/>
  <c r="AG249" i="1"/>
  <c r="AH615" i="1"/>
  <c r="AG615" i="1"/>
  <c r="AH248" i="1"/>
  <c r="AG248" i="1"/>
  <c r="AH614" i="1"/>
  <c r="AG614" i="1"/>
  <c r="AH247" i="1"/>
  <c r="AG247" i="1"/>
  <c r="AH613" i="1"/>
  <c r="AG613" i="1"/>
  <c r="AH612" i="1"/>
  <c r="AG612" i="1"/>
  <c r="AH246" i="1"/>
  <c r="AG246" i="1"/>
  <c r="AH245" i="1"/>
  <c r="AG245" i="1"/>
  <c r="AH611" i="1"/>
  <c r="AG611" i="1"/>
  <c r="AH610" i="1"/>
  <c r="AG610" i="1"/>
  <c r="AH244" i="1"/>
  <c r="AG244" i="1"/>
  <c r="AH609" i="1"/>
  <c r="AG609" i="1"/>
  <c r="AH243" i="1"/>
  <c r="AG243" i="1"/>
  <c r="AH608" i="1"/>
  <c r="AG608" i="1"/>
  <c r="AH242" i="1"/>
  <c r="AG242" i="1"/>
  <c r="AH241" i="1"/>
  <c r="AG241" i="1"/>
  <c r="AH607" i="1"/>
  <c r="AG607" i="1"/>
  <c r="AH606" i="1"/>
  <c r="AG606" i="1"/>
  <c r="AH240" i="1"/>
  <c r="AG240" i="1"/>
  <c r="AH239" i="1"/>
  <c r="AG239" i="1"/>
  <c r="AH605" i="1"/>
  <c r="AG605" i="1"/>
  <c r="AH238" i="1"/>
  <c r="AG238" i="1"/>
  <c r="AH604" i="1"/>
  <c r="AG604" i="1"/>
  <c r="AH237" i="1"/>
  <c r="AG237" i="1"/>
  <c r="AH603" i="1"/>
  <c r="AG603" i="1"/>
  <c r="AH602" i="1"/>
  <c r="AG602" i="1"/>
  <c r="AH236" i="1"/>
  <c r="AG236" i="1"/>
  <c r="AH601" i="1"/>
  <c r="AG601" i="1"/>
  <c r="AH235" i="1"/>
  <c r="AG235" i="1"/>
  <c r="AH600" i="1"/>
  <c r="AG600" i="1"/>
  <c r="AH234" i="1"/>
  <c r="AG234" i="1"/>
  <c r="AH233" i="1"/>
  <c r="AG233" i="1"/>
  <c r="AH599" i="1"/>
  <c r="AG599" i="1"/>
  <c r="AH598" i="1"/>
  <c r="AG598" i="1"/>
  <c r="AH232" i="1"/>
  <c r="AG232" i="1"/>
  <c r="AH597" i="1"/>
  <c r="AG597" i="1"/>
  <c r="AH231" i="1"/>
  <c r="AG231" i="1"/>
  <c r="AH596" i="1"/>
  <c r="AG596" i="1"/>
  <c r="AH230" i="1"/>
  <c r="AG230" i="1"/>
  <c r="AH229" i="1"/>
  <c r="AG229" i="1"/>
  <c r="AH595" i="1"/>
  <c r="AG595" i="1"/>
  <c r="AH228" i="1"/>
  <c r="AG228" i="1"/>
  <c r="AH594" i="1"/>
  <c r="AG594" i="1"/>
  <c r="AH593" i="1"/>
  <c r="AG593" i="1"/>
  <c r="AH227" i="1"/>
  <c r="AG227" i="1"/>
  <c r="AH226" i="1"/>
  <c r="AG226" i="1"/>
  <c r="AH592" i="1"/>
  <c r="AG592" i="1"/>
  <c r="AH591" i="1"/>
  <c r="AG591" i="1"/>
  <c r="AH225" i="1"/>
  <c r="AG225" i="1"/>
  <c r="AH590" i="1"/>
  <c r="AG590" i="1"/>
  <c r="AH224" i="1"/>
  <c r="AG224" i="1"/>
  <c r="AH589" i="1"/>
  <c r="AG589" i="1"/>
  <c r="AH223" i="1"/>
  <c r="AG223" i="1"/>
  <c r="AH222" i="1"/>
  <c r="AG222" i="1"/>
  <c r="AH588" i="1"/>
  <c r="AG588" i="1"/>
  <c r="AH587" i="1"/>
  <c r="AG587" i="1"/>
  <c r="AH221" i="1"/>
  <c r="AG221" i="1"/>
  <c r="AH586" i="1"/>
  <c r="AG586" i="1"/>
  <c r="AH220" i="1"/>
  <c r="AG220" i="1"/>
  <c r="AH219" i="1"/>
  <c r="AG219" i="1"/>
  <c r="AH585" i="1"/>
  <c r="AG585" i="1"/>
  <c r="AH218" i="1"/>
  <c r="AG218" i="1"/>
  <c r="AH584" i="1"/>
  <c r="AG584" i="1"/>
  <c r="AH583" i="1"/>
  <c r="AG583" i="1"/>
  <c r="AH217" i="1"/>
  <c r="AG217" i="1"/>
  <c r="AH582" i="1"/>
  <c r="AG582" i="1"/>
  <c r="AH216" i="1"/>
  <c r="AG216" i="1"/>
  <c r="AH581" i="1"/>
  <c r="AG581" i="1"/>
  <c r="AH215" i="1"/>
  <c r="AG215" i="1"/>
  <c r="AH580" i="1"/>
  <c r="AG580" i="1"/>
  <c r="AH214" i="1"/>
  <c r="AG214" i="1"/>
  <c r="AH213" i="1"/>
  <c r="AG213" i="1"/>
  <c r="AH579" i="1"/>
  <c r="AG579" i="1"/>
  <c r="AH212" i="1"/>
  <c r="AG212" i="1"/>
  <c r="AH578" i="1"/>
  <c r="AG578" i="1"/>
  <c r="AH577" i="1"/>
  <c r="AG577" i="1"/>
  <c r="AH211" i="1"/>
  <c r="AG211" i="1"/>
  <c r="AH210" i="1"/>
  <c r="AG210" i="1"/>
  <c r="AH576" i="1"/>
  <c r="AG576" i="1"/>
  <c r="AH575" i="1"/>
  <c r="AG575" i="1"/>
  <c r="AH209" i="1"/>
  <c r="AG209" i="1"/>
  <c r="AH208" i="1"/>
  <c r="AG208" i="1"/>
  <c r="AH574" i="1"/>
  <c r="AG574" i="1"/>
  <c r="AH207" i="1"/>
  <c r="AG207" i="1"/>
  <c r="AH573" i="1"/>
  <c r="AG573" i="1"/>
  <c r="AH206" i="1"/>
  <c r="AG206" i="1"/>
  <c r="AH572" i="1"/>
  <c r="AG572" i="1"/>
  <c r="AH205" i="1"/>
  <c r="AG205" i="1"/>
  <c r="AH571" i="1"/>
  <c r="AG571" i="1"/>
  <c r="AH204" i="1"/>
  <c r="AG204" i="1"/>
  <c r="AH570" i="1"/>
  <c r="AG570" i="1"/>
  <c r="AH203" i="1"/>
  <c r="AG203" i="1"/>
  <c r="AH569" i="1"/>
  <c r="AG569" i="1"/>
  <c r="AH202" i="1"/>
  <c r="AG202" i="1"/>
  <c r="AH568" i="1"/>
  <c r="AG568" i="1"/>
  <c r="AH567" i="1"/>
  <c r="AG567" i="1"/>
  <c r="AH201" i="1"/>
  <c r="AG201" i="1"/>
  <c r="AH566" i="1"/>
  <c r="AG566" i="1"/>
  <c r="AH200" i="1"/>
  <c r="AG200" i="1"/>
  <c r="AH199" i="1"/>
  <c r="AG199" i="1"/>
  <c r="AH565" i="1"/>
  <c r="AG565" i="1"/>
  <c r="AH564" i="1"/>
  <c r="AG564" i="1"/>
  <c r="AH198" i="1"/>
  <c r="AG198" i="1"/>
  <c r="AH197" i="1"/>
  <c r="AG197" i="1"/>
  <c r="AH563" i="1"/>
  <c r="AG563" i="1"/>
  <c r="AH196" i="1"/>
  <c r="AG196" i="1"/>
  <c r="AH562" i="1"/>
  <c r="AG562" i="1"/>
  <c r="AH195" i="1"/>
  <c r="AG195" i="1"/>
  <c r="AH561" i="1"/>
  <c r="AG561" i="1"/>
  <c r="AH560" i="1"/>
  <c r="AG560" i="1"/>
  <c r="AH194" i="1"/>
  <c r="AG194" i="1"/>
  <c r="AH559" i="1"/>
  <c r="AG559" i="1"/>
  <c r="AH193" i="1"/>
  <c r="AG193" i="1"/>
  <c r="AH192" i="1"/>
  <c r="AG192" i="1"/>
  <c r="AH558" i="1"/>
  <c r="AG558" i="1"/>
  <c r="AH191" i="1"/>
  <c r="AG191" i="1"/>
  <c r="AH557" i="1"/>
  <c r="AG557" i="1"/>
  <c r="AH556" i="1"/>
  <c r="AG556" i="1"/>
  <c r="AH190" i="1"/>
  <c r="AG190" i="1"/>
  <c r="AH555" i="1"/>
  <c r="AG555" i="1"/>
  <c r="AH189" i="1"/>
  <c r="AG189" i="1"/>
  <c r="AH554" i="1"/>
  <c r="AG554" i="1"/>
  <c r="AH188" i="1"/>
  <c r="AG188" i="1"/>
  <c r="AH553" i="1"/>
  <c r="AG553" i="1"/>
  <c r="AH187" i="1"/>
  <c r="AG187" i="1"/>
  <c r="AH552" i="1"/>
  <c r="AG552" i="1"/>
  <c r="AH186" i="1"/>
  <c r="AG186" i="1"/>
  <c r="AH551" i="1"/>
  <c r="AG551" i="1"/>
  <c r="AH185" i="1"/>
  <c r="AG185" i="1"/>
  <c r="AH184" i="1"/>
  <c r="AG184" i="1"/>
  <c r="AH550" i="1"/>
  <c r="AG550" i="1"/>
  <c r="AH183" i="1"/>
  <c r="AG183" i="1"/>
  <c r="AH549" i="1"/>
  <c r="AG549" i="1"/>
  <c r="AH182" i="1"/>
  <c r="AG182" i="1"/>
  <c r="AH548" i="1"/>
  <c r="AG548" i="1"/>
  <c r="AH181" i="1"/>
  <c r="AG181" i="1"/>
  <c r="AH547" i="1"/>
  <c r="AG547" i="1"/>
  <c r="AH546" i="1"/>
  <c r="AG546" i="1"/>
  <c r="AH180" i="1"/>
  <c r="AG180" i="1"/>
  <c r="AH179" i="1"/>
  <c r="AG179" i="1"/>
  <c r="AH545" i="1"/>
  <c r="AG545" i="1"/>
  <c r="AH178" i="1"/>
  <c r="AG178" i="1"/>
  <c r="AH544" i="1"/>
  <c r="AG544" i="1"/>
  <c r="AH177" i="1"/>
  <c r="AG177" i="1"/>
  <c r="AH543" i="1"/>
  <c r="AG543" i="1"/>
  <c r="AH542" i="1"/>
  <c r="AG542" i="1"/>
  <c r="AH176" i="1"/>
  <c r="AG176" i="1"/>
  <c r="AH541" i="1"/>
  <c r="AG541" i="1"/>
  <c r="AH175" i="1"/>
  <c r="AG175" i="1"/>
  <c r="AH540" i="1"/>
  <c r="AG540" i="1"/>
  <c r="AH174" i="1"/>
  <c r="AG174" i="1"/>
  <c r="AH539" i="1"/>
  <c r="AG539" i="1"/>
  <c r="AH173" i="1"/>
  <c r="AG173" i="1"/>
  <c r="AH172" i="1"/>
  <c r="AG172" i="1"/>
  <c r="AH538" i="1"/>
  <c r="AG538" i="1"/>
  <c r="AH171" i="1"/>
  <c r="AG171" i="1"/>
  <c r="AH537" i="1"/>
  <c r="AG537" i="1"/>
  <c r="AH170" i="1"/>
  <c r="AG170" i="1"/>
  <c r="AH536" i="1"/>
  <c r="AG536" i="1"/>
  <c r="AH169" i="1"/>
  <c r="AG169" i="1"/>
  <c r="AH535" i="1"/>
  <c r="AG535" i="1"/>
  <c r="AH534" i="1"/>
  <c r="AG534" i="1"/>
  <c r="AH168" i="1"/>
  <c r="AG168" i="1"/>
  <c r="AH533" i="1"/>
  <c r="AG533" i="1"/>
  <c r="AH167" i="1"/>
  <c r="AG167" i="1"/>
  <c r="AH166" i="1"/>
  <c r="AG166" i="1"/>
  <c r="AH532" i="1"/>
  <c r="AG532" i="1"/>
  <c r="AH531" i="1"/>
  <c r="AG531" i="1"/>
  <c r="AH165" i="1"/>
  <c r="AG165" i="1"/>
  <c r="AH530" i="1"/>
  <c r="AG530" i="1"/>
  <c r="AH164" i="1"/>
  <c r="AG164" i="1"/>
  <c r="AH163" i="1"/>
  <c r="AG163" i="1"/>
  <c r="AH529" i="1"/>
  <c r="AG529" i="1"/>
  <c r="AH528" i="1"/>
  <c r="AG528" i="1"/>
  <c r="AH162" i="1"/>
  <c r="AG162" i="1"/>
  <c r="AH527" i="1"/>
  <c r="AG527" i="1"/>
  <c r="AH161" i="1"/>
  <c r="AG161" i="1"/>
  <c r="AH160" i="1"/>
  <c r="AG160" i="1"/>
  <c r="AH526" i="1"/>
  <c r="AG526" i="1"/>
  <c r="AH525" i="1"/>
  <c r="AG525" i="1"/>
  <c r="AH159" i="1"/>
  <c r="AG159" i="1"/>
  <c r="AH524" i="1"/>
  <c r="AG524" i="1"/>
  <c r="AH158" i="1"/>
  <c r="AG158" i="1"/>
  <c r="AH157" i="1"/>
  <c r="AG157" i="1"/>
  <c r="AH523" i="1"/>
  <c r="AG523" i="1"/>
  <c r="AH522" i="1"/>
  <c r="AG522" i="1"/>
  <c r="AH156" i="1"/>
  <c r="AG156" i="1"/>
  <c r="AH155" i="1"/>
  <c r="AG155" i="1"/>
  <c r="AH521" i="1"/>
  <c r="AG521" i="1"/>
  <c r="AH520" i="1"/>
  <c r="AG520" i="1"/>
  <c r="AH154" i="1"/>
  <c r="AG154" i="1"/>
  <c r="AH153" i="1"/>
  <c r="AG153" i="1"/>
  <c r="AH519" i="1"/>
  <c r="AG519" i="1"/>
  <c r="AH518" i="1"/>
  <c r="AG518" i="1"/>
  <c r="AH152" i="1"/>
  <c r="AG152" i="1"/>
  <c r="AH151" i="1"/>
  <c r="AG151" i="1"/>
  <c r="AH517" i="1"/>
  <c r="AG517" i="1"/>
  <c r="AH150" i="1"/>
  <c r="AG150" i="1"/>
  <c r="AH516" i="1"/>
  <c r="AG516" i="1"/>
  <c r="AH149" i="1"/>
  <c r="AG149" i="1"/>
  <c r="AH515" i="1"/>
  <c r="AG515" i="1"/>
  <c r="AH148" i="1"/>
  <c r="AG148" i="1"/>
  <c r="AH514" i="1"/>
  <c r="AG514" i="1"/>
  <c r="AH513" i="1"/>
  <c r="AG513" i="1"/>
  <c r="AH147" i="1"/>
  <c r="AG147" i="1"/>
  <c r="AH146" i="1"/>
  <c r="AG146" i="1"/>
  <c r="AH512" i="1"/>
  <c r="AG512" i="1"/>
  <c r="AH511" i="1"/>
  <c r="AG511" i="1"/>
  <c r="AH145" i="1"/>
  <c r="AG145" i="1"/>
  <c r="AH510" i="1"/>
  <c r="AG510" i="1"/>
  <c r="AH144" i="1"/>
  <c r="AG144" i="1"/>
  <c r="AH143" i="1"/>
  <c r="AG143" i="1"/>
  <c r="AH509" i="1"/>
  <c r="AG509" i="1"/>
  <c r="AH142" i="1"/>
  <c r="AG142" i="1"/>
  <c r="AH508" i="1"/>
  <c r="AG508" i="1"/>
  <c r="AH141" i="1"/>
  <c r="AG141" i="1"/>
  <c r="AH507" i="1"/>
  <c r="AG507" i="1"/>
  <c r="AH140" i="1"/>
  <c r="AG140" i="1"/>
  <c r="AH506" i="1"/>
  <c r="AG506" i="1"/>
  <c r="AH505" i="1"/>
  <c r="AG505" i="1"/>
  <c r="AH139" i="1"/>
  <c r="AG139" i="1"/>
  <c r="AH138" i="1"/>
  <c r="AG138" i="1"/>
  <c r="AH504" i="1"/>
  <c r="AG504" i="1"/>
  <c r="AH503" i="1"/>
  <c r="AG503" i="1"/>
  <c r="AH137" i="1"/>
  <c r="AG137" i="1"/>
  <c r="AH502" i="1"/>
  <c r="AG502" i="1"/>
  <c r="AH136" i="1"/>
  <c r="AG136" i="1"/>
  <c r="AH135" i="1"/>
  <c r="AG135" i="1"/>
  <c r="AH501" i="1"/>
  <c r="AG501" i="1"/>
  <c r="AH500" i="1"/>
  <c r="AG500" i="1"/>
  <c r="AH134" i="1"/>
  <c r="AG134" i="1"/>
  <c r="AH133" i="1"/>
  <c r="AG133" i="1"/>
  <c r="AH499" i="1"/>
  <c r="AG499" i="1"/>
  <c r="AH498" i="1"/>
  <c r="AG498" i="1"/>
  <c r="AH132" i="1"/>
  <c r="AG132" i="1"/>
  <c r="AH131" i="1"/>
  <c r="AG131" i="1"/>
  <c r="AH497" i="1"/>
  <c r="AG497" i="1"/>
  <c r="AH496" i="1"/>
  <c r="AG496" i="1"/>
  <c r="AH130" i="1"/>
  <c r="AG130" i="1"/>
  <c r="AH495" i="1"/>
  <c r="AG495" i="1"/>
  <c r="AH129" i="1"/>
  <c r="AG129" i="1"/>
  <c r="AH128" i="1"/>
  <c r="AG128" i="1"/>
  <c r="AH494" i="1"/>
  <c r="AG494" i="1"/>
  <c r="AH127" i="1"/>
  <c r="AG127" i="1"/>
  <c r="AH493" i="1"/>
  <c r="AG493" i="1"/>
  <c r="AH126" i="1"/>
  <c r="AG126" i="1"/>
  <c r="AH492" i="1"/>
  <c r="AG492" i="1"/>
  <c r="AH125" i="1"/>
  <c r="AG125" i="1"/>
  <c r="AH491" i="1"/>
  <c r="AG491" i="1"/>
  <c r="AH124" i="1"/>
  <c r="AG124" i="1"/>
  <c r="AH490" i="1"/>
  <c r="AG490" i="1"/>
  <c r="AH489" i="1"/>
  <c r="AG489" i="1"/>
  <c r="AH123" i="1"/>
  <c r="AG123" i="1"/>
  <c r="AH122" i="1"/>
  <c r="AG122" i="1"/>
  <c r="AH488" i="1"/>
  <c r="AG488" i="1"/>
  <c r="AH121" i="1"/>
  <c r="AG121" i="1"/>
  <c r="AH487" i="1"/>
  <c r="AG487" i="1"/>
  <c r="AH486" i="1"/>
  <c r="AG486" i="1"/>
  <c r="AH120" i="1"/>
  <c r="AG120" i="1"/>
  <c r="AH119" i="1"/>
  <c r="AG119" i="1"/>
  <c r="AH485" i="1"/>
  <c r="AG485" i="1"/>
  <c r="AH484" i="1"/>
  <c r="AG484" i="1"/>
  <c r="AH118" i="1"/>
  <c r="AG118" i="1"/>
  <c r="AH483" i="1"/>
  <c r="AG483" i="1"/>
  <c r="AH117" i="1"/>
  <c r="AG117" i="1"/>
  <c r="AH116" i="1"/>
  <c r="AG116" i="1"/>
  <c r="AH482" i="1"/>
  <c r="AG482" i="1"/>
  <c r="AH481" i="1"/>
  <c r="AG481" i="1"/>
  <c r="AH115" i="1"/>
  <c r="AG115" i="1"/>
  <c r="AH114" i="1"/>
  <c r="AG114" i="1"/>
  <c r="AH480" i="1"/>
  <c r="AG480" i="1"/>
  <c r="AH479" i="1"/>
  <c r="AG479" i="1"/>
  <c r="AH113" i="1"/>
  <c r="AG113" i="1"/>
  <c r="AH478" i="1"/>
  <c r="AG478" i="1"/>
  <c r="AH112" i="1"/>
  <c r="AG112" i="1"/>
  <c r="AH477" i="1"/>
  <c r="AG477" i="1"/>
  <c r="AH111" i="1"/>
  <c r="AG111" i="1"/>
  <c r="AH110" i="1"/>
  <c r="AG110" i="1"/>
  <c r="AH476" i="1"/>
  <c r="AG476" i="1"/>
  <c r="AH475" i="1"/>
  <c r="AG475" i="1"/>
  <c r="AH109" i="1"/>
  <c r="AG109" i="1"/>
  <c r="AH474" i="1"/>
  <c r="AG474" i="1"/>
  <c r="AH108" i="1"/>
  <c r="AG108" i="1"/>
  <c r="AH107" i="1"/>
  <c r="AG107" i="1"/>
  <c r="AH473" i="1"/>
  <c r="AG473" i="1"/>
  <c r="AH472" i="1"/>
  <c r="AG472" i="1"/>
  <c r="AH106" i="1"/>
  <c r="AG106" i="1"/>
  <c r="AH105" i="1"/>
  <c r="AG105" i="1"/>
  <c r="AH471" i="1"/>
  <c r="AG471" i="1"/>
  <c r="AH104" i="1"/>
  <c r="AG104" i="1"/>
  <c r="AH470" i="1"/>
  <c r="AG470" i="1"/>
  <c r="AH103" i="1"/>
  <c r="AG103" i="1"/>
  <c r="AH469" i="1"/>
  <c r="AG469" i="1"/>
  <c r="AH468" i="1"/>
  <c r="AG468" i="1"/>
  <c r="AH102" i="1"/>
  <c r="AG102" i="1"/>
  <c r="AH101" i="1"/>
  <c r="AG101" i="1"/>
  <c r="AH467" i="1"/>
  <c r="AG467" i="1"/>
  <c r="AH466" i="1"/>
  <c r="AG466" i="1"/>
  <c r="AH100" i="1"/>
  <c r="AG100" i="1"/>
  <c r="AH465" i="1"/>
  <c r="AG465" i="1"/>
  <c r="AH99" i="1"/>
  <c r="AG99" i="1"/>
  <c r="AH464" i="1"/>
  <c r="AG464" i="1"/>
  <c r="AH98" i="1"/>
  <c r="AG98" i="1"/>
  <c r="AH97" i="1"/>
  <c r="AG97" i="1"/>
  <c r="AH463" i="1"/>
  <c r="AG463" i="1"/>
  <c r="AH462" i="1"/>
  <c r="AG462" i="1"/>
  <c r="AH96" i="1"/>
  <c r="AG96" i="1"/>
  <c r="AH95" i="1"/>
  <c r="AG95" i="1"/>
  <c r="AH461" i="1"/>
  <c r="AG461" i="1"/>
  <c r="AH94" i="1"/>
  <c r="AG94" i="1"/>
  <c r="AH460" i="1"/>
  <c r="AG460" i="1"/>
  <c r="AH93" i="1"/>
  <c r="AG93" i="1"/>
  <c r="AH459" i="1"/>
  <c r="AG459" i="1"/>
  <c r="AH458" i="1"/>
  <c r="AG458" i="1"/>
  <c r="AH92" i="1"/>
  <c r="AG92" i="1"/>
  <c r="AH457" i="1"/>
  <c r="AG457" i="1"/>
  <c r="AH91" i="1"/>
  <c r="AG91" i="1"/>
  <c r="AH90" i="1"/>
  <c r="AG90" i="1"/>
  <c r="AH456" i="1"/>
  <c r="AG456" i="1"/>
  <c r="AH89" i="1"/>
  <c r="AG89" i="1"/>
  <c r="AH455" i="1"/>
  <c r="AG455" i="1"/>
  <c r="AH454" i="1"/>
  <c r="AG454" i="1"/>
  <c r="AH88" i="1"/>
  <c r="AG88" i="1"/>
  <c r="AH453" i="1"/>
  <c r="AG453" i="1"/>
  <c r="AH87" i="1"/>
  <c r="AG87" i="1"/>
  <c r="AH86" i="1"/>
  <c r="AG86" i="1"/>
  <c r="AH452" i="1"/>
  <c r="AG452" i="1"/>
  <c r="AH85" i="1"/>
  <c r="AG85" i="1"/>
  <c r="AH451" i="1"/>
  <c r="AG451" i="1"/>
  <c r="AH450" i="1"/>
  <c r="AG450" i="1"/>
  <c r="AH84" i="1"/>
  <c r="AG84" i="1"/>
  <c r="AH83" i="1"/>
  <c r="AG83" i="1"/>
  <c r="AH449" i="1"/>
  <c r="AG449" i="1"/>
  <c r="AH82" i="1"/>
  <c r="AG82" i="1"/>
  <c r="AH448" i="1"/>
  <c r="AG448" i="1"/>
  <c r="AH447" i="1"/>
  <c r="AG447" i="1"/>
  <c r="AH81" i="1"/>
  <c r="AG81" i="1"/>
  <c r="AH80" i="1"/>
  <c r="AG80" i="1"/>
  <c r="AH446" i="1"/>
  <c r="AG446" i="1"/>
  <c r="AH445" i="1"/>
  <c r="AG445" i="1"/>
  <c r="AH79" i="1"/>
  <c r="AG79" i="1"/>
  <c r="AH78" i="1"/>
  <c r="AG78" i="1"/>
  <c r="AH444" i="1"/>
  <c r="AG444" i="1"/>
  <c r="AH443" i="1"/>
  <c r="AG443" i="1"/>
  <c r="AH77" i="1"/>
  <c r="AG77" i="1"/>
  <c r="AH76" i="1"/>
  <c r="AG76" i="1"/>
  <c r="AH442" i="1"/>
  <c r="AG442" i="1"/>
  <c r="AH441" i="1"/>
  <c r="AG441" i="1"/>
  <c r="AH75" i="1"/>
  <c r="AG75" i="1"/>
  <c r="AH440" i="1"/>
  <c r="AG440" i="1"/>
  <c r="AH74" i="1"/>
  <c r="AG74" i="1"/>
  <c r="AH73" i="1"/>
  <c r="AG73" i="1"/>
  <c r="AH439" i="1"/>
  <c r="AG439" i="1"/>
  <c r="AH438" i="1"/>
  <c r="AG438" i="1"/>
  <c r="AH72" i="1"/>
  <c r="AG72" i="1"/>
  <c r="AH437" i="1"/>
  <c r="AG437" i="1"/>
  <c r="AH71" i="1"/>
  <c r="AG71" i="1"/>
  <c r="AH70" i="1"/>
  <c r="AG70" i="1"/>
  <c r="AH436" i="1"/>
  <c r="AG436" i="1"/>
  <c r="AH435" i="1"/>
  <c r="AG435" i="1"/>
  <c r="AH69" i="1"/>
  <c r="AG69" i="1"/>
  <c r="AH68" i="1"/>
  <c r="AG68" i="1"/>
  <c r="AH434" i="1"/>
  <c r="AG434" i="1"/>
  <c r="AH67" i="1"/>
  <c r="AG67" i="1"/>
  <c r="AH433" i="1"/>
  <c r="AG433" i="1"/>
  <c r="AH432" i="1"/>
  <c r="AG432" i="1"/>
  <c r="AH66" i="1"/>
  <c r="AG66" i="1"/>
  <c r="AH65" i="1"/>
  <c r="AG65" i="1"/>
  <c r="AH431" i="1"/>
  <c r="AG431" i="1"/>
  <c r="AH64" i="1"/>
  <c r="AG64" i="1"/>
  <c r="AH430" i="1"/>
  <c r="AG430" i="1"/>
  <c r="AH63" i="1"/>
  <c r="AG63" i="1"/>
  <c r="AH429" i="1"/>
  <c r="AG429" i="1"/>
  <c r="AH428" i="1"/>
  <c r="AG428" i="1"/>
  <c r="AH62" i="1"/>
  <c r="AG62" i="1"/>
  <c r="AH427" i="1"/>
  <c r="AG427" i="1"/>
  <c r="AH61" i="1"/>
  <c r="AG61" i="1"/>
  <c r="AH60" i="1"/>
  <c r="AG60" i="1"/>
  <c r="AH426" i="1"/>
  <c r="AG426" i="1"/>
  <c r="AH425" i="1"/>
  <c r="AG425" i="1"/>
  <c r="AH59" i="1"/>
  <c r="AG59" i="1"/>
  <c r="AH424" i="1"/>
  <c r="AG424" i="1"/>
  <c r="AH58" i="1"/>
  <c r="AG58" i="1"/>
  <c r="AH57" i="1"/>
  <c r="AG57" i="1"/>
  <c r="AH423" i="1"/>
  <c r="AG423" i="1"/>
  <c r="AH422" i="1"/>
  <c r="AG422" i="1"/>
  <c r="AH56" i="1"/>
  <c r="AG56" i="1"/>
  <c r="AH421" i="1"/>
  <c r="AG421" i="1"/>
  <c r="AH55" i="1"/>
  <c r="AG55" i="1"/>
  <c r="AH420" i="1"/>
  <c r="AG420" i="1"/>
  <c r="AH54" i="1"/>
  <c r="AG54" i="1"/>
  <c r="AH419" i="1"/>
  <c r="AG419" i="1"/>
  <c r="AH53" i="1"/>
  <c r="AG53" i="1"/>
  <c r="AH418" i="1"/>
  <c r="AG418" i="1"/>
  <c r="AH52" i="1"/>
  <c r="AG52" i="1"/>
  <c r="AH417" i="1"/>
  <c r="AG417" i="1"/>
  <c r="AH51" i="1"/>
  <c r="AG51" i="1"/>
  <c r="AH416" i="1"/>
  <c r="AG416" i="1"/>
  <c r="AH50" i="1"/>
  <c r="AG50" i="1"/>
  <c r="AH49" i="1"/>
  <c r="AG49" i="1"/>
  <c r="AH415" i="1"/>
  <c r="AG415" i="1"/>
  <c r="AH414" i="1"/>
  <c r="AG414" i="1"/>
  <c r="AH48" i="1"/>
  <c r="AG48" i="1"/>
  <c r="AH47" i="1"/>
  <c r="AG47" i="1"/>
  <c r="AH413" i="1"/>
  <c r="AG413" i="1"/>
  <c r="AH412" i="1"/>
  <c r="AG412" i="1"/>
  <c r="AH46" i="1"/>
  <c r="AG46" i="1"/>
  <c r="AH411" i="1"/>
  <c r="AG411" i="1"/>
  <c r="AH45" i="1"/>
  <c r="AG45" i="1"/>
  <c r="AH410" i="1"/>
  <c r="AG410" i="1"/>
  <c r="AH44" i="1"/>
  <c r="AG44" i="1"/>
  <c r="AH409" i="1"/>
  <c r="AG409" i="1"/>
  <c r="AH43" i="1"/>
  <c r="AG43" i="1"/>
  <c r="AH408" i="1"/>
  <c r="AG408" i="1"/>
  <c r="AH42" i="1"/>
  <c r="AG42" i="1"/>
  <c r="AH407" i="1"/>
  <c r="AG407" i="1"/>
  <c r="AH41" i="1"/>
  <c r="AG41" i="1"/>
  <c r="AH406" i="1"/>
  <c r="AG406" i="1"/>
  <c r="AH40" i="1"/>
  <c r="AG40" i="1"/>
  <c r="AH405" i="1"/>
  <c r="AG405" i="1"/>
  <c r="AH39" i="1"/>
  <c r="AG39" i="1"/>
  <c r="AH404" i="1"/>
  <c r="AG404" i="1"/>
  <c r="AH38" i="1"/>
  <c r="AG38" i="1"/>
  <c r="AH403" i="1"/>
  <c r="AG403" i="1"/>
  <c r="AH37" i="1"/>
  <c r="AG37" i="1"/>
  <c r="AH402" i="1"/>
  <c r="AG402" i="1"/>
  <c r="AH36" i="1"/>
  <c r="AG36" i="1"/>
  <c r="AH401" i="1"/>
  <c r="AG401" i="1"/>
  <c r="AH35" i="1"/>
  <c r="AG35" i="1"/>
  <c r="AH34" i="1"/>
  <c r="AG34" i="1"/>
  <c r="AH400" i="1"/>
  <c r="AG400" i="1"/>
  <c r="AH33" i="1"/>
  <c r="AG33" i="1"/>
  <c r="AH399" i="1"/>
  <c r="AG399" i="1"/>
  <c r="AH32" i="1"/>
  <c r="AG32" i="1"/>
  <c r="AH398" i="1"/>
  <c r="AG398" i="1"/>
  <c r="AH31" i="1"/>
  <c r="AG31" i="1"/>
  <c r="AH397" i="1"/>
  <c r="AG397" i="1"/>
  <c r="AH30" i="1"/>
  <c r="AG30" i="1"/>
  <c r="AH396" i="1"/>
  <c r="AG396" i="1"/>
  <c r="AH29" i="1"/>
  <c r="AG29" i="1"/>
  <c r="AH395" i="1"/>
  <c r="AG395" i="1"/>
  <c r="AH28" i="1"/>
  <c r="AG28" i="1"/>
  <c r="AH394" i="1"/>
  <c r="AG394" i="1"/>
  <c r="AH393" i="1"/>
  <c r="AG393" i="1"/>
  <c r="AH27" i="1"/>
  <c r="AG27" i="1"/>
  <c r="AH392" i="1"/>
  <c r="AG392" i="1"/>
  <c r="AH26" i="1"/>
  <c r="AG26" i="1"/>
  <c r="AH391" i="1"/>
  <c r="AG391" i="1"/>
  <c r="AH25" i="1"/>
  <c r="AG25" i="1"/>
  <c r="AH390" i="1"/>
  <c r="AG390" i="1"/>
  <c r="AH24" i="1"/>
  <c r="AG24" i="1"/>
  <c r="AH389" i="1"/>
  <c r="AG389" i="1"/>
  <c r="AH23" i="1"/>
  <c r="AG23" i="1"/>
  <c r="AH388" i="1"/>
  <c r="AG388" i="1"/>
  <c r="AH22" i="1"/>
  <c r="AG22" i="1"/>
  <c r="AH387" i="1"/>
  <c r="AG387" i="1"/>
  <c r="AH21" i="1"/>
  <c r="AG21" i="1"/>
  <c r="AH20" i="1"/>
  <c r="AG20" i="1"/>
  <c r="AH386" i="1"/>
  <c r="AG386" i="1"/>
  <c r="AH385" i="1"/>
  <c r="AG385" i="1"/>
  <c r="AH19" i="1"/>
  <c r="AG19" i="1"/>
  <c r="AH384" i="1"/>
  <c r="AG384" i="1"/>
  <c r="AH18" i="1"/>
  <c r="AG18" i="1"/>
  <c r="AH383" i="1"/>
  <c r="AG383" i="1"/>
  <c r="AH17" i="1"/>
  <c r="AG17" i="1"/>
  <c r="AH382" i="1"/>
  <c r="AG382" i="1"/>
  <c r="AH16" i="1"/>
  <c r="AG16" i="1"/>
  <c r="AH381" i="1"/>
  <c r="AG381" i="1"/>
  <c r="AH15" i="1"/>
  <c r="AG15" i="1"/>
  <c r="AH14" i="1"/>
  <c r="AG14" i="1"/>
  <c r="AH380" i="1"/>
  <c r="AG380" i="1"/>
  <c r="AH13" i="1"/>
  <c r="AG13" i="1"/>
  <c r="AH379" i="1"/>
  <c r="AG379" i="1"/>
  <c r="AH378" i="1"/>
  <c r="AG378" i="1"/>
  <c r="AH12" i="1"/>
  <c r="AG12" i="1"/>
  <c r="AH377" i="1"/>
  <c r="AG377" i="1"/>
  <c r="AH11" i="1"/>
  <c r="AG11" i="1"/>
  <c r="AH376" i="1"/>
  <c r="AG376" i="1"/>
  <c r="AH10" i="1"/>
  <c r="AG10" i="1"/>
  <c r="AH375" i="1"/>
  <c r="AG375" i="1"/>
  <c r="AH9" i="1"/>
  <c r="AG9" i="1"/>
  <c r="AH8" i="1"/>
  <c r="AG8" i="1"/>
  <c r="AH374" i="1"/>
  <c r="AG374" i="1"/>
  <c r="AH373" i="1"/>
  <c r="AG373" i="1"/>
  <c r="AH7" i="1"/>
  <c r="AG7" i="1"/>
  <c r="AH372" i="1"/>
  <c r="AG372" i="1"/>
  <c r="AH6" i="1"/>
  <c r="AG6" i="1"/>
  <c r="AH371" i="1"/>
  <c r="AG371" i="1"/>
  <c r="AH5" i="1"/>
  <c r="AG5" i="1"/>
  <c r="AH370" i="1"/>
  <c r="AG370" i="1"/>
  <c r="AH4" i="1"/>
  <c r="AG4" i="1"/>
  <c r="AH369" i="1"/>
  <c r="AG369" i="1"/>
  <c r="AH3" i="1"/>
  <c r="AG3" i="1"/>
  <c r="AH2" i="1"/>
  <c r="AG2" i="1"/>
  <c r="AH368" i="1"/>
  <c r="AG368" i="1"/>
  <c r="E39" i="5" l="1"/>
  <c r="AL40" i="5"/>
</calcChain>
</file>

<file path=xl/sharedStrings.xml><?xml version="1.0" encoding="utf-8"?>
<sst xmlns="http://schemas.openxmlformats.org/spreadsheetml/2006/main" count="20968" uniqueCount="2484">
  <si>
    <t>synop_date</t>
  </si>
  <si>
    <t>synop_station_index</t>
  </si>
  <si>
    <t>synop_gmt</t>
  </si>
  <si>
    <t>synop_dry</t>
  </si>
  <si>
    <t>synop_dew</t>
  </si>
  <si>
    <t>synop_pressure</t>
  </si>
  <si>
    <t>synop_wx</t>
  </si>
  <si>
    <t>synop_p24</t>
  </si>
  <si>
    <t>synop_max</t>
  </si>
  <si>
    <t>synop_min</t>
  </si>
  <si>
    <t>synop_rain</t>
  </si>
  <si>
    <t>synop_actualrain</t>
  </si>
  <si>
    <t>synop_cloud</t>
  </si>
  <si>
    <t>synop_stationname</t>
  </si>
  <si>
    <t>synop_seasonal</t>
  </si>
  <si>
    <t>AMAX</t>
  </si>
  <si>
    <t>AMIN</t>
  </si>
  <si>
    <t>vis</t>
  </si>
  <si>
    <t>nddf</t>
  </si>
  <si>
    <t>cloud</t>
  </si>
  <si>
    <t>synop_dryf</t>
  </si>
  <si>
    <t>synop_dewf</t>
  </si>
  <si>
    <t>rh</t>
  </si>
  <si>
    <t>date_stn</t>
  </si>
  <si>
    <t>onelinesynop</t>
  </si>
  <si>
    <t>minimum_temperature</t>
  </si>
  <si>
    <t>synop_add_by</t>
  </si>
  <si>
    <t>synop_added_time</t>
  </si>
  <si>
    <t>01/01/2012</t>
  </si>
  <si>
    <t>43063</t>
  </si>
  <si>
    <t>12</t>
  </si>
  <si>
    <t>28</t>
  </si>
  <si>
    <t>16</t>
  </si>
  <si>
    <t>10076</t>
  </si>
  <si>
    <t>7////</t>
  </si>
  <si>
    <t>59005</t>
  </si>
  <si>
    <t>31</t>
  </si>
  <si>
    <t>///</t>
  </si>
  <si>
    <t/>
  </si>
  <si>
    <t>56///</t>
  </si>
  <si>
    <t>306</t>
  </si>
  <si>
    <t>32597</t>
  </si>
  <si>
    <t>42702</t>
  </si>
  <si>
    <t>82531</t>
  </si>
  <si>
    <t>0276</t>
  </si>
  <si>
    <t>0164</t>
  </si>
  <si>
    <t>43063 32597 42702 10276 20164 40076 82531 333 10306 59005 =</t>
  </si>
  <si>
    <t>asd</t>
  </si>
  <si>
    <t>28/05/2012 2:30:12 PM</t>
  </si>
  <si>
    <t>03</t>
  </si>
  <si>
    <t>21</t>
  </si>
  <si>
    <t>17</t>
  </si>
  <si>
    <t>10126</t>
  </si>
  <si>
    <t>70522</t>
  </si>
  <si>
    <t>59014</t>
  </si>
  <si>
    <t>18</t>
  </si>
  <si>
    <t>181</t>
  </si>
  <si>
    <t>31796</t>
  </si>
  <si>
    <t>70000</t>
  </si>
  <si>
    <t>87030</t>
  </si>
  <si>
    <t>0206</t>
  </si>
  <si>
    <t>0168</t>
  </si>
  <si>
    <t>43063 31796 70000 10206 20168 40126 70522 87030 333 20181 59014 555 00000 =</t>
  </si>
  <si>
    <t>asas</t>
  </si>
  <si>
    <t>28/05/2012 2:28:35 PM</t>
  </si>
  <si>
    <t>02/01/2012</t>
  </si>
  <si>
    <t>15</t>
  </si>
  <si>
    <t>10141</t>
  </si>
  <si>
    <t>70511</t>
  </si>
  <si>
    <t>58011</t>
  </si>
  <si>
    <t>153</t>
  </si>
  <si>
    <t>31996</t>
  </si>
  <si>
    <t>10000</t>
  </si>
  <si>
    <t>80001</t>
  </si>
  <si>
    <t>0176</t>
  </si>
  <si>
    <t>0153</t>
  </si>
  <si>
    <t>43063 31996 10000 10176 20153 40141 70511 80001 333 20153 58011 555 00000 =</t>
  </si>
  <si>
    <t>29</t>
  </si>
  <si>
    <t>10078</t>
  </si>
  <si>
    <t>58004</t>
  </si>
  <si>
    <t>309</t>
  </si>
  <si>
    <t>0290</t>
  </si>
  <si>
    <t>0178</t>
  </si>
  <si>
    <t>43063 32597 42702 10290 20178 40078 82531 333 10309 58004 =</t>
  </si>
  <si>
    <t>03/01/2012</t>
  </si>
  <si>
    <t>10149</t>
  </si>
  <si>
    <t>70540</t>
  </si>
  <si>
    <t>58007</t>
  </si>
  <si>
    <t>149</t>
  </si>
  <si>
    <t>00000</t>
  </si>
  <si>
    <t>/////</t>
  </si>
  <si>
    <t>0174</t>
  </si>
  <si>
    <t>0158</t>
  </si>
  <si>
    <t>43063 31996 00000 10174 20158 40149 70540 333 20149 58007 555 00000 =</t>
  </si>
  <si>
    <t>14</t>
  </si>
  <si>
    <t>10085</t>
  </si>
  <si>
    <t>58005</t>
  </si>
  <si>
    <t>314</t>
  </si>
  <si>
    <t>32997</t>
  </si>
  <si>
    <t>02702</t>
  </si>
  <si>
    <t>0284</t>
  </si>
  <si>
    <t>0139</t>
  </si>
  <si>
    <t>43063 32997 02702 10284 20139 40085 333 10314 58005 =</t>
  </si>
  <si>
    <t>04/01/2012</t>
  </si>
  <si>
    <t>13</t>
  </si>
  <si>
    <t>10145</t>
  </si>
  <si>
    <t>70500</t>
  </si>
  <si>
    <t>126</t>
  </si>
  <si>
    <t>0166</t>
  </si>
  <si>
    <t>0132</t>
  </si>
  <si>
    <t>43063 31996 00000 10166 20132 40145 70500 333 20126 59005 555 00000 =</t>
  </si>
  <si>
    <t>30</t>
  </si>
  <si>
    <t>10</t>
  </si>
  <si>
    <t>58002</t>
  </si>
  <si>
    <t>33</t>
  </si>
  <si>
    <t>325</t>
  </si>
  <si>
    <t>0296</t>
  </si>
  <si>
    <t>0104</t>
  </si>
  <si>
    <t>43063 32997 02702 10296 20104 40085 333 10325 58002 =</t>
  </si>
  <si>
    <t>05/01/2012</t>
  </si>
  <si>
    <t>10166</t>
  </si>
  <si>
    <t>58018</t>
  </si>
  <si>
    <t>50000</t>
  </si>
  <si>
    <t>0152</t>
  </si>
  <si>
    <t>0135</t>
  </si>
  <si>
    <t>43063 31996 50000 10152 20135 40166 70522 80001 333 20126 58018 555 00000 =</t>
  </si>
  <si>
    <t>10095</t>
  </si>
  <si>
    <t>58010</t>
  </si>
  <si>
    <t>32</t>
  </si>
  <si>
    <t>323</t>
  </si>
  <si>
    <t>32702</t>
  </si>
  <si>
    <t>81531</t>
  </si>
  <si>
    <t>0294</t>
  </si>
  <si>
    <t>0141</t>
  </si>
  <si>
    <t>43063 32597 32702 10294 20141 40095 81531 333 10323 58010 =</t>
  </si>
  <si>
    <t>06/01/2012</t>
  </si>
  <si>
    <t>10169</t>
  </si>
  <si>
    <t>58003</t>
  </si>
  <si>
    <t>136</t>
  </si>
  <si>
    <t>0160</t>
  </si>
  <si>
    <t>0147</t>
  </si>
  <si>
    <t>43063 31996 00000 10160 20147 40169 70540 333 20136 58003 555 00000 =</t>
  </si>
  <si>
    <t>11</t>
  </si>
  <si>
    <t>10107</t>
  </si>
  <si>
    <t>58009</t>
  </si>
  <si>
    <t>319</t>
  </si>
  <si>
    <t>02704</t>
  </si>
  <si>
    <t>0286</t>
  </si>
  <si>
    <t>0107</t>
  </si>
  <si>
    <t>43063 32997 02704 10286 20107 40107 333 10319 58009 =</t>
  </si>
  <si>
    <t>07/01/2012</t>
  </si>
  <si>
    <t>3</t>
  </si>
  <si>
    <t>10116</t>
  </si>
  <si>
    <t>59009</t>
  </si>
  <si>
    <t>0032</t>
  </si>
  <si>
    <t>43063 32997 02702 10284 20032 40116 333 10314 59009 =</t>
  </si>
  <si>
    <t>10174</t>
  </si>
  <si>
    <t>107</t>
  </si>
  <si>
    <t>31997</t>
  </si>
  <si>
    <t>20000</t>
  </si>
  <si>
    <t>0146</t>
  </si>
  <si>
    <t>0129</t>
  </si>
  <si>
    <t>43063 31997 20000 10146 20129 40174 70500 80001 333 20107 58002 555 00000 =</t>
  </si>
  <si>
    <t>08/01/2012</t>
  </si>
  <si>
    <t>10190</t>
  </si>
  <si>
    <t>9</t>
  </si>
  <si>
    <t>091</t>
  </si>
  <si>
    <t>30000</t>
  </si>
  <si>
    <t>0130</t>
  </si>
  <si>
    <t>0100</t>
  </si>
  <si>
    <t>43063 31996 30000 10130 20100 40190 70500 80001 333 20091 58010 555 00000 =</t>
  </si>
  <si>
    <t>27</t>
  </si>
  <si>
    <t>5</t>
  </si>
  <si>
    <t>59004</t>
  </si>
  <si>
    <t>304</t>
  </si>
  <si>
    <t>0266</t>
  </si>
  <si>
    <t>0054</t>
  </si>
  <si>
    <t>43063 32997 02704 10266 20054 39500 40116 333 10304 59004 =</t>
  </si>
  <si>
    <t>09/01/2012</t>
  </si>
  <si>
    <t>10186</t>
  </si>
  <si>
    <t>59006</t>
  </si>
  <si>
    <t>7</t>
  </si>
  <si>
    <t>072</t>
  </si>
  <si>
    <t>32996</t>
  </si>
  <si>
    <t>0114</t>
  </si>
  <si>
    <t>0087</t>
  </si>
  <si>
    <t>43063 32996 00000 10114 20087 40186 70500 333 20072 59006 555 00000 =</t>
  </si>
  <si>
    <t>26</t>
  </si>
  <si>
    <t>10110</t>
  </si>
  <si>
    <t>280</t>
  </si>
  <si>
    <t>0262</t>
  </si>
  <si>
    <t>0053</t>
  </si>
  <si>
    <t>43063 32997 00000 10262 20053 40110 333 10280 59006 =</t>
  </si>
  <si>
    <t>10/01/2012</t>
  </si>
  <si>
    <t>10182</t>
  </si>
  <si>
    <t>8</t>
  </si>
  <si>
    <t>078</t>
  </si>
  <si>
    <t>0106</t>
  </si>
  <si>
    <t>0091</t>
  </si>
  <si>
    <t>43063 31996 00000 10106 20091 40182 70500 333 20078 59005 555 00000 =</t>
  </si>
  <si>
    <t>25</t>
  </si>
  <si>
    <t>10113</t>
  </si>
  <si>
    <t>59002</t>
  </si>
  <si>
    <t>269</t>
  </si>
  <si>
    <t>00901</t>
  </si>
  <si>
    <t>0250</t>
  </si>
  <si>
    <t>43063 32997 00901 10250 20053 40113 333 10269 59002 =</t>
  </si>
  <si>
    <t>11/01/2012</t>
  </si>
  <si>
    <t>10202</t>
  </si>
  <si>
    <t>58015</t>
  </si>
  <si>
    <t>077</t>
  </si>
  <si>
    <t>0110</t>
  </si>
  <si>
    <t>0079</t>
  </si>
  <si>
    <t>43063 31996 00000 10110 20079 40202 70500 333 20077 58015 555 00000 =</t>
  </si>
  <si>
    <t>24</t>
  </si>
  <si>
    <t>6</t>
  </si>
  <si>
    <t>10127</t>
  </si>
  <si>
    <t>58014</t>
  </si>
  <si>
    <t>259</t>
  </si>
  <si>
    <t>0244</t>
  </si>
  <si>
    <t>0057</t>
  </si>
  <si>
    <t>43063 32997 00000 10244 20057 40127 333 10259 58014 =</t>
  </si>
  <si>
    <t>12/01/2012</t>
  </si>
  <si>
    <t>10125</t>
  </si>
  <si>
    <t>0031</t>
  </si>
  <si>
    <t>43063 32997 00901 10250 20031 40125 333 10269 59002 =</t>
  </si>
  <si>
    <t>10199</t>
  </si>
  <si>
    <t>068</t>
  </si>
  <si>
    <t>0098</t>
  </si>
  <si>
    <t>0082</t>
  </si>
  <si>
    <t>43063 31996 00000 10098 20082 40199 70500 333 20068 59006 555 00000 =</t>
  </si>
  <si>
    <t>13/01/2012</t>
  </si>
  <si>
    <t>10123</t>
  </si>
  <si>
    <t>58001</t>
  </si>
  <si>
    <t>271</t>
  </si>
  <si>
    <t>00902</t>
  </si>
  <si>
    <t>0254</t>
  </si>
  <si>
    <t>0051</t>
  </si>
  <si>
    <t>43063 32997 00902 10254 20051 40123 333 10271 58001 555 00000 =</t>
  </si>
  <si>
    <t>10205</t>
  </si>
  <si>
    <t>58006</t>
  </si>
  <si>
    <t>066</t>
  </si>
  <si>
    <t>0080</t>
  </si>
  <si>
    <t>43063 31996 00000 10100 20080 40205 70500 333 20066 58006 555 00000 =</t>
  </si>
  <si>
    <t>14/01/2012</t>
  </si>
  <si>
    <t>10189</t>
  </si>
  <si>
    <t>59011</t>
  </si>
  <si>
    <t>076</t>
  </si>
  <si>
    <t>0118</t>
  </si>
  <si>
    <t>43063 31996 00000 10118 20079 40189 70500 333 20076 59011 555 00000 =</t>
  </si>
  <si>
    <t>05</t>
  </si>
  <si>
    <t>10112</t>
  </si>
  <si>
    <t>279</t>
  </si>
  <si>
    <t>0260</t>
  </si>
  <si>
    <t>0055</t>
  </si>
  <si>
    <t>43063 32997 00901 10260 20055 40112 333 10279 59011 =</t>
  </si>
  <si>
    <t>15/01/2012</t>
  </si>
  <si>
    <t>10173</t>
  </si>
  <si>
    <t>59017</t>
  </si>
  <si>
    <t>074</t>
  </si>
  <si>
    <t>0108</t>
  </si>
  <si>
    <t>0085</t>
  </si>
  <si>
    <t>43063 31996 00000 10108 20085 40173 70500 333 20074 59017 555 00000 =</t>
  </si>
  <si>
    <t>59022</t>
  </si>
  <si>
    <t>300</t>
  </si>
  <si>
    <t>0274</t>
  </si>
  <si>
    <t>0045</t>
  </si>
  <si>
    <t>43063 32997 00000 10274 20045 40085 333 10300 59022 =</t>
  </si>
  <si>
    <t>16/01/2012</t>
  </si>
  <si>
    <t>10155</t>
  </si>
  <si>
    <t>59015</t>
  </si>
  <si>
    <t>082</t>
  </si>
  <si>
    <t>0112</t>
  </si>
  <si>
    <t>0089</t>
  </si>
  <si>
    <t>43063 31996 00000 10112 20089 40155 70500 333 20082 59015 555 00000 =</t>
  </si>
  <si>
    <t>10070</t>
  </si>
  <si>
    <t>59001</t>
  </si>
  <si>
    <t>311</t>
  </si>
  <si>
    <t>0282</t>
  </si>
  <si>
    <t>0028</t>
  </si>
  <si>
    <t>43063 32997 02702 10282 20028 40070 333 10311 59001 =</t>
  </si>
  <si>
    <t>17/01/2012</t>
  </si>
  <si>
    <t>10136</t>
  </si>
  <si>
    <t>081</t>
  </si>
  <si>
    <t>0105</t>
  </si>
  <si>
    <t>43063 31996 00000 10112 20105 40136 70500 333 20081 59017 555 00000 =</t>
  </si>
  <si>
    <t>1</t>
  </si>
  <si>
    <t>10063</t>
  </si>
  <si>
    <t>310</t>
  </si>
  <si>
    <t>02903</t>
  </si>
  <si>
    <t>0277</t>
  </si>
  <si>
    <t>0013</t>
  </si>
  <si>
    <t>43063 32997 02903 10277 20013 40063 333 10310 59009 =</t>
  </si>
  <si>
    <t>18/01/2012</t>
  </si>
  <si>
    <t>10122</t>
  </si>
  <si>
    <t>59007</t>
  </si>
  <si>
    <t>094</t>
  </si>
  <si>
    <t>0144</t>
  </si>
  <si>
    <t>0119</t>
  </si>
  <si>
    <t>43063 31996 00000 10144 20119 40122 70500 333 20094 59007 555 00000 =</t>
  </si>
  <si>
    <t>10065</t>
  </si>
  <si>
    <t>270</t>
  </si>
  <si>
    <t>02708</t>
  </si>
  <si>
    <t>0248</t>
  </si>
  <si>
    <t>43063 32997 02708 10248 20089 40065 333 10270 59004 =</t>
  </si>
  <si>
    <t>19/01/2012</t>
  </si>
  <si>
    <t>23</t>
  </si>
  <si>
    <t>10080</t>
  </si>
  <si>
    <t>58012</t>
  </si>
  <si>
    <t>251</t>
  </si>
  <si>
    <t>23204</t>
  </si>
  <si>
    <t>0234</t>
  </si>
  <si>
    <t>43063 32997 23204 10234 20106 40080 80001 333 10251 58012 =</t>
  </si>
  <si>
    <t>10129</t>
  </si>
  <si>
    <t>099</t>
  </si>
  <si>
    <t>0148</t>
  </si>
  <si>
    <t>43063 31996 00000 10148 20105 40129 70500 333 20099 58007 555 00000 =</t>
  </si>
  <si>
    <t>20/01/2012</t>
  </si>
  <si>
    <t>0120</t>
  </si>
  <si>
    <t>43063 31996 00000 10120 20105 40149 70500 333 20078 58011 555 00000 =</t>
  </si>
  <si>
    <t>10088</t>
  </si>
  <si>
    <t>272</t>
  </si>
  <si>
    <t>0092</t>
  </si>
  <si>
    <t>43063 32997 00000 10260 20092 40088 333 10272 58011 =</t>
  </si>
  <si>
    <t>21/01/2012</t>
  </si>
  <si>
    <t>10153</t>
  </si>
  <si>
    <t>087</t>
  </si>
  <si>
    <t>0126</t>
  </si>
  <si>
    <t>0111</t>
  </si>
  <si>
    <t>43063 31996 00000 10126 20111 40153 70500 333 20087 58007 555 00000 =</t>
  </si>
  <si>
    <t>10077</t>
  </si>
  <si>
    <t>59003</t>
  </si>
  <si>
    <t>296</t>
  </si>
  <si>
    <t>0090</t>
  </si>
  <si>
    <t>43063 32997 00000 10284 20090 40077 333 10296 59003 =</t>
  </si>
  <si>
    <t>22/01/2012</t>
  </si>
  <si>
    <t>10152</t>
  </si>
  <si>
    <t>112</t>
  </si>
  <si>
    <t>0140</t>
  </si>
  <si>
    <t>0128</t>
  </si>
  <si>
    <t>43063 31996 00000 10140 20128 40152 70500 333 20112 58001 555 00000 =</t>
  </si>
  <si>
    <t>10102</t>
  </si>
  <si>
    <t>58016</t>
  </si>
  <si>
    <t>290</t>
  </si>
  <si>
    <t>22703</t>
  </si>
  <si>
    <t>82500</t>
  </si>
  <si>
    <t>0256</t>
  </si>
  <si>
    <t>43063 32597 22703 10256 20135 40102 82500 333 10290 58016 =</t>
  </si>
  <si>
    <t>23/01/2012</t>
  </si>
  <si>
    <t>10162</t>
  </si>
  <si>
    <t>138</t>
  </si>
  <si>
    <t>43063 31996 00000 10160 20147 40162 70500 333 20138 58011 555 00000 =</t>
  </si>
  <si>
    <t>10086</t>
  </si>
  <si>
    <t>85800</t>
  </si>
  <si>
    <t>0121</t>
  </si>
  <si>
    <t>43063 32597 50000 10286 20121 40086 85800 333 10300 59009 =</t>
  </si>
  <si>
    <t>24/01/2012</t>
  </si>
  <si>
    <t>10154</t>
  </si>
  <si>
    <t>31596</t>
  </si>
  <si>
    <t>0156</t>
  </si>
  <si>
    <t>43063 31596 20000 10156 20146 40154 70500 82500 333 20138 59006 555 00000 =</t>
  </si>
  <si>
    <t>10083</t>
  </si>
  <si>
    <t>84800</t>
  </si>
  <si>
    <t>0117</t>
  </si>
  <si>
    <t>43063 32597 42702 10286 20117 40083 84800 333 10296 59003 =</t>
  </si>
  <si>
    <t>25/01/2012</t>
  </si>
  <si>
    <t>10138</t>
  </si>
  <si>
    <t>135</t>
  </si>
  <si>
    <t>0143</t>
  </si>
  <si>
    <t>43063 31996 10000 10160 20143 40138 70511 80001 333 20135 59014 555 00000 =</t>
  </si>
  <si>
    <t>10087</t>
  </si>
  <si>
    <t>58000</t>
  </si>
  <si>
    <t>81501</t>
  </si>
  <si>
    <t>43063 32597 22703 10266 20132 40087 81501 333 10306 58000 =</t>
  </si>
  <si>
    <t>26/01/2012</t>
  </si>
  <si>
    <t>118</t>
  </si>
  <si>
    <t>0125</t>
  </si>
  <si>
    <t>43063 31596 20000 10156 20125 40153 70511 82500 333 20118 58014 555 00000 =</t>
  </si>
  <si>
    <t>10096</t>
  </si>
  <si>
    <t>58008</t>
  </si>
  <si>
    <t>43202</t>
  </si>
  <si>
    <t>0268</t>
  </si>
  <si>
    <t>0109</t>
  </si>
  <si>
    <t>43063 32597 43202 10268 20109 40096 81531 333 10290 58008 =</t>
  </si>
  <si>
    <t>27/01/2012</t>
  </si>
  <si>
    <t>10082</t>
  </si>
  <si>
    <t>59018</t>
  </si>
  <si>
    <t>307</t>
  </si>
  <si>
    <t>0077</t>
  </si>
  <si>
    <t>43063 32997 02704 10276 20077 40082 333 10307 59018 =</t>
  </si>
  <si>
    <t>10151</t>
  </si>
  <si>
    <t>109</t>
  </si>
  <si>
    <t>0134</t>
  </si>
  <si>
    <t>0123</t>
  </si>
  <si>
    <t>43063 31996 00000 10134 20123 40151 70500 333 20109 59006 555@@ 00000 =</t>
  </si>
  <si>
    <t>28/01/2012</t>
  </si>
  <si>
    <t>297</t>
  </si>
  <si>
    <t>0060</t>
  </si>
  <si>
    <t>43063 32997 02702 10266 20060 40083 333 10297 59001 =</t>
  </si>
  <si>
    <t>10142</t>
  </si>
  <si>
    <t>108</t>
  </si>
  <si>
    <t>43063 31996 00000 10146 20121 40142 70500 333 20108 59006 555 00000 =</t>
  </si>
  <si>
    <t>29/01/2012</t>
  </si>
  <si>
    <t>2</t>
  </si>
  <si>
    <t>286</t>
  </si>
  <si>
    <t>22701</t>
  </si>
  <si>
    <t>81530</t>
  </si>
  <si>
    <t>0265</t>
  </si>
  <si>
    <t>0017</t>
  </si>
  <si>
    <t>43063 32597 22701 10265 20017 40085 81530 333 10286 58001 =</t>
  </si>
  <si>
    <t>09</t>
  </si>
  <si>
    <t>10147</t>
  </si>
  <si>
    <t>092</t>
  </si>
  <si>
    <t>0095</t>
  </si>
  <si>
    <t>43063 31996 00000 10132 20095 40147 70500 333 20092 58002 555 00000 =</t>
  </si>
  <si>
    <t>30/01/2012</t>
  </si>
  <si>
    <t>299</t>
  </si>
  <si>
    <t>82501</t>
  </si>
  <si>
    <t>0280</t>
  </si>
  <si>
    <t>43063 32597 30000 10280 20134 40086 82501 333 10299 58003 =</t>
  </si>
  <si>
    <t>10148</t>
  </si>
  <si>
    <t>0136</t>
  </si>
  <si>
    <t>43063 31996 00000 10136 20091 40148 70500 333 20087 58001 555 00000 =</t>
  </si>
  <si>
    <t>31/01/2012</t>
  </si>
  <si>
    <t>10106</t>
  </si>
  <si>
    <t>58021</t>
  </si>
  <si>
    <t>43063 32997 00000 10290 20118 40106 333 10309 58021 =</t>
  </si>
  <si>
    <t>10164</t>
  </si>
  <si>
    <t>58017</t>
  </si>
  <si>
    <t>124</t>
  </si>
  <si>
    <t>43063 31996 00000 10148 20123 40164 70500 333 20124 58017 555 00000 =</t>
  </si>
  <si>
    <t>01/02/2012</t>
  </si>
  <si>
    <t>10108</t>
  </si>
  <si>
    <t>01101</t>
  </si>
  <si>
    <t>43063 32997 01101 10284 20085 40108 333 10300 58002 =</t>
  </si>
  <si>
    <t>10177</t>
  </si>
  <si>
    <t>131</t>
  </si>
  <si>
    <t>43063 32996 00000 10152 20135 40177 70500 333 20131 58014 555 00000 =</t>
  </si>
  <si>
    <t>02/02/2012</t>
  </si>
  <si>
    <t>10114</t>
  </si>
  <si>
    <t>301</t>
  </si>
  <si>
    <t>00503</t>
  </si>
  <si>
    <t>0288</t>
  </si>
  <si>
    <t>0086</t>
  </si>
  <si>
    <t>43063 32997 00503 10288 20086 40114 333 10301 58006 =</t>
  </si>
  <si>
    <t>10180</t>
  </si>
  <si>
    <t>127</t>
  </si>
  <si>
    <t>43063 31996 00000 10152 20135 40180 70500 333 20127 58003 555 00000 =</t>
  </si>
  <si>
    <t>03/02/2012</t>
  </si>
  <si>
    <t>10184</t>
  </si>
  <si>
    <t>43063 31996 00000 10148 20123 40184 70500 333 20118 58002 555 00000 =</t>
  </si>
  <si>
    <t>59008</t>
  </si>
  <si>
    <t>305</t>
  </si>
  <si>
    <t>00505</t>
  </si>
  <si>
    <t>0096</t>
  </si>
  <si>
    <t>43063 32997 00505 10288 20096 40106 333 10305 59008 =</t>
  </si>
  <si>
    <t>04/02/2012</t>
  </si>
  <si>
    <t>59016</t>
  </si>
  <si>
    <t>130</t>
  </si>
  <si>
    <t>0154</t>
  </si>
  <si>
    <t>0137</t>
  </si>
  <si>
    <t>43063 32996 00000 10154 20137 40164 70500 333 20130 59016 555 00000 =</t>
  </si>
  <si>
    <t>10084</t>
  </si>
  <si>
    <t>317</t>
  </si>
  <si>
    <t>03201</t>
  </si>
  <si>
    <t>0304</t>
  </si>
  <si>
    <t>43063 32997 03201 10304 20120 40084 333 10317 59016 =</t>
  </si>
  <si>
    <t>05/02/2012</t>
  </si>
  <si>
    <t>133</t>
  </si>
  <si>
    <t>43063 31996 00000 10156 20132 40162 70500 333 20133 59002 555 00000 =</t>
  </si>
  <si>
    <t>0302</t>
  </si>
  <si>
    <t>0103</t>
  </si>
  <si>
    <t>43063 32997 00000 10302 20103 40086 333 10319 58002 =</t>
  </si>
  <si>
    <t>06/02/2012</t>
  </si>
  <si>
    <t>10150</t>
  </si>
  <si>
    <t>59010</t>
  </si>
  <si>
    <t>0170</t>
  </si>
  <si>
    <t>43063 31996 00000 10170 20143 40150 70500 333 20135 59010 555 00000 =</t>
  </si>
  <si>
    <t>328</t>
  </si>
  <si>
    <t>32704</t>
  </si>
  <si>
    <t>83500</t>
  </si>
  <si>
    <t>0300</t>
  </si>
  <si>
    <t>43063 32597 32704 10300 20119 40080 83500 333 10328 59009 =</t>
  </si>
  <si>
    <t>07/02/2012</t>
  </si>
  <si>
    <t>10139</t>
  </si>
  <si>
    <t>132</t>
  </si>
  <si>
    <t>43063 31996 00000 10168 20141 40139 70500 333 20132 59010 555 00000 =</t>
  </si>
  <si>
    <t>318</t>
  </si>
  <si>
    <t>52704</t>
  </si>
  <si>
    <t>43063 32997 52704 10282 20096 40078 80001 333 10318 59002 =</t>
  </si>
  <si>
    <t>08/02/2012</t>
  </si>
  <si>
    <t>10140</t>
  </si>
  <si>
    <t>0102</t>
  </si>
  <si>
    <t>43063 31996 50000 10156 20102 40140 70522 80001 333 20107 59001 555 00000 =</t>
  </si>
  <si>
    <t>-5</t>
  </si>
  <si>
    <t>293</t>
  </si>
  <si>
    <t>63201</t>
  </si>
  <si>
    <t>1046</t>
  </si>
  <si>
    <t>43063 32997 63201 10250 21046 40095 80001 333 10293 58007 =</t>
  </si>
  <si>
    <t>09/02/2012</t>
  </si>
  <si>
    <t>10161</t>
  </si>
  <si>
    <t>70510</t>
  </si>
  <si>
    <t>046</t>
  </si>
  <si>
    <t>40000</t>
  </si>
  <si>
    <t>0052</t>
  </si>
  <si>
    <t>43063 31996 40000 10098 20052 40161 70510 80001 333 20046 58007 555 00000 =</t>
  </si>
  <si>
    <t>289</t>
  </si>
  <si>
    <t>20502</t>
  </si>
  <si>
    <t>1054</t>
  </si>
  <si>
    <t>43063 32997 20502 10274 21054 39466 40077 80001 333 10289 59010 82070 =</t>
  </si>
  <si>
    <t>10/02/2012</t>
  </si>
  <si>
    <t>4</t>
  </si>
  <si>
    <t>0124</t>
  </si>
  <si>
    <t>0040</t>
  </si>
  <si>
    <t>43063 31996 30000 10124 20040 40151 70511 80001 333 20066 59003 555 00000 =</t>
  </si>
  <si>
    <t>10074</t>
  </si>
  <si>
    <t>298</t>
  </si>
  <si>
    <t>10501</t>
  </si>
  <si>
    <t>0033</t>
  </si>
  <si>
    <t>43063 32997 10501 10288 20033 40074 80001 333 10298 59001 =</t>
  </si>
  <si>
    <t>11/02/2012</t>
  </si>
  <si>
    <t>093</t>
  </si>
  <si>
    <t>43063 31996 00000 10124 20082 40161 70500 333 20093 58008 555 00000 =</t>
  </si>
  <si>
    <t>320</t>
  </si>
  <si>
    <t>02904</t>
  </si>
  <si>
    <t>0064</t>
  </si>
  <si>
    <t>43063 32997 02904 10304 20064 40065 333 10320 59005 =</t>
  </si>
  <si>
    <t>12/02/2012</t>
  </si>
  <si>
    <t>114</t>
  </si>
  <si>
    <t>43063 31996 00000 10152 20117 40139 70500 333 20114 59003 555 00000 =</t>
  </si>
  <si>
    <t>10064</t>
  </si>
  <si>
    <t>34</t>
  </si>
  <si>
    <t>340</t>
  </si>
  <si>
    <t>02703</t>
  </si>
  <si>
    <t>0310</t>
  </si>
  <si>
    <t>0038</t>
  </si>
  <si>
    <t>43063 32997 02703 10310 20038 40064 333 10340 59001 =</t>
  </si>
  <si>
    <t>13/02/2012</t>
  </si>
  <si>
    <t>119</t>
  </si>
  <si>
    <t>43063 32996 00000 10178 20123 40141 70500 333 20119 58006 555 00000 =</t>
  </si>
  <si>
    <t>344</t>
  </si>
  <si>
    <t>02902</t>
  </si>
  <si>
    <t>0312</t>
  </si>
  <si>
    <t>43063 32997 02902 10312 20055 40070 333 10344 58008 =</t>
  </si>
  <si>
    <t>14/02/2012</t>
  </si>
  <si>
    <t>115</t>
  </si>
  <si>
    <t>43063 31996 00000 10156 20128 40155 70500 333 20115 58009 555 00000 =</t>
  </si>
  <si>
    <t>10073</t>
  </si>
  <si>
    <t>336</t>
  </si>
  <si>
    <t>0067</t>
  </si>
  <si>
    <t>43063 32997 02704 10312 20067 40073 333 10336 58003 =</t>
  </si>
  <si>
    <t>15/02/2012</t>
  </si>
  <si>
    <t>02706</t>
  </si>
  <si>
    <t>0285</t>
  </si>
  <si>
    <t>0023</t>
  </si>
  <si>
    <t>43063 32997 02706 10285 20023 40078 333 10319 59001 =</t>
  </si>
  <si>
    <t>142</t>
  </si>
  <si>
    <t>43063 31596 50000 10170 20143 40138 70522 82531 333 20142 59014 555 00000 =</t>
  </si>
  <si>
    <t>16/02/2012</t>
  </si>
  <si>
    <t>10133</t>
  </si>
  <si>
    <t>098</t>
  </si>
  <si>
    <t>43063 31996 00000 10147 20067 40133 70500 333 20098 59009 555 00000 =</t>
  </si>
  <si>
    <t>0</t>
  </si>
  <si>
    <t>02906</t>
  </si>
  <si>
    <t>0000</t>
  </si>
  <si>
    <t>43063 32997 02906 10276 20000 40073 333 10309 59007 =</t>
  </si>
  <si>
    <t>17/02/2012</t>
  </si>
  <si>
    <t>322</t>
  </si>
  <si>
    <t>0308</t>
  </si>
  <si>
    <t>0047</t>
  </si>
  <si>
    <t>43063 32997 00000 10308 20047 40063 333 10322 59004 =</t>
  </si>
  <si>
    <t>090</t>
  </si>
  <si>
    <t>43063 31996 00000 10154 20091 40136 70500 333 20090 58005 555 00000 =</t>
  </si>
  <si>
    <t>18/02/2012</t>
  </si>
  <si>
    <t>122</t>
  </si>
  <si>
    <t>43063 31996 00000 10168 20121 40145 70500 333 20122 58011 555 00000 =</t>
  </si>
  <si>
    <t>0322</t>
  </si>
  <si>
    <t>43063 32597 20000 10322 20110 40077 82500 333 10340 58017 =</t>
  </si>
  <si>
    <t>19/02/2012</t>
  </si>
  <si>
    <t>20</t>
  </si>
  <si>
    <t>148</t>
  </si>
  <si>
    <t>0196</t>
  </si>
  <si>
    <t>43063 31996 00000 10196 20143 40152 70500 333 20148 58012 555 00000 =</t>
  </si>
  <si>
    <t>35</t>
  </si>
  <si>
    <t>351</t>
  </si>
  <si>
    <t>0330</t>
  </si>
  <si>
    <t>0088</t>
  </si>
  <si>
    <t>43063 32997 00901 10330 20088 40078 333 10351 58001 =</t>
  </si>
  <si>
    <t>20/02/2012</t>
  </si>
  <si>
    <t>146</t>
  </si>
  <si>
    <t>0184</t>
  </si>
  <si>
    <t>43063 31996 00000 10184 20148 40155 70500 333 20146 58006 555 00000 =</t>
  </si>
  <si>
    <t>345</t>
  </si>
  <si>
    <t>0334</t>
  </si>
  <si>
    <t>43063 32997 00901 10334 20067 40064 333 10345 59011 =</t>
  </si>
  <si>
    <t>21/02/2012</t>
  </si>
  <si>
    <t>19</t>
  </si>
  <si>
    <t>59020</t>
  </si>
  <si>
    <t>0186</t>
  </si>
  <si>
    <t>43063 31996 00000 10186 20128 40133 70500 333 20131 59020 555 00000 =</t>
  </si>
  <si>
    <t>10060</t>
  </si>
  <si>
    <t>354</t>
  </si>
  <si>
    <t>0027</t>
  </si>
  <si>
    <t>43063 32997 00901 10334 20027 40060 333 10354 59004 =</t>
  </si>
  <si>
    <t>22/02/2012</t>
  </si>
  <si>
    <t>128</t>
  </si>
  <si>
    <t>43063 31996 00000 10186 20117 40123 70500 333 20128 59010 555 00000 =</t>
  </si>
  <si>
    <t>10055</t>
  </si>
  <si>
    <t>36</t>
  </si>
  <si>
    <t>360</t>
  </si>
  <si>
    <t>21401</t>
  </si>
  <si>
    <t>0340</t>
  </si>
  <si>
    <t>0026</t>
  </si>
  <si>
    <t>43063 32996 21401 10340 20026 40055 80001 333 10360 59005 =</t>
  </si>
  <si>
    <t>23/02/2012</t>
  </si>
  <si>
    <t>10131</t>
  </si>
  <si>
    <t>129</t>
  </si>
  <si>
    <t>0188</t>
  </si>
  <si>
    <t>0127</t>
  </si>
  <si>
    <t>43063 31996 00000 10188 20127 40131 70500 333 20129 58008 555 00000 =</t>
  </si>
  <si>
    <t>10051</t>
  </si>
  <si>
    <t>350</t>
  </si>
  <si>
    <t>0332</t>
  </si>
  <si>
    <t>0044</t>
  </si>
  <si>
    <t>43063 32997 00000 10332 20044 40051 333 10350 59004 =</t>
  </si>
  <si>
    <t>24/02/2012</t>
  </si>
  <si>
    <t>140</t>
  </si>
  <si>
    <t>0190</t>
  </si>
  <si>
    <t>43063 31996 00000 10190 20129 40126 70500 333 20140 59005 555 00000 =</t>
  </si>
  <si>
    <t>10042</t>
  </si>
  <si>
    <t>352</t>
  </si>
  <si>
    <t>02901</t>
  </si>
  <si>
    <t>0073</t>
  </si>
  <si>
    <t>43063 32997 02901 10334 20073 40042 333 10352 59008 =</t>
  </si>
  <si>
    <t>25/02/2012</t>
  </si>
  <si>
    <t>10038</t>
  </si>
  <si>
    <t>0061</t>
  </si>
  <si>
    <t>43063 32997 00000 10334 20061 40038 333 10351 59004 =</t>
  </si>
  <si>
    <t>10105</t>
  </si>
  <si>
    <t>0192</t>
  </si>
  <si>
    <t>43063 31996 00000 10192 20112 40105 70500 333 20130 59018 555 00000 =</t>
  </si>
  <si>
    <t>26/02/2012</t>
  </si>
  <si>
    <t>10115</t>
  </si>
  <si>
    <t>125</t>
  </si>
  <si>
    <t>43063 31996 00000 10196 20108 40115 70500 333 20125 58010 555 00000 =</t>
  </si>
  <si>
    <t>10036</t>
  </si>
  <si>
    <t>359</t>
  </si>
  <si>
    <t>0072</t>
  </si>
  <si>
    <t>43063 32997 00000 10340 20072 40036 333 10359 59002 =</t>
  </si>
  <si>
    <t>27/02/2012</t>
  </si>
  <si>
    <t>10117</t>
  </si>
  <si>
    <t>43063 31996 00000 10188 20127 40117 70500 333 20135 58000 555 00000 =</t>
  </si>
  <si>
    <t>37</t>
  </si>
  <si>
    <t>367</t>
  </si>
  <si>
    <t>0344</t>
  </si>
  <si>
    <t>0068</t>
  </si>
  <si>
    <t>43063 32997 00000 10344 20068 40038 333 10367 58004 =</t>
  </si>
  <si>
    <t>28/02/2012</t>
  </si>
  <si>
    <t>10033</t>
  </si>
  <si>
    <t>347</t>
  </si>
  <si>
    <t>0324</t>
  </si>
  <si>
    <t>0011</t>
  </si>
  <si>
    <t>43063 32997 02706 10324 20011 40033 333 10347 59009 =</t>
  </si>
  <si>
    <t>0180</t>
  </si>
  <si>
    <t>0101</t>
  </si>
  <si>
    <t>43063 31996 00000 10180 20101 40105 70500 333 20133 59014 555 00000 =</t>
  </si>
  <si>
    <t>29/02/2012</t>
  </si>
  <si>
    <t>10089</t>
  </si>
  <si>
    <t>0063</t>
  </si>
  <si>
    <t>43063 31996 00000 10196 20063 40089 70500 333 20098 59011 555 00000 =</t>
  </si>
  <si>
    <t>10039</t>
  </si>
  <si>
    <t>43063 32997 02702 10310 20045 40039 333 10336 58002 =</t>
  </si>
  <si>
    <t>Prakash</t>
  </si>
  <si>
    <t>08/06/2012 5:50:40 PM</t>
  </si>
  <si>
    <t>01/03/2012</t>
  </si>
  <si>
    <t>43063 31996 00000 10166 20109 40115 70500 333 20098 58018 555 00000 =</t>
  </si>
  <si>
    <t>10050</t>
  </si>
  <si>
    <t>327</t>
  </si>
  <si>
    <t>43063 32997 02704 10304 20011 40050 333 10327 58011 =</t>
  </si>
  <si>
    <t>02/03/2012</t>
  </si>
  <si>
    <t>10045</t>
  </si>
  <si>
    <t>02705</t>
  </si>
  <si>
    <t>0043</t>
  </si>
  <si>
    <t>43063 32997 02705 10296 20043 40045 333 10322 59007 =</t>
  </si>
  <si>
    <t>10100</t>
  </si>
  <si>
    <t>088</t>
  </si>
  <si>
    <t>0172</t>
  </si>
  <si>
    <t>0078</t>
  </si>
  <si>
    <t>43063 31996 00000 10172 20078 40100 70500 333 20088 59011 555 00000 =</t>
  </si>
  <si>
    <t>03/03/2012</t>
  </si>
  <si>
    <t>02701</t>
  </si>
  <si>
    <t>0326</t>
  </si>
  <si>
    <t>43063 32997 02701 10326 20086 40039 333 10336 58000 =</t>
  </si>
  <si>
    <t>10006</t>
  </si>
  <si>
    <t>43063 31996 00000 10196 20136 40006 70500 333 20122 58009 555 00000 =</t>
  </si>
  <si>
    <t>04/03/2012</t>
  </si>
  <si>
    <t>10052</t>
  </si>
  <si>
    <t>0338</t>
  </si>
  <si>
    <t>0029</t>
  </si>
  <si>
    <t>43063 32996 00901 10338 20029 40052 333 10350 58014 =</t>
  </si>
  <si>
    <t>10119</t>
  </si>
  <si>
    <t>0210</t>
  </si>
  <si>
    <t>43063 31996 00000 10210 20144 40119 70500 333 20133 58014 555 00000 =</t>
  </si>
  <si>
    <t>05/03/2012</t>
  </si>
  <si>
    <t>21996</t>
  </si>
  <si>
    <t>43063 21996 20000 10206 20117 40112 70511 80001 333 20133 59007 555 00000 =</t>
  </si>
  <si>
    <t>365</t>
  </si>
  <si>
    <t>0350</t>
  </si>
  <si>
    <t>43063 32997 20000 10350 20085 40042 80001 333 10365 59007 =</t>
  </si>
  <si>
    <t>06/03/2012</t>
  </si>
  <si>
    <t>349</t>
  </si>
  <si>
    <t>0318</t>
  </si>
  <si>
    <t>0048</t>
  </si>
  <si>
    <t>43063 32997 02702 10318 20048 40055 333 10349 58006 =</t>
  </si>
  <si>
    <t>22</t>
  </si>
  <si>
    <t>137</t>
  </si>
  <si>
    <t>0224</t>
  </si>
  <si>
    <t>43063 31996 20000 10224 20106 40107 70500 80001 333 20137 58000 555 00000 =</t>
  </si>
  <si>
    <t>07/03/2012</t>
  </si>
  <si>
    <t>-1</t>
  </si>
  <si>
    <t>335</t>
  </si>
  <si>
    <t>1005</t>
  </si>
  <si>
    <t>43063 32997 02703 10304 21005 40038 333 10335 59018 =</t>
  </si>
  <si>
    <t>10099</t>
  </si>
  <si>
    <t>103</t>
  </si>
  <si>
    <t>43063 31996 02701 10190 20079 40099 70500 333 20103 59016 555 00000 =</t>
  </si>
  <si>
    <t>08/03/2012</t>
  </si>
  <si>
    <t>101</t>
  </si>
  <si>
    <t>43063 32997 22701 10178 20077 40110 80001 333 20101 58008 555 00000 =</t>
  </si>
  <si>
    <t>10054</t>
  </si>
  <si>
    <t>32705</t>
  </si>
  <si>
    <t>43063 32997 32705 10290 20031 40054 80001 333 10310 58012 =</t>
  </si>
  <si>
    <t>09/03/2012</t>
  </si>
  <si>
    <t>10040</t>
  </si>
  <si>
    <t>59012</t>
  </si>
  <si>
    <t>22702</t>
  </si>
  <si>
    <t>0024</t>
  </si>
  <si>
    <t>43063 32997 22702 10300 20024 40040 80001 333 10309 59012 =</t>
  </si>
  <si>
    <t>106</t>
  </si>
  <si>
    <t>43063 32997 00000 10186 20120 40116 333 20106 58008 555 00000 =</t>
  </si>
  <si>
    <t>10/03/2012</t>
  </si>
  <si>
    <t>43063 32997 00000 10192 20103 40106 333 20101 59008 555 00000 =</t>
  </si>
  <si>
    <t>329</t>
  </si>
  <si>
    <t>00201</t>
  </si>
  <si>
    <t>0012</t>
  </si>
  <si>
    <t>43063 32997 00201 10318 20012 40038 333 10329 58002 =</t>
  </si>
  <si>
    <t>11/03/2012</t>
  </si>
  <si>
    <t>10101</t>
  </si>
  <si>
    <t>123</t>
  </si>
  <si>
    <t>01801</t>
  </si>
  <si>
    <t>43063 31996 01801 10210 20087 40101 70500 333 20123 59003 555 00000 =</t>
  </si>
  <si>
    <t>22902</t>
  </si>
  <si>
    <t>43063 32997 22902 10318 20054 40038 80001 333 10351 58000 =</t>
  </si>
  <si>
    <t>12/03/2012</t>
  </si>
  <si>
    <t>58040</t>
  </si>
  <si>
    <t>43063 32997 02906 10312 20055 40080 333 10352 58040 =</t>
  </si>
  <si>
    <t>10132</t>
  </si>
  <si>
    <t>58032</t>
  </si>
  <si>
    <t>143</t>
  </si>
  <si>
    <t>32596</t>
  </si>
  <si>
    <t>84500</t>
  </si>
  <si>
    <t>0212</t>
  </si>
  <si>
    <t>43063 32596 40000 10212 20044 40132 84500 333 20143 58032 555 00000 =</t>
  </si>
  <si>
    <t>13/03/2012</t>
  </si>
  <si>
    <t>43063 31996 00000 10224 20106 40141 70500 333 20128 58010 555 00000 =</t>
  </si>
  <si>
    <t>341</t>
  </si>
  <si>
    <t>00903</t>
  </si>
  <si>
    <t>43063 32997 00903 10334 20027 40080 333 10341 58004 =</t>
  </si>
  <si>
    <t>14/03/2012</t>
  </si>
  <si>
    <t>10160</t>
  </si>
  <si>
    <t>0216</t>
  </si>
  <si>
    <t>43063 32997 00000 10216 20100 40160 333 20129 58016 555 00000 =</t>
  </si>
  <si>
    <t>43063 32997 03201 10340 20054 40084 333 10351 58004 =</t>
  </si>
  <si>
    <t>15/03/2012</t>
  </si>
  <si>
    <t>369</t>
  </si>
  <si>
    <t>0352</t>
  </si>
  <si>
    <t>43063 32997 00000 10352 20053 40063 333 10369 59016 =</t>
  </si>
  <si>
    <t>10144</t>
  </si>
  <si>
    <t>0238</t>
  </si>
  <si>
    <t>43063 31996 00000 10238 20103 40144 70500 333 20135 59011 555 00000 =</t>
  </si>
  <si>
    <t>16/03/2012</t>
  </si>
  <si>
    <t>144</t>
  </si>
  <si>
    <t>0232</t>
  </si>
  <si>
    <t>0116</t>
  </si>
  <si>
    <t>43063 31996 00000 10232 20116 40144 70500 333 20144 58000 555 00000 =</t>
  </si>
  <si>
    <t>10071</t>
  </si>
  <si>
    <t>372</t>
  </si>
  <si>
    <t>0356</t>
  </si>
  <si>
    <t>43063 32997 00000 10356 20090 40071 333 10372 59007 =</t>
  </si>
  <si>
    <t>17/03/2012</t>
  </si>
  <si>
    <t>10062</t>
  </si>
  <si>
    <t>38</t>
  </si>
  <si>
    <t>381</t>
  </si>
  <si>
    <t>02905</t>
  </si>
  <si>
    <t>0059</t>
  </si>
  <si>
    <t>43063 32997 02905 10352 20059 40062 333 10381 59008 =</t>
  </si>
  <si>
    <t>0240</t>
  </si>
  <si>
    <t>43063 31996 00000 10240 20105 40125 70500 333 20148 59017 555 00000 =</t>
  </si>
  <si>
    <t>18/03/2012</t>
  </si>
  <si>
    <t>43063 32997 00000 10238 20098 40129 333 20148 58004 555 00000 =</t>
  </si>
  <si>
    <t>10067</t>
  </si>
  <si>
    <t>378</t>
  </si>
  <si>
    <t>43063 32997 02903 10352 20059 40067 333 10378 58003 =</t>
  </si>
  <si>
    <t>19/03/2012</t>
  </si>
  <si>
    <t>0354</t>
  </si>
  <si>
    <t>0036</t>
  </si>
  <si>
    <t>43063 32997 02703 10354 20036 40062 333 10381 59003 =</t>
  </si>
  <si>
    <t>10137</t>
  </si>
  <si>
    <t>43063 31996 00000 10244 20095 40137 70540 333 20143 58008 555 00000 =</t>
  </si>
  <si>
    <t>20/03/2012</t>
  </si>
  <si>
    <t>10124</t>
  </si>
  <si>
    <t>43063 31996 00000 10248 20103 40124 70500 333 20146 59012 555 00000 =</t>
  </si>
  <si>
    <t>10056</t>
  </si>
  <si>
    <t>39</t>
  </si>
  <si>
    <t>391</t>
  </si>
  <si>
    <t>0358</t>
  </si>
  <si>
    <t>43063 32997 02902 10358 20038 40056 333 10391 59006 =</t>
  </si>
  <si>
    <t>21/03/2012</t>
  </si>
  <si>
    <t>10046</t>
  </si>
  <si>
    <t>384</t>
  </si>
  <si>
    <t>0360</t>
  </si>
  <si>
    <t>0056</t>
  </si>
  <si>
    <t>43063 32997 02703 10360 20056 40046 333 10384 59010 =</t>
  </si>
  <si>
    <t>158</t>
  </si>
  <si>
    <t>43063 31996 00000 10256 20135 40113 70500 333 20158 59008 555 00000 =</t>
  </si>
  <si>
    <t>22/03/2012</t>
  </si>
  <si>
    <t>10049</t>
  </si>
  <si>
    <t>380</t>
  </si>
  <si>
    <t>00701</t>
  </si>
  <si>
    <t>0370</t>
  </si>
  <si>
    <t>0083</t>
  </si>
  <si>
    <t>43063 32997 00701 10370 20083 39456 40049 333 10380 58005 =</t>
  </si>
  <si>
    <t>163</t>
  </si>
  <si>
    <t>43063 31996 00000 10238 20116 40122 70500 333 20163 58005 555 00000 =</t>
  </si>
  <si>
    <t>23/03/2012</t>
  </si>
  <si>
    <t>10128</t>
  </si>
  <si>
    <t>164</t>
  </si>
  <si>
    <t>43063 31996 00000 10256 20135 40128 70500 333 20164 58009 555 00000 =</t>
  </si>
  <si>
    <t>02001</t>
  </si>
  <si>
    <t>43063 32996 02001 10370 20051 39467 40060 333 10384 58011 =</t>
  </si>
  <si>
    <t>24/03/2012</t>
  </si>
  <si>
    <t>10061</t>
  </si>
  <si>
    <t>0094</t>
  </si>
  <si>
    <t>43063 32997 00000 10370 20094 40061 333 10384 58001 =</t>
  </si>
  <si>
    <t>160</t>
  </si>
  <si>
    <t>0131</t>
  </si>
  <si>
    <t>43063 31996 00000 10250 20131 40140 70500 333 20160 58018 555 00000 =</t>
  </si>
  <si>
    <t>25/03/2012</t>
  </si>
  <si>
    <t>-0</t>
  </si>
  <si>
    <t>10057</t>
  </si>
  <si>
    <t>387</t>
  </si>
  <si>
    <t>01401</t>
  </si>
  <si>
    <t>1003</t>
  </si>
  <si>
    <t>43063 32997 01401 10370 21003 40057 333 10387 59004 =</t>
  </si>
  <si>
    <t>0115</t>
  </si>
  <si>
    <t>43063 31996 00000 10250 20115 40131 70500 333 20153 59008 555 00000 =</t>
  </si>
  <si>
    <t>26/03/2012</t>
  </si>
  <si>
    <t>157</t>
  </si>
  <si>
    <t>0252</t>
  </si>
  <si>
    <t>0122</t>
  </si>
  <si>
    <t>43063 31996 20000 10252 20122 40126 70500 80001 333 20157 59002 555 00000 =</t>
  </si>
  <si>
    <t>10059</t>
  </si>
  <si>
    <t>386</t>
  </si>
  <si>
    <t>51103</t>
  </si>
  <si>
    <t>0359</t>
  </si>
  <si>
    <t>1011</t>
  </si>
  <si>
    <t>43063 32997 51103 10359 21011 40059 80001 333 10386 58000 =</t>
  </si>
  <si>
    <t>27/03/2012</t>
  </si>
  <si>
    <t>167</t>
  </si>
  <si>
    <t>0251</t>
  </si>
  <si>
    <t>43063 31996 00000 10251 20128 40127 70540 333 20167 58001 =</t>
  </si>
  <si>
    <t>388</t>
  </si>
  <si>
    <t>32703</t>
  </si>
  <si>
    <t>0348</t>
  </si>
  <si>
    <t>0113</t>
  </si>
  <si>
    <t>43063 32997 32703 10348 20113 40065 80001 333 10388 58004 =</t>
  </si>
  <si>
    <t>28/03/2012</t>
  </si>
  <si>
    <t>58013</t>
  </si>
  <si>
    <t>43063 32997 02704 10356 20106 40077 333 10387 58013 =</t>
  </si>
  <si>
    <t>10143</t>
  </si>
  <si>
    <t>186</t>
  </si>
  <si>
    <t>43063 31996 50000 10240 20168 40143 70522 80001 333 20186 58010 555 00000 =</t>
  </si>
  <si>
    <t>29/03/2012</t>
  </si>
  <si>
    <t>0145</t>
  </si>
  <si>
    <t>43063 32997 02704 10348 20145 40071 333 10387 59009 =</t>
  </si>
  <si>
    <t>197</t>
  </si>
  <si>
    <t>0167</t>
  </si>
  <si>
    <t>43063 31996 00000 10260 20167 40136 70500 333 20197 59002 555 00000 =</t>
  </si>
  <si>
    <t>30/03/2012</t>
  </si>
  <si>
    <t>10118</t>
  </si>
  <si>
    <t>188</t>
  </si>
  <si>
    <t>0264</t>
  </si>
  <si>
    <t>0133</t>
  </si>
  <si>
    <t>43063 32997 00000 10264 20133 40118 333 20188 59015 555 00000 =</t>
  </si>
  <si>
    <t>366</t>
  </si>
  <si>
    <t>0341</t>
  </si>
  <si>
    <t>43063 32997 02904 10341 20123 40062 333 10366 59007 =</t>
  </si>
  <si>
    <t>31/03/2012</t>
  </si>
  <si>
    <t>180</t>
  </si>
  <si>
    <t>0246</t>
  </si>
  <si>
    <t>43063 31996 00000 10246 20168 40126 70540 333 20180 58003 555 00000 =</t>
  </si>
  <si>
    <t>10047</t>
  </si>
  <si>
    <t>379</t>
  </si>
  <si>
    <t>81500</t>
  </si>
  <si>
    <t>0366</t>
  </si>
  <si>
    <t>0035</t>
  </si>
  <si>
    <t>43063 32597 10000 10366 20035 39454 40047 81500 333 10379 59011 81626 =</t>
  </si>
  <si>
    <t>13/07/2012 3:27:19 PM</t>
  </si>
  <si>
    <t>01/04/2012</t>
  </si>
  <si>
    <t>385</t>
  </si>
  <si>
    <t>21101</t>
  </si>
  <si>
    <t>43063 32597 21101 10370 20088 40047 81501 333 10385 58000 =</t>
  </si>
  <si>
    <t>0162</t>
  </si>
  <si>
    <t>43063 31996 00000 10268 20162 40113 70500 333 20197 59008 555 00000 10000 =</t>
  </si>
  <si>
    <t>02/04/2012</t>
  </si>
  <si>
    <t>42703</t>
  </si>
  <si>
    <t>83801</t>
  </si>
  <si>
    <t>0263</t>
  </si>
  <si>
    <t>43063 32597 42703 10340 20263 40061 83801 333 10388 58008 =</t>
  </si>
  <si>
    <t>200</t>
  </si>
  <si>
    <t>43063 31996 00000 10274 20154 40115 70500 333 20200 58004 555 00000 10000 =</t>
  </si>
  <si>
    <t>03/04/2012</t>
  </si>
  <si>
    <t>42504</t>
  </si>
  <si>
    <t>0346</t>
  </si>
  <si>
    <t>0151</t>
  </si>
  <si>
    <t>43063 32597 42504 10346 20151 40077 84800 333 10388 58016 =</t>
  </si>
  <si>
    <t>223</t>
  </si>
  <si>
    <t>0275</t>
  </si>
  <si>
    <t>0183</t>
  </si>
  <si>
    <t>43063 31996 10000 10275 20183 40137 70500 80001 333 20223 58021 555 00000 10000 =</t>
  </si>
  <si>
    <t>04/04/2012</t>
  </si>
  <si>
    <t>70542</t>
  </si>
  <si>
    <t>207</t>
  </si>
  <si>
    <t>0169</t>
  </si>
  <si>
    <t>43063 32596 30000 10250 20169 40140 70542 81501 333 20207 59004 555 00000 10000 =</t>
  </si>
  <si>
    <t>22903</t>
  </si>
  <si>
    <t>82800</t>
  </si>
  <si>
    <t>43063 32597 22903 10352 20134 40057 82800 333 10388 59016 =</t>
  </si>
  <si>
    <t>05/04/2012</t>
  </si>
  <si>
    <t>382</t>
  </si>
  <si>
    <t>12903</t>
  </si>
  <si>
    <t>43063 32597 12903 10352 20100 40047 81500 333 10382 59010 =</t>
  </si>
  <si>
    <t>221</t>
  </si>
  <si>
    <t>0272</t>
  </si>
  <si>
    <t>0177</t>
  </si>
  <si>
    <t>43063 32997 00000 10272 20177 40115 333 20221 59017 555 00000 10000 =</t>
  </si>
  <si>
    <t>06/04/2012</t>
  </si>
  <si>
    <t>59013</t>
  </si>
  <si>
    <t>184</t>
  </si>
  <si>
    <t>0093</t>
  </si>
  <si>
    <t>43063 32997 02703 10280 20093 40101 333 20184 59013 555 00000 10000 =</t>
  </si>
  <si>
    <t>10044</t>
  </si>
  <si>
    <t>371</t>
  </si>
  <si>
    <t>43063 32997 02704 10350 20085 40044 333 10371 59004 =</t>
  </si>
  <si>
    <t>07/04/2012</t>
  </si>
  <si>
    <t>10092</t>
  </si>
  <si>
    <t>173</t>
  </si>
  <si>
    <t>0076</t>
  </si>
  <si>
    <t>43063 32997 00000 10266 20076 40092 333 20173 59011 555 00000 10000 =</t>
  </si>
  <si>
    <t>10034</t>
  </si>
  <si>
    <t>390</t>
  </si>
  <si>
    <t>12706</t>
  </si>
  <si>
    <t>43063 32597 12706 10360 20092 40034 81500 333 10390 59008 =</t>
  </si>
  <si>
    <t>08/04/2012</t>
  </si>
  <si>
    <t>179</t>
  </si>
  <si>
    <t>43063 32997 00000 10280 20121 40087 333 20179 59003 555 00000 10000 =</t>
  </si>
  <si>
    <t>10025</t>
  </si>
  <si>
    <t>40</t>
  </si>
  <si>
    <t>399</t>
  </si>
  <si>
    <t>43063 32597 22703 10370 20130 40025 82500 333 10399 59007 =</t>
  </si>
  <si>
    <t>09/04/2012</t>
  </si>
  <si>
    <t>389</t>
  </si>
  <si>
    <t>62903</t>
  </si>
  <si>
    <t>43063 32997 62903 10356 20126 40042 80001 333 10389 58015 =</t>
  </si>
  <si>
    <t>10091</t>
  </si>
  <si>
    <t>52701</t>
  </si>
  <si>
    <t>43063 32997 52701 10274 20130 40091 80001 333 20200 58004 85070 555 00000 10000 =</t>
  </si>
  <si>
    <t>10/04/2012</t>
  </si>
  <si>
    <t>233</t>
  </si>
  <si>
    <t>0165</t>
  </si>
  <si>
    <t>43063 32997 32702 10274 20165 40106 80001 333 20233 58014 555 00000 10000 =</t>
  </si>
  <si>
    <t>32904</t>
  </si>
  <si>
    <t>43063 32997 32904 10360 20103 40033 80001 333 10391 59009 =</t>
  </si>
  <si>
    <t>11/04/2012</t>
  </si>
  <si>
    <t>377</t>
  </si>
  <si>
    <t>72903</t>
  </si>
  <si>
    <t>82801</t>
  </si>
  <si>
    <t>0182</t>
  </si>
  <si>
    <t>43063 32597 72903 10340 20182 40039 82801 333 10377 58002 =</t>
  </si>
  <si>
    <t>237</t>
  </si>
  <si>
    <t>43063 32996 52701 10266 20184 40096 80001 333 20237 59011 555 00000 10000 =</t>
  </si>
  <si>
    <t>12/04/2012</t>
  </si>
  <si>
    <t>0187</t>
  </si>
  <si>
    <t>43063 32597 32904 10332 20187 40034 83500 333 10377 59005 =</t>
  </si>
  <si>
    <t>213</t>
  </si>
  <si>
    <t>62701</t>
  </si>
  <si>
    <t>0270</t>
  </si>
  <si>
    <t>43063 31596 62701 10270 20168 40091 70542 81501 333 20213 59005 555 00000 10000 =</t>
  </si>
  <si>
    <t>13/04/2012</t>
  </si>
  <si>
    <t>10028</t>
  </si>
  <si>
    <t>42706</t>
  </si>
  <si>
    <t>43063 32597 42706 10356 20096 40028 82801 333 10381 59002 =</t>
  </si>
  <si>
    <t>185</t>
  </si>
  <si>
    <t>60000</t>
  </si>
  <si>
    <t>83501</t>
  </si>
  <si>
    <t>0150</t>
  </si>
  <si>
    <t>43063 32596 60000 10268 20150 40091 83501 333 20185 58000 555 00000 10000 =</t>
  </si>
  <si>
    <t>14/04/2012</t>
  </si>
  <si>
    <t>0157</t>
  </si>
  <si>
    <t>43063 32997 30000 10276 20157 39482 40095 80001 333 20188 58006 83070 555 00000 10000 =</t>
  </si>
  <si>
    <t>10037</t>
  </si>
  <si>
    <t>85801</t>
  </si>
  <si>
    <t>0069</t>
  </si>
  <si>
    <t>43063 32597 70000 10360 20069 40037 85801 333 10380 58009 =</t>
  </si>
  <si>
    <t>15/04/2012</t>
  </si>
  <si>
    <t>32903</t>
  </si>
  <si>
    <t>0376</t>
  </si>
  <si>
    <t>0071</t>
  </si>
  <si>
    <t>43063 32597 32903 10376 20071 40034 82501 333 10385 58001 =</t>
  </si>
  <si>
    <t>209</t>
  </si>
  <si>
    <t>30902</t>
  </si>
  <si>
    <t>43063 32997 30902 10294 20164 40102 80001 333 20209 58010 555 00000 10000 =</t>
  </si>
  <si>
    <t>16/04/2012</t>
  </si>
  <si>
    <t>70541</t>
  </si>
  <si>
    <t>210</t>
  </si>
  <si>
    <t>32301</t>
  </si>
  <si>
    <t>0287</t>
  </si>
  <si>
    <t>43063 31996 32301 10287 20127 40101 70541 80001 333 20210 59002 555 00000 10000 =</t>
  </si>
  <si>
    <t>79692</t>
  </si>
  <si>
    <t>21597</t>
  </si>
  <si>
    <t>72710</t>
  </si>
  <si>
    <t>87900</t>
  </si>
  <si>
    <t>0189</t>
  </si>
  <si>
    <t>43063 21597 72710 10264 20189 40052 79692 87900 333 10389 59002 6001/ =</t>
  </si>
  <si>
    <t>17/04/2012</t>
  </si>
  <si>
    <t>22997</t>
  </si>
  <si>
    <t>0191</t>
  </si>
  <si>
    <t>43063 22997 22702 10272 20191 40089 80001 333 20213 59014 6004/ 555 00036 =</t>
  </si>
  <si>
    <t>10016</t>
  </si>
  <si>
    <t>373</t>
  </si>
  <si>
    <t>0362</t>
  </si>
  <si>
    <t>43063 32597 42702 10362 20101 40016 82801 333 10373 59017 =</t>
  </si>
  <si>
    <t>18/04/2012</t>
  </si>
  <si>
    <t>10021</t>
  </si>
  <si>
    <t>81507</t>
  </si>
  <si>
    <t>43063 32597 72903 10352 20083 40021 81507 333 10389 58003 =</t>
  </si>
  <si>
    <t>218</t>
  </si>
  <si>
    <t>52901</t>
  </si>
  <si>
    <t>43063 32997 52901 10270 20168 40082 80001 333 20218 59007 555 00000 10004 =</t>
  </si>
  <si>
    <t>19/04/2012</t>
  </si>
  <si>
    <t>250</t>
  </si>
  <si>
    <t>73202</t>
  </si>
  <si>
    <t>80007</t>
  </si>
  <si>
    <t>0201</t>
  </si>
  <si>
    <t>43063 32996 73202 10272 20201 40089 80007 333 20250 58007 555 00000 10004 =</t>
  </si>
  <si>
    <t>76196</t>
  </si>
  <si>
    <t>58027</t>
  </si>
  <si>
    <t>368</t>
  </si>
  <si>
    <t>72703</t>
  </si>
  <si>
    <t>86901</t>
  </si>
  <si>
    <t>0185</t>
  </si>
  <si>
    <t>43063 21597 72703 10244 20185 40073 76196 86901 333 10368 58027 6003/ =</t>
  </si>
  <si>
    <t>20/04/2012</t>
  </si>
  <si>
    <t>10098</t>
  </si>
  <si>
    <t>204</t>
  </si>
  <si>
    <t>22501</t>
  </si>
  <si>
    <t>0261</t>
  </si>
  <si>
    <t>43063 21996 22501 10261 20177 40098 70522 80001 333 20204 58007 6003/ 555 00034 10007 =</t>
  </si>
  <si>
    <t>42701</t>
  </si>
  <si>
    <t>43063 32597 42701 10356 20140 40037 84800 333 10369 59012 =</t>
  </si>
  <si>
    <t>21/04/2012</t>
  </si>
  <si>
    <t>70521</t>
  </si>
  <si>
    <t>82030</t>
  </si>
  <si>
    <t>43063 31796 20000 10280 20187 40108 70521 82030 333 20210 58011 555 00000 10007 =</t>
  </si>
  <si>
    <t>10029</t>
  </si>
  <si>
    <t>70292</t>
  </si>
  <si>
    <t>31597</t>
  </si>
  <si>
    <t>43203</t>
  </si>
  <si>
    <t>43063 31597 43203 10356 20169 40029 70292 84800 333 10369 59008 =</t>
  </si>
  <si>
    <t>22/04/2012</t>
  </si>
  <si>
    <t>10008</t>
  </si>
  <si>
    <t>52703</t>
  </si>
  <si>
    <t>0364</t>
  </si>
  <si>
    <t>43063 32597 52703 10364 20103 40008 83801 333 10379 59018 =</t>
  </si>
  <si>
    <t>59029</t>
  </si>
  <si>
    <t>43063 32996 00000 10282 20141 40074 333 20207 59029 555 00000 10007 =</t>
  </si>
  <si>
    <t>23/04/2012</t>
  </si>
  <si>
    <t>199</t>
  </si>
  <si>
    <t>43063 32997 10000 10280 20112 40073 80001 333 20199 59003 555 00000 10007 =</t>
  </si>
  <si>
    <t>10012</t>
  </si>
  <si>
    <t>32905</t>
  </si>
  <si>
    <t>0005</t>
  </si>
  <si>
    <t>43063 32597 32905 10354 20005 40012 81501 333 10371 58002 =</t>
  </si>
  <si>
    <t>24/04/2012</t>
  </si>
  <si>
    <t>03203</t>
  </si>
  <si>
    <t>43063 32997 03203 10358 20094 40025 333 10371 58012 =</t>
  </si>
  <si>
    <t>43063 32997 02701 10250 20131 40095 333 20184 58014 555 00000 10007 =</t>
  </si>
  <si>
    <t>25/04/2012</t>
  </si>
  <si>
    <t>194</t>
  </si>
  <si>
    <t>0149</t>
  </si>
  <si>
    <t>43063 32997 00000 10270 20149 40092 333 20194 58001 555 00000 10007 =</t>
  </si>
  <si>
    <t>10027</t>
  </si>
  <si>
    <t>376</t>
  </si>
  <si>
    <t>43063 32997 02904 10358 20083 40027 333 10376 58002 =</t>
  </si>
  <si>
    <t>26/04/2012</t>
  </si>
  <si>
    <t>43063 32997 50000 10280 20112 40089 80001 333 20213 59001 555 00000 10007 =</t>
  </si>
  <si>
    <t>10031</t>
  </si>
  <si>
    <t>0368</t>
  </si>
  <si>
    <t>43063 32997 22702 10368 20017 40031 80001 333 10384 58006 =</t>
  </si>
  <si>
    <t>27/04/2012</t>
  </si>
  <si>
    <t>43063 32997 22903 10359 20051 40025 80001 333 10371 59008 =</t>
  </si>
  <si>
    <t>202</t>
  </si>
  <si>
    <t>43063 32997 00000 10300 20114 40086 333 20202 58001 555 00000 10007 =</t>
  </si>
  <si>
    <t>28/04/2012</t>
  </si>
  <si>
    <t>10069</t>
  </si>
  <si>
    <t>215</t>
  </si>
  <si>
    <t>62503</t>
  </si>
  <si>
    <t>43063 32597 62503 10294 20107 40069 82531 333 20215 59015 555 00000 10007 =</t>
  </si>
  <si>
    <t>10018</t>
  </si>
  <si>
    <t>72904</t>
  </si>
  <si>
    <t>43063 32597 72904 10354 20132 40018 81501 333 10378 59006 =</t>
  </si>
  <si>
    <t>29/04/2012</t>
  </si>
  <si>
    <t>10014</t>
  </si>
  <si>
    <t>43063 32997 02904 10350 20106 40014 333 10382 59006 =</t>
  </si>
  <si>
    <t>0292</t>
  </si>
  <si>
    <t>0041</t>
  </si>
  <si>
    <t>43063 32997 02702 10292 20041 40062 333 20204 59005 555 00000 10007 =</t>
  </si>
  <si>
    <t>30/04/2012</t>
  </si>
  <si>
    <t>10015</t>
  </si>
  <si>
    <t>22704</t>
  </si>
  <si>
    <t>43063 32597 22704 10346 20147 40015 81501 333 10377 58001 =</t>
  </si>
  <si>
    <t>26/07/2012 1:25:05 PM</t>
  </si>
  <si>
    <t>214</t>
  </si>
  <si>
    <t>43063 32997 02902 10292 20087 40062 333 20214 58000 555 00000 10007 =</t>
  </si>
  <si>
    <t>01/05/2012</t>
  </si>
  <si>
    <t>43063 32997 00000 10288 20141 40064 333 20185 58000 555 10000 =</t>
  </si>
  <si>
    <t>43063 32997 32904 10352 20096 40025 80001 333 10371 58011 =</t>
  </si>
  <si>
    <t>02/05/2012</t>
  </si>
  <si>
    <t>375</t>
  </si>
  <si>
    <t>43063 32997 02704 10350 20091 40036 333 10375 58009 =</t>
  </si>
  <si>
    <t>58030</t>
  </si>
  <si>
    <t>0084</t>
  </si>
  <si>
    <t>43063 32997 02701 10274 20084 40098 333 20179 58030 555 10000 =</t>
  </si>
  <si>
    <t>03/05/2012</t>
  </si>
  <si>
    <t>10023</t>
  </si>
  <si>
    <t>43063 32997 02706 10352 20134 40023 333 10382 59010 =</t>
  </si>
  <si>
    <t>183</t>
  </si>
  <si>
    <t>43063 32997 02901 10276 20116 40085 333 20183 59013 555 10000 =</t>
  </si>
  <si>
    <t>04/05/2012</t>
  </si>
  <si>
    <t>10024</t>
  </si>
  <si>
    <t>364</t>
  </si>
  <si>
    <t>43063 32997 02906 10330 20165 40024 333 10364 59004 =</t>
  </si>
  <si>
    <t>43063 32997 02704 10266 20152 40071 333 20223 59014 555 10000 =</t>
  </si>
  <si>
    <t>05/05/2012</t>
  </si>
  <si>
    <t>10041</t>
  </si>
  <si>
    <t>353</t>
  </si>
  <si>
    <t>43063 32597 22704 10324 20147 40041 82800 333 10353 58015 =</t>
  </si>
  <si>
    <t>216</t>
  </si>
  <si>
    <t>43063 32997 12706 10254 20177 40077 80001 333 20216 58003 555 10000 =</t>
  </si>
  <si>
    <t>06/05/2012</t>
  </si>
  <si>
    <t>42903</t>
  </si>
  <si>
    <t>0159</t>
  </si>
  <si>
    <t>43063 32597 42903 10334 20159 40049 84800 333 10349 58009 =</t>
  </si>
  <si>
    <t>58023</t>
  </si>
  <si>
    <t>220</t>
  </si>
  <si>
    <t>0258</t>
  </si>
  <si>
    <t>43063 32597 22903 10258 20185 40101 82500 333 20220 58023 555 10000 =</t>
  </si>
  <si>
    <t>07/05/2012</t>
  </si>
  <si>
    <t>10103</t>
  </si>
  <si>
    <t>217</t>
  </si>
  <si>
    <t>33202</t>
  </si>
  <si>
    <t>43063 32597 33202 10250 20180 40103 81501 333 20217 58000 555 10000 =</t>
  </si>
  <si>
    <t>10022</t>
  </si>
  <si>
    <t>59021</t>
  </si>
  <si>
    <t>32709</t>
  </si>
  <si>
    <t>83800</t>
  </si>
  <si>
    <t>43063 32597 32709 10352 20147 40022 83800 333 10372 59021 =</t>
  </si>
  <si>
    <t>08/05/2012</t>
  </si>
  <si>
    <t>228</t>
  </si>
  <si>
    <t>12703</t>
  </si>
  <si>
    <t>43063 32997 12703 10270 20196 40088 80001 333 20228 59011 555 10000 =</t>
  </si>
  <si>
    <t>84801</t>
  </si>
  <si>
    <t>0369</t>
  </si>
  <si>
    <t>43063 32597 52704 10369 20111 40021 84801 333 10382 58001 =</t>
  </si>
  <si>
    <t>09/05/2012</t>
  </si>
  <si>
    <t>72911</t>
  </si>
  <si>
    <t>85901</t>
  </si>
  <si>
    <t>43063 31597 62903 10354 20176 40037 72911 85901 333 10385 58013 =</t>
  </si>
  <si>
    <t>238</t>
  </si>
  <si>
    <t>22797</t>
  </si>
  <si>
    <t>82031</t>
  </si>
  <si>
    <t>43063 22797 32703 10276 20182 40095 82031 333 20238 58009 6992/ 555 00002 =</t>
  </si>
  <si>
    <t>10/05/2012</t>
  </si>
  <si>
    <t>10109</t>
  </si>
  <si>
    <t>0273</t>
  </si>
  <si>
    <t>43063 32997 02703 10273 20169 40109 333 20237 58013 555 10000 =</t>
  </si>
  <si>
    <t>43063 32597 32903 10346 20190 40044 83800 333 10378 58005 =</t>
  </si>
  <si>
    <t>11/05/2012</t>
  </si>
  <si>
    <t>10017</t>
  </si>
  <si>
    <t>71792</t>
  </si>
  <si>
    <t>62902</t>
  </si>
  <si>
    <t>43063 31597 62902 10364 20156 40017 71792 85901 333 10375 59022 =</t>
  </si>
  <si>
    <t>10093</t>
  </si>
  <si>
    <t>0193</t>
  </si>
  <si>
    <t>43063 32997 02702 10268 20193 40093 333 20228 59017 555 10000 =</t>
  </si>
  <si>
    <t>12/05/2012</t>
  </si>
  <si>
    <t>12702</t>
  </si>
  <si>
    <t>43063 32997 12702 10272 20184 40076 80001 333 20238 59013 555 10000 =</t>
  </si>
  <si>
    <t>72992</t>
  </si>
  <si>
    <t>370</t>
  </si>
  <si>
    <t>62704</t>
  </si>
  <si>
    <t>86900</t>
  </si>
  <si>
    <t>0342</t>
  </si>
  <si>
    <t>0181</t>
  </si>
  <si>
    <t>43063 31597 62704 10342 20181 40024 72992 86900 333 10370 58003 =</t>
  </si>
  <si>
    <t>13/05/2012</t>
  </si>
  <si>
    <t>0355</t>
  </si>
  <si>
    <t>43063 32597 32904 10355 20143 40023 83800 333 10368 58001 =</t>
  </si>
  <si>
    <t>43063 32997 00000 10268 20187 40087 333 20216 58007 555 10000 =</t>
  </si>
  <si>
    <t>14/05/2012</t>
  </si>
  <si>
    <t>219</t>
  </si>
  <si>
    <t>43063 32997 02702 10270 20168 40084 333 20219 59002 555 10000 =</t>
  </si>
  <si>
    <t>22705</t>
  </si>
  <si>
    <t>43063 32597 22705 10356 20111 40034 82500 333 10376 58008 =</t>
  </si>
  <si>
    <t>15/05/2012</t>
  </si>
  <si>
    <t>198</t>
  </si>
  <si>
    <t>0142</t>
  </si>
  <si>
    <t>43063 32997 02902 10292 20142 40086 333 20198 58007 555 10000 =</t>
  </si>
  <si>
    <t>10032</t>
  </si>
  <si>
    <t>394</t>
  </si>
  <si>
    <t>43063 32597 32704 10370 20110 40032 83800 333 10394 58002 =</t>
  </si>
  <si>
    <t>16/05/2012</t>
  </si>
  <si>
    <t>10026</t>
  </si>
  <si>
    <t>22906</t>
  </si>
  <si>
    <t>43063 32597 22906 10360 20128 40026 82800 333 10384 59008 =</t>
  </si>
  <si>
    <t>22502</t>
  </si>
  <si>
    <t>43063 32597 22502 10292 20177 39470 40078 81501 333 20237 59007 81626 555 10007 =</t>
  </si>
  <si>
    <t>17/05/2012</t>
  </si>
  <si>
    <t>43063 32997 02901 10274 20158 40080 333 20207 58001 555 10000 =</t>
  </si>
  <si>
    <t>0357</t>
  </si>
  <si>
    <t>43063 32597 22704 10357 20143 40025 82800 333 10390 59001 =</t>
  </si>
  <si>
    <t>18/05/2012</t>
  </si>
  <si>
    <t>22904</t>
  </si>
  <si>
    <t>43063 32597 22904 10368 20112 40027 82500 333 10377 58004 =</t>
  </si>
  <si>
    <t>0171</t>
  </si>
  <si>
    <t>43063 32997 02702 10277 20171 40092 333 20221 58010 555 10000 =</t>
  </si>
  <si>
    <t>19/05/2012</t>
  </si>
  <si>
    <t>43063 32997 32905 10360 20092 40040 80001 333 10384 58011 =</t>
  </si>
  <si>
    <t>00502</t>
  </si>
  <si>
    <t>0306</t>
  </si>
  <si>
    <t>43063 32997 00502 10306 20128 40084 333 20207 59001 555 10000 =</t>
  </si>
  <si>
    <t>20/05/2012</t>
  </si>
  <si>
    <t>43063 32997 32903 10370 20125 40024 80001 333 10386 59014 =</t>
  </si>
  <si>
    <t>0155</t>
  </si>
  <si>
    <t>43063 32997 12703 10272 20155 40080 80001 333 20218 59009 555 10000 =</t>
  </si>
  <si>
    <t>21/05/2012</t>
  </si>
  <si>
    <t>42904</t>
  </si>
  <si>
    <t>0351</t>
  </si>
  <si>
    <t>43063 32997 42904 10351 20135 40031 80001 333 10375 58005 =</t>
  </si>
  <si>
    <t>234</t>
  </si>
  <si>
    <t>43063 32997 00000 10280 20169 40073 333 20234 59007 555 10000 =</t>
  </si>
  <si>
    <t>22/05/2012</t>
  </si>
  <si>
    <t>222</t>
  </si>
  <si>
    <t>43063 32997 22903 10260 20189 40082 80001 333 20222 58004 555 10000 =</t>
  </si>
  <si>
    <t>22905</t>
  </si>
  <si>
    <t>43063 32997 22905 10354 20158 40029 80001 333 10377 59002 =</t>
  </si>
  <si>
    <t>23/05/2012</t>
  </si>
  <si>
    <t>229</t>
  </si>
  <si>
    <t>22002</t>
  </si>
  <si>
    <t>0195</t>
  </si>
  <si>
    <t>43063 32997 22002 10272 20195 40086 80001 333 20229 58007 555 10000 =</t>
  </si>
  <si>
    <t>43063 32597 23204 10358 20164 40029 81501 333 10379 58000 =</t>
  </si>
  <si>
    <t>24/05/2012</t>
  </si>
  <si>
    <t>10020</t>
  </si>
  <si>
    <t>374</t>
  </si>
  <si>
    <t>12908</t>
  </si>
  <si>
    <t>43063 32997 12908 10350 20169 40020 80001 333 10374 59010 =</t>
  </si>
  <si>
    <t>10072</t>
  </si>
  <si>
    <t>43063 32997 02703 10276 20182 40072 333 20238 59012 555 10000 =</t>
  </si>
  <si>
    <t>25/05/2012</t>
  </si>
  <si>
    <t>12705</t>
  </si>
  <si>
    <t>0278</t>
  </si>
  <si>
    <t>43063 32997 12705 10278 20201 40072 80001 333 20238 58000 555 10000 =</t>
  </si>
  <si>
    <t>43063 32997 22904 10344 20169 40028 80001 333 10372 58005 =</t>
  </si>
  <si>
    <t>26/05/2012</t>
  </si>
  <si>
    <t>32797</t>
  </si>
  <si>
    <t>52708</t>
  </si>
  <si>
    <t>84031</t>
  </si>
  <si>
    <t>43063 32797 52708 10350 20157 40031 84031 333 10372 58005 =</t>
  </si>
  <si>
    <t>240</t>
  </si>
  <si>
    <t>52503</t>
  </si>
  <si>
    <t>0203</t>
  </si>
  <si>
    <t>43063 32597 52503 10275 20203 40077 81501 333 20240 58005 555 10000 =</t>
  </si>
  <si>
    <t>27/05/2012</t>
  </si>
  <si>
    <t>42908</t>
  </si>
  <si>
    <t>43063 32797 42908 10334 20151 40034 82031 333 10353 58001 =</t>
  </si>
  <si>
    <t>236</t>
  </si>
  <si>
    <t>43063 32997 32704 10270 20196 40077 80001 333 20236 59003 555 10000 =</t>
  </si>
  <si>
    <t>28/05/2012</t>
  </si>
  <si>
    <t>348</t>
  </si>
  <si>
    <t>62908</t>
  </si>
  <si>
    <t>0202</t>
  </si>
  <si>
    <t>43063 32597 62908 10324 20202 40033 83801 333 10348 59003 =</t>
  </si>
  <si>
    <t>227</t>
  </si>
  <si>
    <t>52903</t>
  </si>
  <si>
    <t>0198</t>
  </si>
  <si>
    <t>43063 32797 52903 10266 20198 40073 84031 333 20227 59003 555 10000 =</t>
  </si>
  <si>
    <t>29/05/2012</t>
  </si>
  <si>
    <t>361</t>
  </si>
  <si>
    <t>43063 32997 02704 10342 20181 40034 333 10361 58005 555 10000 =</t>
  </si>
  <si>
    <t>10090</t>
  </si>
  <si>
    <t>81031</t>
  </si>
  <si>
    <t>43063 32797 22904 10266 20198 40090 81031 333 20234 58015 555 10000 =</t>
  </si>
  <si>
    <t>30/05/2012</t>
  </si>
  <si>
    <t>10081</t>
  </si>
  <si>
    <t>43063 32997 22704 10265 20191 40081 80001 333 20233 59007 555 10000 =</t>
  </si>
  <si>
    <t>356</t>
  </si>
  <si>
    <t>33206</t>
  </si>
  <si>
    <t>43063 32997 33206 10330 20169 40024 80001 333 10356 59012 =</t>
  </si>
  <si>
    <t>31/05/2012</t>
  </si>
  <si>
    <t>10002</t>
  </si>
  <si>
    <t>02709</t>
  </si>
  <si>
    <t>43063 32997 02709 10344 20130 40002 333 10364 59018 =</t>
  </si>
  <si>
    <t>sbs</t>
  </si>
  <si>
    <t>16/08/2012 11:39:22 AM</t>
  </si>
  <si>
    <t>32906</t>
  </si>
  <si>
    <t>43063 32997 32906 10266 20184 40059 80001 333 20227 59021 555 10000 =</t>
  </si>
  <si>
    <t>01/06/2012</t>
  </si>
  <si>
    <t>52711</t>
  </si>
  <si>
    <t>85500</t>
  </si>
  <si>
    <t>43063 32597 52711 10272 20188 39453 40064 85500 333 20238 58006 85626 555 1//// =</t>
  </si>
  <si>
    <t>16/08/2012 11:33:27 AM</t>
  </si>
  <si>
    <t>357</t>
  </si>
  <si>
    <t>43063 32997 02709 10340 20147 40016 333 10357 58011 =</t>
  </si>
  <si>
    <t>02/06/2012</t>
  </si>
  <si>
    <t>10013</t>
  </si>
  <si>
    <t>22506</t>
  </si>
  <si>
    <t>43063 32597 22506 10334 20159 40013 81501 333 10351 59003 81626 =</t>
  </si>
  <si>
    <t>52712</t>
  </si>
  <si>
    <t>43063 32597 52712 10282 20196 39456 40065 85500 333 20237 58003 85626 555 1//// =</t>
  </si>
  <si>
    <t>03/06/2012</t>
  </si>
  <si>
    <t>248</t>
  </si>
  <si>
    <t>62904</t>
  </si>
  <si>
    <t>86800</t>
  </si>
  <si>
    <t>43063 32597 62904 10278 20198 40054 86800 333 20248 59012 84626 555 00000 1//// =</t>
  </si>
  <si>
    <t>10009</t>
  </si>
  <si>
    <t>0179</t>
  </si>
  <si>
    <t>43063 32597 32705 10332 20179 40009 83500 333 10361 59004 =</t>
  </si>
  <si>
    <t>04/06/2012</t>
  </si>
  <si>
    <t>9991</t>
  </si>
  <si>
    <t>43063 32597 63201 10340 20193 39396 49991 83801 333 10378 59016 82626 83070 =</t>
  </si>
  <si>
    <t>239</t>
  </si>
  <si>
    <t>0199</t>
  </si>
  <si>
    <t>43063 32597 52503 10276 20199 39440 40050 85800 333 20239 59004 82830 83070 555 00000 1//// =</t>
  </si>
  <si>
    <t>05/06/2012</t>
  </si>
  <si>
    <t>10048</t>
  </si>
  <si>
    <t>72701</t>
  </si>
  <si>
    <t>84530</t>
  </si>
  <si>
    <t>0204</t>
  </si>
  <si>
    <t>43063 32597 72701 10266 20204 40048 84530 333 20248 59004 84626 83358 555 00000 1//// =</t>
  </si>
  <si>
    <t>9994</t>
  </si>
  <si>
    <t>355</t>
  </si>
  <si>
    <t>83530</t>
  </si>
  <si>
    <t>0314</t>
  </si>
  <si>
    <t>0207</t>
  </si>
  <si>
    <t>43063 32597 72703 10314 20207 49994 83530 333 10355 59001 =</t>
  </si>
  <si>
    <t>06/06/2012</t>
  </si>
  <si>
    <t>22597</t>
  </si>
  <si>
    <t>72702</t>
  </si>
  <si>
    <t>0253</t>
  </si>
  <si>
    <t>0213</t>
  </si>
  <si>
    <t>43063 22597 72702 10253 20213 39424 40037 84530 333 20250 59012 6998/ 84626 85358 555 00008 10001 =</t>
  </si>
  <si>
    <t>72162</t>
  </si>
  <si>
    <t>288</t>
  </si>
  <si>
    <t>43063 21597 72702 10250 20213 39407 40021 72162 84530 333 10288 58012 6003/ 83626 85358 =</t>
  </si>
  <si>
    <t>07/06/2012</t>
  </si>
  <si>
    <t>70296</t>
  </si>
  <si>
    <t>337</t>
  </si>
  <si>
    <t>62905</t>
  </si>
  <si>
    <t>43063 21597 62905 10280 20213 39412 40021 70296 86800 333 10337 58005 6006/ 82626 84828 =</t>
  </si>
  <si>
    <t>43063 22597 72703 10251 20199 39433 40047 83530 333 20215 58009 6004/ 83626 85358 555 00039 10005 =</t>
  </si>
  <si>
    <t>08/06/2012</t>
  </si>
  <si>
    <t>206</t>
  </si>
  <si>
    <t>82530</t>
  </si>
  <si>
    <t>43063 22597 62903 10260 20207 39448 40062 82530 333 20206 58015 6006/ 82626 84356 555 00061 10011 =</t>
  </si>
  <si>
    <t>72506</t>
  </si>
  <si>
    <t>85830</t>
  </si>
  <si>
    <t>43063 21597 72506 10304 20195 39429 40032 70296 85830 333 10328 58017 6001/ 84626 83358 =</t>
  </si>
  <si>
    <t>09/06/2012</t>
  </si>
  <si>
    <t>10075</t>
  </si>
  <si>
    <t>0205</t>
  </si>
  <si>
    <t>43063 22597 42703 10264 20205 39462 40075 82530 333 20234 58014 6001/ 82626 555 00012 10012 =</t>
  </si>
  <si>
    <t>330</t>
  </si>
  <si>
    <t>72709</t>
  </si>
  <si>
    <t>43063 32597 72709 10292 20201 40046 85830 333 10330 58011 =</t>
  </si>
  <si>
    <t>10/06/2012</t>
  </si>
  <si>
    <t>10043</t>
  </si>
  <si>
    <t>84830</t>
  </si>
  <si>
    <t>0215</t>
  </si>
  <si>
    <t>43063 21597 70000 10265 20215 39431 40043 72162 84830 333 10311 59009 6001/ 83626 85358 =</t>
  </si>
  <si>
    <t>235</t>
  </si>
  <si>
    <t>42907</t>
  </si>
  <si>
    <t>82830</t>
  </si>
  <si>
    <t>43063 32597 42907 10260 20201 39454 40070 82830 333 20235 59009 81626 83358 555 10012 =</t>
  </si>
  <si>
    <t>11/06/2012</t>
  </si>
  <si>
    <t>59025</t>
  </si>
  <si>
    <t>83830</t>
  </si>
  <si>
    <t>43063 22597 52703 10250 20203 39429 40044 83830 333 20218 59025 6001/ 83626 83358 555 00011 10013 =</t>
  </si>
  <si>
    <t>9997</t>
  </si>
  <si>
    <t>59035</t>
  </si>
  <si>
    <t>52504</t>
  </si>
  <si>
    <t>43063 32597 52504 10310 20188 49997 82530 333 10323 59035 =</t>
  </si>
  <si>
    <t>12/06/2012</t>
  </si>
  <si>
    <t>10019</t>
  </si>
  <si>
    <t>566//</t>
  </si>
  <si>
    <t>211</t>
  </si>
  <si>
    <t>63203</t>
  </si>
  <si>
    <t>43063 32597 63203 10260 20204 40019 86800 333 20211 59022 566// 82722 84626 555 00000 10013 =</t>
  </si>
  <si>
    <t>9979</t>
  </si>
  <si>
    <t>43063 32597 52704 10312 20201 39381 49979 83830 333 10341 59015 82626 =</t>
  </si>
  <si>
    <t>13/06/2012</t>
  </si>
  <si>
    <t>9998</t>
  </si>
  <si>
    <t>32708</t>
  </si>
  <si>
    <t>0316</t>
  </si>
  <si>
    <t>43063 32597 32708 10316 20192 49998 82830 333 10350 58018 =</t>
  </si>
  <si>
    <t>225</t>
  </si>
  <si>
    <t>43063 32597 52701 10276 20202 40033 85500 333 20225 58017 85626 555 00000 10013 =</t>
  </si>
  <si>
    <t>14/06/2012</t>
  </si>
  <si>
    <t>232</t>
  </si>
  <si>
    <t>43063 32597 12705 10276 20202 39441 40051 81500 333 20232 58017 81626 555 10013 =</t>
  </si>
  <si>
    <t>10005</t>
  </si>
  <si>
    <t>52505</t>
  </si>
  <si>
    <t>0208</t>
  </si>
  <si>
    <t>43063 32597 52505 10326 20208 39408 40005 85800 333 10360 58009 84626 =</t>
  </si>
  <si>
    <t>15/06/2012</t>
  </si>
  <si>
    <t>10053</t>
  </si>
  <si>
    <t>247</t>
  </si>
  <si>
    <t>84501</t>
  </si>
  <si>
    <t>43063 32597 52704 10276 20206 39443 40053 84501 333 20247 58002 84626 555 10013 =</t>
  </si>
  <si>
    <t>10035</t>
  </si>
  <si>
    <t>70562</t>
  </si>
  <si>
    <t>331</t>
  </si>
  <si>
    <t>62505</t>
  </si>
  <si>
    <t>86500</t>
  </si>
  <si>
    <t>43063 21597 62505 10270 20202 39424 40035 70562 86500 333 10331 58016 6998/ 86626 =</t>
  </si>
  <si>
    <t>16/06/2012</t>
  </si>
  <si>
    <t>326</t>
  </si>
  <si>
    <t>62711</t>
  </si>
  <si>
    <t>85501</t>
  </si>
  <si>
    <t>43063 32597 62711 10286 20204 39410 40016 85501 333 10326 59014 =</t>
  </si>
  <si>
    <t>241</t>
  </si>
  <si>
    <t>42511</t>
  </si>
  <si>
    <t>43063 22597 42511 10278 20208 39435 40045 84500 333 20241 59008 6998/ 84626 555 00008 10014 =</t>
  </si>
  <si>
    <t>17/06/2012</t>
  </si>
  <si>
    <t>76166</t>
  </si>
  <si>
    <t>282</t>
  </si>
  <si>
    <t>21596</t>
  </si>
  <si>
    <t>87700</t>
  </si>
  <si>
    <t>0226</t>
  </si>
  <si>
    <t>43063 21596 72702 10240 20226 40020 76166 87700 333 10282 59006 6009/ 83720 84626 =</t>
  </si>
  <si>
    <t>70262</t>
  </si>
  <si>
    <t>62702</t>
  </si>
  <si>
    <t>0223</t>
  </si>
  <si>
    <t>43063 21597 62702 10260 20223 40032 70262 86500 333 20235 59016 6992/ 84626 555 00002 10014 =</t>
  </si>
  <si>
    <t>18/06/2012</t>
  </si>
  <si>
    <t>72713</t>
  </si>
  <si>
    <t>43063 32597 72713 10284 20208 40016 87700 333 10314 58006 =</t>
  </si>
  <si>
    <t>22596</t>
  </si>
  <si>
    <t>82708</t>
  </si>
  <si>
    <t>887//</t>
  </si>
  <si>
    <t>43063 22596 82708 10258 20223 40040 887// 333 20227 58008 6013/ 84720 86626 555 00130 10027 =</t>
  </si>
  <si>
    <t>19/06/2012</t>
  </si>
  <si>
    <t>85700</t>
  </si>
  <si>
    <t>0200</t>
  </si>
  <si>
    <t>43063 32597 52712 10294 20200 40025 85700 333 10325 58010 =</t>
  </si>
  <si>
    <t>244</t>
  </si>
  <si>
    <t>62506</t>
  </si>
  <si>
    <t>43063 32597 62506 10264 20208 40047 81531 333 20244 58008 555 00000 10027 =</t>
  </si>
  <si>
    <t>20/06/2012</t>
  </si>
  <si>
    <t>83730</t>
  </si>
  <si>
    <t>0211</t>
  </si>
  <si>
    <t>43063 32597 52711 10272 20211 40055 83730 333 20238 58010 555 00000 10027 =</t>
  </si>
  <si>
    <t>62715</t>
  </si>
  <si>
    <t>84739</t>
  </si>
  <si>
    <t>0194</t>
  </si>
  <si>
    <t>43063 32597 62715 10286 20194 40026 84739 333 10328 59001 =</t>
  </si>
  <si>
    <t>21/06/2012</t>
  </si>
  <si>
    <t>243</t>
  </si>
  <si>
    <t>52716</t>
  </si>
  <si>
    <t>84701</t>
  </si>
  <si>
    <t>43063 32597 52716 10272 20201 40044 84701 333 20243 59011 555 00000 10027 =</t>
  </si>
  <si>
    <t>52714</t>
  </si>
  <si>
    <t>43063 32597 52714 10312 20180 40024 84801 333 10331 58004 =</t>
  </si>
  <si>
    <t>22/06/2012</t>
  </si>
  <si>
    <t>52713</t>
  </si>
  <si>
    <t>43063 32597 52713 10272 20201 40055 84701 333 20234 58011 555 00000 10027 =</t>
  </si>
  <si>
    <t>42712</t>
  </si>
  <si>
    <t>43063 32597 42712 10306 20187 40031 83801 333 10327 58005 =</t>
  </si>
  <si>
    <t>23/06/2012</t>
  </si>
  <si>
    <t>62703</t>
  </si>
  <si>
    <t>43063 32597 62703 10268 20203 40049 86500 333 20235 59008 555 00000 10027 =</t>
  </si>
  <si>
    <t>72711</t>
  </si>
  <si>
    <t>0298</t>
  </si>
  <si>
    <t>43063 32597 72711 10298 20191 40021 83501 333 10331 59012 =</t>
  </si>
  <si>
    <t>24/06/2012</t>
  </si>
  <si>
    <t>316</t>
  </si>
  <si>
    <t>72503</t>
  </si>
  <si>
    <t>0220</t>
  </si>
  <si>
    <t>43063 21597 72503 10266 20220 40022 70262 87700 333 10316 59005 6003/ =</t>
  </si>
  <si>
    <t>76062</t>
  </si>
  <si>
    <t>0214</t>
  </si>
  <si>
    <t>43063 21597 72703 10246 20214 40042 76062 87700 333 20238 59010 6990/ 555 00000 10027 =</t>
  </si>
  <si>
    <t>25/06/2012</t>
  </si>
  <si>
    <t>58020</t>
  </si>
  <si>
    <t>52709</t>
  </si>
  <si>
    <t>43063 22597 52709 10294 20207 40037 83830 333 10316 58020 =</t>
  </si>
  <si>
    <t>72065</t>
  </si>
  <si>
    <t>0230</t>
  </si>
  <si>
    <t>43063 21597 72702 10250 20230 40062 72065 87700 333 20229 58018 6007/ 82720 85626 555 00068 10034 =</t>
  </si>
  <si>
    <t>26/06/2012</t>
  </si>
  <si>
    <t>321</t>
  </si>
  <si>
    <t>62706</t>
  </si>
  <si>
    <t>43063 32597 62706 10274 20203 40046 84530 333 10321 58005 =</t>
  </si>
  <si>
    <t>62705</t>
  </si>
  <si>
    <t>0217</t>
  </si>
  <si>
    <t>43063 22597 62705 10266 20217 40065 86800 333 20236 58007 6992/ 83626 83828 555 00002 10034 =</t>
  </si>
  <si>
    <t>27/06/2012</t>
  </si>
  <si>
    <t>0222</t>
  </si>
  <si>
    <t>43063 21597 72703 10248 20222 40067 70262 84530 333 20234 59002 6994/ 555 00004 10035 =</t>
  </si>
  <si>
    <t>62508</t>
  </si>
  <si>
    <t>43063 22597 62508 10276 20199 40043 82531 333 10311 59003 6990/ 82626 85358 =</t>
  </si>
  <si>
    <t>28/06/2012</t>
  </si>
  <si>
    <t>56600</t>
  </si>
  <si>
    <t>84730</t>
  </si>
  <si>
    <t>43063 32597 72709 10270 20202 39424 40035 84730 333 10318 56600 59009 82722 83626 85358 =</t>
  </si>
  <si>
    <t>10058</t>
  </si>
  <si>
    <t>230</t>
  </si>
  <si>
    <t>43063 22597 72711 10266 20207 40058 87700 333 20230 59004 6990/ 83722 85626 555 00000 10035 =</t>
  </si>
  <si>
    <t>29/06/2012</t>
  </si>
  <si>
    <t>324</t>
  </si>
  <si>
    <t>62708</t>
  </si>
  <si>
    <t>43063 32597 62708 10288 20203 39411 40018 85830 333 10324 59013 84626 =</t>
  </si>
  <si>
    <t>56699</t>
  </si>
  <si>
    <t>85731</t>
  </si>
  <si>
    <t>43063 32597 72701 10262 20206 39444 40056 85731 333 20234 56699 59002 82722 83626 555 00000 10035 =</t>
  </si>
  <si>
    <t>30/06/2012</t>
  </si>
  <si>
    <t>9996</t>
  </si>
  <si>
    <t>332</t>
  </si>
  <si>
    <t>42710</t>
  </si>
  <si>
    <t>43063 32597 42710 10298 20187 39393 49996 83801 333 10332 59018 82626 =</t>
  </si>
  <si>
    <t>14/09/2012 12:22:44 PM</t>
  </si>
  <si>
    <t>43603</t>
  </si>
  <si>
    <t>82509</t>
  </si>
  <si>
    <t>43063 32597 43603 10268 20187 40037 82509 333 20227 59018 555 00000 10035 =</t>
  </si>
  <si>
    <t>01/07/2012</t>
  </si>
  <si>
    <t>9977</t>
  </si>
  <si>
    <t>72704</t>
  </si>
  <si>
    <t>85831</t>
  </si>
  <si>
    <t>0283</t>
  </si>
  <si>
    <t>43063 32597 72704 10283 20220 39373 49977 85831 333 10330 59020 84626 =</t>
  </si>
  <si>
    <t>59023</t>
  </si>
  <si>
    <t>72705</t>
  </si>
  <si>
    <t>43063 32597 72705 10256 20196 39403 40015 82531 333 20236 59023 82626 85070 555 00000 10035 =</t>
  </si>
  <si>
    <t>02/07/2012</t>
  </si>
  <si>
    <t>59019</t>
  </si>
  <si>
    <t>224</t>
  </si>
  <si>
    <t>83531</t>
  </si>
  <si>
    <t>43063 22597 70000 10256 20224 39384 49994 83531 333 20224 59019 6003/ 83626 84356 555 00027 10037 =</t>
  </si>
  <si>
    <t>9951</t>
  </si>
  <si>
    <t>334</t>
  </si>
  <si>
    <t>61102</t>
  </si>
  <si>
    <t>43063 32597 61102 10316 20206 39354 49951 85801 333 10334 59019 84626 =</t>
  </si>
  <si>
    <t>03/07/2012</t>
  </si>
  <si>
    <t>9990</t>
  </si>
  <si>
    <t>43063 32597 72703 10258 20214 39380 49990 83531 333 20232 59004 83626 85070 555 00000 10037 =</t>
  </si>
  <si>
    <t>9970</t>
  </si>
  <si>
    <t>43063 32597 72705 10274 20203 39365 49970 87700 333 10320 56600 58011 82722 85626 =</t>
  </si>
  <si>
    <t>04/07/2012</t>
  </si>
  <si>
    <t>9999</t>
  </si>
  <si>
    <t>75062</t>
  </si>
  <si>
    <t>231</t>
  </si>
  <si>
    <t>43063 21597 72703 10240 20226 39384 49999 75062 87700 333 20231 56600 58004 6004/ 84720 83626 555 00037 10041 =</t>
  </si>
  <si>
    <t>9982</t>
  </si>
  <si>
    <t>72504</t>
  </si>
  <si>
    <t>43063 21597 72504 10254 20203 39372 49982 70262 85731 333 10282 58005 6990/ 81722 84356 =</t>
  </si>
  <si>
    <t>05/07/2012</t>
  </si>
  <si>
    <t>58024</t>
  </si>
  <si>
    <t>43063 21597 72503 10246 20215 39408 40022 76062 85731 333 20219 56699 58024 6993/ 81720 85626 555 00003 10041 =</t>
  </si>
  <si>
    <t>10007</t>
  </si>
  <si>
    <t>58028</t>
  </si>
  <si>
    <t>302</t>
  </si>
  <si>
    <t>52707</t>
  </si>
  <si>
    <t>43063 21597 52707 10280 20200 39400 40007 70262 84701 333 10302 56600 58028 6992/ 82722 83626 =</t>
  </si>
  <si>
    <t>06/07/2012</t>
  </si>
  <si>
    <t>86700</t>
  </si>
  <si>
    <t>43063 21597 62702 10240 20234 39423 40040 72162 86700 333 20222 56600 58015 6999/ 83722 85626 555 00009 10042 =</t>
  </si>
  <si>
    <t>75065</t>
  </si>
  <si>
    <t>5669/</t>
  </si>
  <si>
    <t>295</t>
  </si>
  <si>
    <t>8572/</t>
  </si>
  <si>
    <t>0219</t>
  </si>
  <si>
    <t>43063 21596 82501 10254 20219 39408 40020 75065 8572/ 333 10295 5669/ 58008 6006/ 84720 85450 =</t>
  </si>
  <si>
    <t>07/07/2012</t>
  </si>
  <si>
    <t>43063 22597 72704 10260 20213 39413 40026 87700 333 20230 56600 59010 6006/ 83722 85626 555 00057 10048 =</t>
  </si>
  <si>
    <t>72165</t>
  </si>
  <si>
    <t>56690</t>
  </si>
  <si>
    <t>85730</t>
  </si>
  <si>
    <t>43063 21597 72704 10266 20220 39399 40009 72165 85730 333 10293 56690 59009 6002/ 82722 83626 85358 =</t>
  </si>
  <si>
    <t>08/07/2012</t>
  </si>
  <si>
    <t>72122</t>
  </si>
  <si>
    <t>0255</t>
  </si>
  <si>
    <t>0209</t>
  </si>
  <si>
    <t>43063 21597 72503 10255 20209 39402 40014 72122 85731 333 10298 56699 58003 6997/ 82720 85626 =</t>
  </si>
  <si>
    <t>81532</t>
  </si>
  <si>
    <t>43063 22597 42703 10266 20211 39404 40014 81532 333 20233 59009 6002/ 81626 83070 555 00023 10050 =</t>
  </si>
  <si>
    <t>09/07/2012</t>
  </si>
  <si>
    <t>43063 22597 72705 10266 20204 39397 40007 87700 333 10296 56600 59005 6994/ 83722 85626 =</t>
  </si>
  <si>
    <t>212</t>
  </si>
  <si>
    <t>83731</t>
  </si>
  <si>
    <t>43063 22597 72703 10256 20212 39410 40021 83731 333 20212 56699 58006 6001/ 81722 83626 85356 555 00010 10051 =</t>
  </si>
  <si>
    <t>10/07/2012</t>
  </si>
  <si>
    <t>43063 22597 62703 10250 20212 39425 40040 83730 333 20223 56600 58015 6995/ 81722 83626 85358 555 00005 10052 =</t>
  </si>
  <si>
    <t>43063 32597 52704 10304 20198 39395 49996 84801 333 10314 59002 83626 =</t>
  </si>
  <si>
    <t>11/07/2012</t>
  </si>
  <si>
    <t>43063 32597 72704 10260 20204 39428 40041 87700 333 20231 56600 58008 83722 85626 555 00000 10052 =</t>
  </si>
  <si>
    <t>70252</t>
  </si>
  <si>
    <t>43063 21597 62503 10288 20210 39409 40014 70252 86700 333 10311 56600 58014 6990/ 82722 84626 =</t>
  </si>
  <si>
    <t>12/07/2012</t>
  </si>
  <si>
    <t>43063 21597 72504 10274 20203 39425 40034 70262 85730 333 10305 56690 58016 6994/ 82722 83626 85356 =</t>
  </si>
  <si>
    <t>43063 22597 72503 10244 20202 39439 40056 87700 333 20227 56600 58011 6990/ 84720 84626 555 00000 10052 =</t>
  </si>
  <si>
    <t>13/07/2012</t>
  </si>
  <si>
    <t>303</t>
  </si>
  <si>
    <t>43063 21597 62905 10280 20200 39424 40033 70262 86700 333 10303 56600 59001 6990/ 82722 84626 =</t>
  </si>
  <si>
    <t>84731</t>
  </si>
  <si>
    <t>0259</t>
  </si>
  <si>
    <t>43063 22597 72704 10259 20209 39450 40065 84731 333 20223 56699 58011 6994/ 81722 83626 85356 555 00004 10052 =</t>
  </si>
  <si>
    <t>14/07/2012</t>
  </si>
  <si>
    <t>76065</t>
  </si>
  <si>
    <t>43063 21597 72705 10266 20207 39417 40028 76065 87700 333 10304 56600 59007 6992/ 85720 85626 =</t>
  </si>
  <si>
    <t>226</t>
  </si>
  <si>
    <t>43063 22597 62902 10250 20203 39440 40057 86700 333 20226 56600 59010 6990/ 81722 85356 555 00000 10052 =</t>
  </si>
  <si>
    <t>15/07/2012</t>
  </si>
  <si>
    <t>70265</t>
  </si>
  <si>
    <t>43063 21596 72703 10251 20211 39438 40052 70265 87700 333 20226 56600 59002 6992/ 83720 85626 555 00002 10052 =</t>
  </si>
  <si>
    <t>56609</t>
  </si>
  <si>
    <t>72905</t>
  </si>
  <si>
    <t>43063 22597 72905 10276 20201 39420 40029 84701 333 10303 56609 58003 6990/ 81722 83626 85070 =</t>
  </si>
  <si>
    <t>16/07/2012</t>
  </si>
  <si>
    <t>75022</t>
  </si>
  <si>
    <t>86730</t>
  </si>
  <si>
    <t>43063 21597 72704 10260 20210 39435 40049 75022 86730 333 10317 56600 58015 6990/ 83720 84626 =</t>
  </si>
  <si>
    <t>87730</t>
  </si>
  <si>
    <t>43063 22597 72701 10254 20210 39450 40065 87730 333 20226 56600 58012 6990/ 81722 84626 555 00000 10052 =</t>
  </si>
  <si>
    <t>17/07/2012</t>
  </si>
  <si>
    <t>43063 22597 72704 10260 20207 39460 40076 83731 333 20207 56699 58010 6990/ 81722 83626 85070 555 00000 10052 =</t>
  </si>
  <si>
    <t>43063 32596 42706 10294 20207 39426 40031 84500 333 10322 59009 84626 =</t>
  </si>
  <si>
    <t>18/07/2012</t>
  </si>
  <si>
    <t>5660/</t>
  </si>
  <si>
    <t>72502</t>
  </si>
  <si>
    <t>87530</t>
  </si>
  <si>
    <t>43063 21596 72502 10234 20220 39455 40075 70262 87530 333 20221 5660/ 59005 6003/ 83722 84356 555 00035 10055 =</t>
  </si>
  <si>
    <t>283</t>
  </si>
  <si>
    <t>82704</t>
  </si>
  <si>
    <t>43063 21596 82704 10230 20215 39433 40054 76062 8572/ 333 10283 5669/ 58007 6003/ 83720 85456 =</t>
  </si>
  <si>
    <t>19/07/2012</t>
  </si>
  <si>
    <t>75165</t>
  </si>
  <si>
    <t>264</t>
  </si>
  <si>
    <t>82703</t>
  </si>
  <si>
    <t>88700</t>
  </si>
  <si>
    <t>43063 21596 82703 10240 20217 39418 40035 75165 88700 333 10264 56600 59015 6003/ 84720 84626 =</t>
  </si>
  <si>
    <t>72501</t>
  </si>
  <si>
    <t>0242</t>
  </si>
  <si>
    <t>43063 21596 72501 10242 20216 39437 40054 75065 87700 333 20221 56600 59018 6009/ 83720 85626 555 00090 10065 =</t>
  </si>
  <si>
    <t>20/07/2012</t>
  </si>
  <si>
    <t>261</t>
  </si>
  <si>
    <t>8672/</t>
  </si>
  <si>
    <t>0239</t>
  </si>
  <si>
    <t>43063 21596 82703 10239 20226 39410 40027 76065 8672/ 333 10261 5669/ 59008 6005/ 83722 85626 =</t>
  </si>
  <si>
    <t>43063 21597 62703 10240 20223 39418 40035 76065 85730 333 20227 56600 59019 6004/ 82720 84626 555 00038 10069 =</t>
  </si>
  <si>
    <t>21/07/2012</t>
  </si>
  <si>
    <t>72706</t>
  </si>
  <si>
    <t>85720</t>
  </si>
  <si>
    <t>43063 22597 72706 10276 20215 39419 40028 85720 333 10295 58009 6991/ 82720 83626 =</t>
  </si>
  <si>
    <t>43063 22597 72503 10256 20224 39428 40041 83731 333 20230 56699 58010 6006/ 81720 83626 85356 555 00059 10074 =</t>
  </si>
  <si>
    <t>22/07/2012</t>
  </si>
  <si>
    <t>274</t>
  </si>
  <si>
    <t>82711</t>
  </si>
  <si>
    <t>43063 21596 82711 10260 20213 39408 40020 75065 887// 333 10274 566// 59011 6992/ 86720 =</t>
  </si>
  <si>
    <t>87800</t>
  </si>
  <si>
    <t>43063 21596 82704 10250 20215 39435 40052 70262 87800 333 20232 56600 58007 6994/ 84720 86626 555 00004 10075 =</t>
  </si>
  <si>
    <t>23/07/2012</t>
  </si>
  <si>
    <t>287</t>
  </si>
  <si>
    <t>72505</t>
  </si>
  <si>
    <t>43063 21597 72505 10250 20215 39402 40016 75062 87700 333 10287 56600 59006 6992/ 84720 84626 =</t>
  </si>
  <si>
    <t>43063 21597 72702 10246 20214 39419 40034 72065 87700 333 20226 56600 59016 6999/ 83720 85626 555 00009 10076 =</t>
  </si>
  <si>
    <t>24/07/2012</t>
  </si>
  <si>
    <t>72062</t>
  </si>
  <si>
    <t>43063 21597 72704 10261 20208 39403 40013 72062 85730 333 10293 56690 58001 6001/ 82720 85626 =</t>
  </si>
  <si>
    <t>43063 21597 72704 10254 20219 39415 40028 70262 87700 333 20225 56600 59004 6002/ 83720 85626 555 00021 10078 =</t>
  </si>
  <si>
    <t>25/07/2012</t>
  </si>
  <si>
    <t>43063 22597 72711 10264 20208 39415 40026 87700 333 10286 56600 58013 6990/ 83720 85626 =</t>
  </si>
  <si>
    <t>43063 22597 72703 10248 20210 39425 40040 85730 333 20231 56690 58010 6001/ 82720 84626 555 00015 10079 =</t>
  </si>
  <si>
    <t>26/07/2012</t>
  </si>
  <si>
    <t>76052</t>
  </si>
  <si>
    <t>43063 21596 82703 10246 20214 39436 40053 76052 887// 333 20232 56600 58011 6990/ 84720 86626 555 00000 10079 =</t>
  </si>
  <si>
    <t>256</t>
  </si>
  <si>
    <t>43063 21596 82704 10252 20211 39412 40025 70265 887// 333 10256 566// 59003 6003/ 86720 =</t>
  </si>
  <si>
    <t>27/07/2012</t>
  </si>
  <si>
    <t>284</t>
  </si>
  <si>
    <t>43063 21597 72704 10266 20211 39402 40012 70252 86730 333 10284 56690 59010 6990/ 82722 83626 =</t>
  </si>
  <si>
    <t>72022</t>
  </si>
  <si>
    <t>43063 21596 72704 10244 20215 39417 40032 72022 87700 333 20231 56600 59019 6003/ 84720 85626 555 00035 10083 =</t>
  </si>
  <si>
    <t>28/07/2012</t>
  </si>
  <si>
    <t>72052</t>
  </si>
  <si>
    <t>8573/</t>
  </si>
  <si>
    <t>43063 21597 72704 10242 20210 39428 40043 72052 8573/ 333 20224 5669/ 58011 6001/ 82720 84626 555 00014 10084 =</t>
  </si>
  <si>
    <t>43063 21597 72705 10238 20215 39407 40023 75065 87700 333 10280 56600 58005 6996/ 84720 84626 =</t>
  </si>
  <si>
    <t>29/07/2012</t>
  </si>
  <si>
    <t>276</t>
  </si>
  <si>
    <t>43063 21597 72705 10246 20208 39425 40040 72162 85730 333 10276 56600 58018 6990/ 83722 85626 =</t>
  </si>
  <si>
    <t>43063 21597 72903 10250 20207 39439 40056 72052 86730 333 20227 56690 58011 6996/ 82720 85626 555 00006 10085 =</t>
  </si>
  <si>
    <t>30/07/2012</t>
  </si>
  <si>
    <t>76066</t>
  </si>
  <si>
    <t>43063 21596 82703 10232 20217 39427 40044 76066 8572/ 333 10269 5669/ 58002 6008/ 84720 85450 =</t>
  </si>
  <si>
    <t>75052</t>
  </si>
  <si>
    <t>43063 21596 72703 10232 20217 39440 40059 75052 85730 333 20226 56690 58001 6005/ 82722 84626 555 00049 10090 =</t>
  </si>
  <si>
    <t>31/07/2012</t>
  </si>
  <si>
    <t>76122</t>
  </si>
  <si>
    <t>8472/</t>
  </si>
  <si>
    <t>0236</t>
  </si>
  <si>
    <t>43063 21596 82704 10236 20212 39439 40058 76122 8472/ 333 20217 5669/ 59001 6018/ 84720 86450 555 00182 10108 =</t>
  </si>
  <si>
    <t>84721</t>
  </si>
  <si>
    <t>43063 21596 82703 10224 20211 39425 40044 76166 84721 333 10241 5669/ 59002 6049/ 83720 86450 =</t>
  </si>
  <si>
    <t>23/10/2012 4:16:30 PM</t>
  </si>
  <si>
    <t>01/08/2012</t>
  </si>
  <si>
    <t>192</t>
  </si>
  <si>
    <t>43063 21596 72702 10230 20215 39448 40069 70265 87700 333 20192 5669/ 58009 6084/ 84730 85626 555 00839 10192 =</t>
  </si>
  <si>
    <t>58019</t>
  </si>
  <si>
    <t>260</t>
  </si>
  <si>
    <t>43063 21597 72703 10230 20217 39442 40063 75065 86730 333 10260 56690 58019 6007/ 82720 86626 =</t>
  </si>
  <si>
    <t>02/08/2012</t>
  </si>
  <si>
    <t>82702</t>
  </si>
  <si>
    <t>8671/</t>
  </si>
  <si>
    <t>0218</t>
  </si>
  <si>
    <t>43063 21596 82702 10236 20218 39456 40076 76052 8671/ 333 20220 5669/ 58008 6008/ 84720 83626 85458 555 00076 10199 =</t>
  </si>
  <si>
    <t>281</t>
  </si>
  <si>
    <t>72511</t>
  </si>
  <si>
    <t>43063 21597 72511 10260 20216 39433 40047 70262 83730 333 10281 56600 59009 6003/ 82720 85626 =</t>
  </si>
  <si>
    <t>03/08/2012</t>
  </si>
  <si>
    <t>59024</t>
  </si>
  <si>
    <t>43063 21597 72711 10244 20212 39432 40049 70262 84730 333 20225 56690 59024 6004/ 82720 83626 85356 555 00041 10203 =</t>
  </si>
  <si>
    <t>43063 21596 82704 10230 20215 39415 40034 76065 8572/ 333 10276 5669/ 59018 6002/ 84720 85450 =</t>
  </si>
  <si>
    <t>04/08/2012</t>
  </si>
  <si>
    <t>82705</t>
  </si>
  <si>
    <t>43063 21596 82705 10238 20218 39414 40031 76065 8572/ 333 10274 5669/ 59001 6997/ 85720 86450 =</t>
  </si>
  <si>
    <t>86720</t>
  </si>
  <si>
    <t>43063 21596 72705 10244 20209 39417 40032 72162 86720 333 20222 56690 59015 6005/ 83720 85626 555 00054 10209 =</t>
  </si>
  <si>
    <t>05/08/2012</t>
  </si>
  <si>
    <t>43063 21597 72704 10255 20217 39420 40033 70252 86730 333 10286 56690 58006 6991/ 83720 86626 =</t>
  </si>
  <si>
    <t>0243</t>
  </si>
  <si>
    <t>43063 21596 72703 10243 20215 39431 40048 70265 87700 333 20222 56690 58014 6003/ 83720 85626 555 00035 10212 =</t>
  </si>
  <si>
    <t>06/08/2012</t>
  </si>
  <si>
    <t>0241</t>
  </si>
  <si>
    <t>43063 22597 72704 10241 20217 39430 40046 86730 333 20222 56690 58017 6992/ 83720 85626 555 00002 10213 =</t>
  </si>
  <si>
    <t>72152</t>
  </si>
  <si>
    <t>268</t>
  </si>
  <si>
    <t>43063 21597 82704 10240 20223 39415 40032 72152 88700 333 10268 566// 59005 6998/ 84720 85626 =</t>
  </si>
  <si>
    <t>07/08/2012</t>
  </si>
  <si>
    <t>43063 21597 62705 10240 20226 39433 40052 72152 86700 333 20221 56600 58003 6004/ 83720 84626 555 00038 10216 =</t>
  </si>
  <si>
    <t>0221</t>
  </si>
  <si>
    <t>43063 21596 72703 10256 20221 39416 40029 75065 87700 333 10284 56600 58001 6002/ 83720 85626 =</t>
  </si>
  <si>
    <t>08/08/2012</t>
  </si>
  <si>
    <t>43063 21597 72706 10256 20209 39429 40042 76062 87700 333 10284 56600 58013 6002/ 85720 =</t>
  </si>
  <si>
    <t>8772/</t>
  </si>
  <si>
    <t>0225</t>
  </si>
  <si>
    <t>43063 21596 82702 10234 20225 39443 40062 76065 8772/ 333 20223 5669/ 58010 6005/ 83720 85626 555 00052 10222 =</t>
  </si>
  <si>
    <t>09/08/2012</t>
  </si>
  <si>
    <t>43063 21596 72703 10240 20214 39438 40057 76065 87700 333 20216 56600 59005 6006/ 83720 85626 555 00062 10228 =</t>
  </si>
  <si>
    <t>82505</t>
  </si>
  <si>
    <t>43063 21596 82505 10244 20201 39421 40036 76065 887// 333 10276 566// 59008 6002/ 83720 86626 =</t>
  </si>
  <si>
    <t>10/08/2012</t>
  </si>
  <si>
    <t>59038</t>
  </si>
  <si>
    <t>43063 21596 72703 10232 20220 39430 40048 76065 87700 333 20223 56600 59038 6019/ 83720 85626 555 00186 10246 =</t>
  </si>
  <si>
    <t>275</t>
  </si>
  <si>
    <t>43063 21597 72705 10260 20207 39404 40016 70265 87700 333 10275 56600 59017 6992/ 84720 84626 =</t>
  </si>
  <si>
    <t>11/08/2012</t>
  </si>
  <si>
    <t>43063 22597 72704 10232 20208 39425 40042 87700 333 20212 56600 59005 6002/ 83720 85626 555 00019 10248 =</t>
  </si>
  <si>
    <t>43063 21597 72704 10250 20209 39412 40027 70262 87700 333 10279 56600 58008 6997/ 84720 85626 =</t>
  </si>
  <si>
    <t>12/08/2012</t>
  </si>
  <si>
    <t>43063 21597 72703 10240 20204 39419 40036 70262 87700 333 10281 56600 58007 6003/ 83720 85626 =</t>
  </si>
  <si>
    <t>43063 22597 72702 10250 20209 39432 40049 87700 333 20221 56600 58007 6997/ 83720 85626 555 00007 10249 =</t>
  </si>
  <si>
    <t>13/08/2012</t>
  </si>
  <si>
    <t>43063 21597 62702 10241 20213 39435 40052 70262 84701 333 20221 56600 58003 6004/ 81720 84626 555 00040 10253 =</t>
  </si>
  <si>
    <t>43063 21597 52704 10265 20200 39420 40031 70262 85700 333 10286 56600 58001 6991/ 82720 83626 =</t>
  </si>
  <si>
    <t>14/08/2012</t>
  </si>
  <si>
    <t>43063 22596 62703 10258 20202 39428 40041 86730 333 10289 56690 58008 6990/ 82720 84626 =</t>
  </si>
  <si>
    <t>43063 22597 52703 10246 20205 39446 40063 85700 333 20219 56600 58011 6991/ 82720 83626 555 00001 10253 =</t>
  </si>
  <si>
    <t>15/08/2012</t>
  </si>
  <si>
    <t>85701</t>
  </si>
  <si>
    <t>43063 21597 62704 10262 20203 39441 40053 70252 85701 333 10284 56609 58013 6990/ 82720 83626 =</t>
  </si>
  <si>
    <t>42704</t>
  </si>
  <si>
    <t>84700</t>
  </si>
  <si>
    <t>43063 22597 42704 10250 20209 39454 40072 84700 333 20221 56600 58008 6990/ 82720 83626 555 00000 10253 =</t>
  </si>
  <si>
    <t>16/08/2012</t>
  </si>
  <si>
    <t>43063 21597 42703 10250 20209 39454 40072 70252 84700 333 20216 56600 58000 6990/ 81720 83626 555 00000 10253 =</t>
  </si>
  <si>
    <t>43063 22597 62702 10275 20199 39437 40047 84701 333 10289 56609 59004 6990/ 81720 83626 =</t>
  </si>
  <si>
    <t>17/08/2012</t>
  </si>
  <si>
    <t>43063 22597 62703 10244 20199 39457 40075 82501 333 20212 58003 6990/ 82626 85070 555 00000 10253 =</t>
  </si>
  <si>
    <t>0271</t>
  </si>
  <si>
    <t>43063 21597 62704 10271 20189 39435 40045 70262 84701 333 10288 56609 59002 6997/ 81720 83626 =</t>
  </si>
  <si>
    <t>18/08/2012</t>
  </si>
  <si>
    <t>86701</t>
  </si>
  <si>
    <t>0247</t>
  </si>
  <si>
    <t>43063 22596 72701 10247 20213 39453 40071 86701 333 20210 56609 59004 6997/ 82720 85626 555 00007 10254 =</t>
  </si>
  <si>
    <t>52705</t>
  </si>
  <si>
    <t>43063 22596 52705 10260 20204 39429 40042 85700 333 10283 56600 59006 6996/ 82720 84626 =</t>
  </si>
  <si>
    <t>19/08/2012</t>
  </si>
  <si>
    <t>43063 22597 72703 10244 20209 39413 40028 87700 333 10269 56600 59016 6009/ 83720 84626 =</t>
  </si>
  <si>
    <t>76165</t>
  </si>
  <si>
    <t>43063 21596 82704 10222 20217 39433 40054 76165 8672/ 333 20213 59020 6009/ 84720 84626 85458 555 00088 10263 =</t>
  </si>
  <si>
    <t>20/08/2012</t>
  </si>
  <si>
    <t>43063 22597 72701 10244 20209 39426 40041 87700 333 20220 56600 59007 6009/ 83720 85626 555 00086 10271 =</t>
  </si>
  <si>
    <t>43063 32597 62704 10262 20203 39420 40031 84731 333 10284 56699 58007 82720 83626 =</t>
  </si>
  <si>
    <t>21/08/2012</t>
  </si>
  <si>
    <t>10066</t>
  </si>
  <si>
    <t>208</t>
  </si>
  <si>
    <t>43063 22596 72701 10240 20211 39447 40066 87700 333 20208 56600 58021 6990/ 83720 85626 555 00000 10271 =</t>
  </si>
  <si>
    <t>43063 32597 72903 10261 20207 39430 40041 85731 333 10283 56699 58010 82720 84626 =</t>
  </si>
  <si>
    <t>22/08/2012</t>
  </si>
  <si>
    <t>83739</t>
  </si>
  <si>
    <t>43063 32597 72702 10240 20201 39453 40073 83739 333 20211 56699 58006 81720 84626 555 00000 10271 =</t>
  </si>
  <si>
    <t>291</t>
  </si>
  <si>
    <t>62303</t>
  </si>
  <si>
    <t>43063 21597 62303 10260 20201 39433 40047 75052 85730 333 10291 56690 58003 6991/ 82720 84626 =</t>
  </si>
  <si>
    <t>23/08/2012</t>
  </si>
  <si>
    <t>52702</t>
  </si>
  <si>
    <t>43063 32597 52702 10274 20213 39442 40052 84830 333 10309 58009 83626 =</t>
  </si>
  <si>
    <t>43063 22597 62702 10246 20211 39467 40085 86700 333 20206 56600 58014 6991/ 83720 84626 555 00001 10271 =</t>
  </si>
  <si>
    <t>24/08/2012</t>
  </si>
  <si>
    <t>308</t>
  </si>
  <si>
    <t>43063 32597 62703 10294 20207 39442 40048 84801 333 10308 58000 82626 83828 =</t>
  </si>
  <si>
    <t>43063 32597 62702 10252 20214 39471 40088 84731 333 20217 56699 58004 81722 83626 555 00000 10271 =</t>
  </si>
  <si>
    <t>25/08/2012</t>
  </si>
  <si>
    <t>0197</t>
  </si>
  <si>
    <t>43063 32597 62903 10276 20197 39438 40048 85730 333 10301 56690 59004 82720 83626 =</t>
  </si>
  <si>
    <t>43063 32597 42702 10250 20215 39468 40086 83801 333 20217 59003 81626 83828 555 10271 =</t>
  </si>
  <si>
    <t>26/08/2012</t>
  </si>
  <si>
    <t>43063 32597 72703 10240 20203 39463 40083 83731 333 20221 56699 59005 81720 83626 85356 555 00000 10271 =</t>
  </si>
  <si>
    <t>43063 22597 62702 10266 20207 39422 40033 85730 333 10283 56690 59019 6990/ 83720 85356 =</t>
  </si>
  <si>
    <t>27/08/2012</t>
  </si>
  <si>
    <t>82701</t>
  </si>
  <si>
    <t>43063 21596 82701 10234 20213 39421 40038 76065 8572/ 333 10259 5669/ 59001 6992/ 84720 86450 =</t>
  </si>
  <si>
    <t>43063 22597 72704 10238 20202 39438 40057 86730 333 20215 56690 59025 6999/ 83720 85626 555 00009 10272 =</t>
  </si>
  <si>
    <t>28/08/2012</t>
  </si>
  <si>
    <t>43063 21596 70000 10236 20218 39438 40057 70265 87700 333 20216 56600 58000 6002/ 85720 555 00023 10275 =</t>
  </si>
  <si>
    <t>278</t>
  </si>
  <si>
    <t>43063 21597 72702 10250 20218 39414 40029 70252 87700 333 10278 56600 59007 6990/ 84720 =</t>
  </si>
  <si>
    <t>29/08/2012</t>
  </si>
  <si>
    <t>0245</t>
  </si>
  <si>
    <t>43063 22597 72701 10245 20221 39435 40052 87700 333 20220 56600 59003 6993/ 83720 85626 555 00003 10275 =</t>
  </si>
  <si>
    <t>0231</t>
  </si>
  <si>
    <t>43063 21597 62704 10258 20231 39405 40018 70262 85730 333 10298 56690 59009 6034/ 81720 84626 =</t>
  </si>
  <si>
    <t>30/08/2012</t>
  </si>
  <si>
    <t>43063 22597 72703 10243 20215 39429 40044 84731 333 20221 56699 59006 6034/ 81720 84626 555 00342 10309 =</t>
  </si>
  <si>
    <t>76022</t>
  </si>
  <si>
    <t>43063 21597 72904 10256 20218 39397 40009 76022 85730 333 10311 56690 59008 6990/ 82720 83626 85356 =</t>
  </si>
  <si>
    <t>31/08/2012</t>
  </si>
  <si>
    <t>10001</t>
  </si>
  <si>
    <t>43063 21597 70000 10254 20234 39390 40001 70296 87800 333 10295 59007 6017/ 86626 =</t>
  </si>
  <si>
    <t>04/12/2012 2:37:27 PM</t>
  </si>
  <si>
    <t>43063 22597 72701 10250 20221 39414 40029 85730 333 20223 56690 59015 6004/ 84720 83356 555 00038 10313 =</t>
  </si>
  <si>
    <t>01/09/2012</t>
  </si>
  <si>
    <t>43063 22597 52703 10256 20212 39411 40024 85500 333 20221 59003 6017/ 85626 555 00172 10330 =</t>
  </si>
  <si>
    <t>43063 32597 62701 10260 20223 39401 40013 85701 333 10298 56609 58011 81720 83626 =</t>
  </si>
  <si>
    <t>02/09/2012</t>
  </si>
  <si>
    <t>43063 21597 72504 10264 20223 39408 40018 70252 86730 333 10298 56690 58007 6990/ 83720 85626 =</t>
  </si>
  <si>
    <t>43063 32597 70000 10244 20224 39431 40048 85730 333 20221 56600 58020 82722 84626 555 10330 =</t>
  </si>
  <si>
    <t>03/09/2012</t>
  </si>
  <si>
    <t>263</t>
  </si>
  <si>
    <t>43063 21597 72703 10246 20217 39400 40012 70265 87700 333 10263 56600 59008 6002/ 83720 84626 =</t>
  </si>
  <si>
    <t>0228</t>
  </si>
  <si>
    <t>43063 22597 72703 10248 20228 39424 40039 87700 333 20226 56600 59007 6001/ 82722 85626 555 00011 10331 =</t>
  </si>
  <si>
    <t>04/09/2012</t>
  </si>
  <si>
    <t>254</t>
  </si>
  <si>
    <t>43063 21596 82701 10244 20215 39402 40016 75065 8672/ 333 10254 5669/ 58002 6001/ 85720 =</t>
  </si>
  <si>
    <t>87630</t>
  </si>
  <si>
    <t>43063 21596 70000 10234 20213 39419 40036 72162 87630 333 20216 56690 59005 6004/ 82720 85626 555 00039 10335 =</t>
  </si>
  <si>
    <t>05/09/2012</t>
  </si>
  <si>
    <t>43063 21596 82501 10236 20215 39422 40039 75065 8472/ 333 20215 5669/ 58003 6009/ 83720 85450 555 00094 10344 =</t>
  </si>
  <si>
    <t>0229</t>
  </si>
  <si>
    <t>43063 21597 82703 10245 20229 39408 40022 76065 8672/ 333 10260 5669/ 58006 6995/ 84720 =</t>
  </si>
  <si>
    <t>06/09/2012</t>
  </si>
  <si>
    <t>43063 21597 72503 10232 20217 39438 40057 70265 85730 333 20219 56690 58016 6008/ 82720 84626 555 00078 10352 =</t>
  </si>
  <si>
    <t>72002</t>
  </si>
  <si>
    <t>43063 21597 72002 10246 20220 39418 40033 72165 86730 333 10278 56690 58010 6993/ 83720 86626 =</t>
  </si>
  <si>
    <t>07/09/2012</t>
  </si>
  <si>
    <t>43063 22597 72702 10245 20201 39440 40057 85731 333 20212 56699 58002 6993/ 82720 85626 555 00003 10353 =</t>
  </si>
  <si>
    <t>43063 21597 72703 10260 20216 39413 40026 70265 87700 333 10269 56600 59005 6990/ 83720 84626 =</t>
  </si>
  <si>
    <t>08/09/2012</t>
  </si>
  <si>
    <t>43063 22596 70000 10240 20214 39435 40054 87700 333 20220 56600 59005 6995/ 83720 85626 555 00005 10353 =</t>
  </si>
  <si>
    <t>285</t>
  </si>
  <si>
    <t>43063 21596 72501 10262 20222 39424 40035 75065 87700 333 10285 56600 58011 6995/ 86720 =</t>
  </si>
  <si>
    <t>09/09/2012</t>
  </si>
  <si>
    <t>43063 21597 72703 10258 20223 39429 40042 75065 87700 333 10284 56600 58005 6001/ 82720 83626 =</t>
  </si>
  <si>
    <t>43063 21596 72702 10240 20208 39450 40070 70252 87700 333 20223 56600 58015 6996/ 83720 84626 555 00006 10354 =</t>
  </si>
  <si>
    <t>10/09/2012</t>
  </si>
  <si>
    <t>87780</t>
  </si>
  <si>
    <t>43063 21597 72702 10228 20216 39434 40055 76065 87780 333 10269 56690 58005 6006/ 83720 85626 =</t>
  </si>
  <si>
    <t>43063 21597 72701 10238 20226 39457 40077 70265 85730 333 20221 56690 58007 6002/ 82720 84626 555 00022 10356 =</t>
  </si>
  <si>
    <t>11/09/2012</t>
  </si>
  <si>
    <t>43063 21597 62702 10229 20214 39453 40075 75052 86730 333 20215 56690 59004 6007/ 83720 84626 555 00071 10363 =</t>
  </si>
  <si>
    <t>43063 21597 72703 10240 20204 39429 40046 70265 87700 333 10259 56600 59005 6992/ 83720 84626 =</t>
  </si>
  <si>
    <t>12/09/2012</t>
  </si>
  <si>
    <t>43063 22597 52701 10240 20204 39455 40075 85700 333 20206 56600 58002 6992/ 81720 84626 555 00002 10363 =</t>
  </si>
  <si>
    <t>43063 32597 62704 10258 20199 39436 40050 85730 333 10283 56690 58007 81720 85626 =</t>
  </si>
  <si>
    <t>13/09/2012</t>
  </si>
  <si>
    <t>196</t>
  </si>
  <si>
    <t>43063 22597 72701 10238 20202 39464 40084 87700 333 20196 56600 58009 6990/ 83720 85626 555 00000 10363 =</t>
  </si>
  <si>
    <t>43063 22597 52704 10260 20201 39445 40059 85700 333 10278 56600 58009 6992/ 81720 85626 =</t>
  </si>
  <si>
    <t>14/09/2012</t>
  </si>
  <si>
    <t>10079</t>
  </si>
  <si>
    <t>43063 22597 52701 10242 20207 39461 40079 85700 333 20200 56600 59003 6992/ 82720 83626 555 00002 10363 =</t>
  </si>
  <si>
    <t>43063 21597 52703 10256 20203 39436 40050 70262 85700 333 10278 56600 59009 6990/ 82720 83626 =</t>
  </si>
  <si>
    <t>15/09/2012</t>
  </si>
  <si>
    <t>72055</t>
  </si>
  <si>
    <t>43063 21597 72703 10231 20211 39450 40069 72055 86730 333 20212 56690 59011 6002/ 83720 85626 555 00019 10365 =</t>
  </si>
  <si>
    <t>43063 22597 52704 10256 20196 39435 40049 85700 333 10281 56600 59001 6990/ 82720 83626 =</t>
  </si>
  <si>
    <t>16/09/2012</t>
  </si>
  <si>
    <t>43063 21596 72702 10230 20206 39450 40072 75022 87700 333 20213 56600 58000 6990/ 83720 84626 555 00000 10365 =</t>
  </si>
  <si>
    <t>43063 32597 72704 10260 20204 39434 40048 87700 333 10287 56600 59001 83720 85626 =</t>
  </si>
  <si>
    <t>17/09/2012</t>
  </si>
  <si>
    <t>42503</t>
  </si>
  <si>
    <t>43063 32597 42503 10260 20201 39440 40054 83830 333 10289 58006 82626 =</t>
  </si>
  <si>
    <t>43063 22597 52701 10242 20210 39454 40072 85700 333 20192 56600 58004 6995/ 81720 85626 555 00005 10366 =</t>
  </si>
  <si>
    <t>18/09/2012</t>
  </si>
  <si>
    <t>43063 32597 30000 10238 20199 39471 40092 82501 333 20198 58017 82626 555 00000 10366 =</t>
  </si>
  <si>
    <t>43063 21597 72903 10238 20197 39448 40067 72062 86730 333 10300 56690 58008 6994/ 81720 85626 =</t>
  </si>
  <si>
    <t>19/09/2012</t>
  </si>
  <si>
    <t>201</t>
  </si>
  <si>
    <t>43063 22597 72002 10230 20199 39469 40091 85730 333 20201 56690 59002 6994/ 82720 85626 555 00004 10366 =</t>
  </si>
  <si>
    <t>43063 21597 62702 10264 20215 39435 40047 70252 83730 333 10288 56690 59013 6990/ 81720 83626 85356 =</t>
  </si>
  <si>
    <t>20/09/2012</t>
  </si>
  <si>
    <t>43063 22597 50000 10242 20207 39470 40089 84530 333 20216 58001 6990/ 85626 555 00000 10366 =</t>
  </si>
  <si>
    <t>43063 32597 72704 10274 20203 39442 40052 87700 333 10309 58007 83720 85626 =</t>
  </si>
  <si>
    <t>21/09/2012</t>
  </si>
  <si>
    <t>43063 21597 42703 10258 20217 39447 40061 70262 82830 333 10280 58005 6994/ 82626 83356 =</t>
  </si>
  <si>
    <t>8377/</t>
  </si>
  <si>
    <t>43063 21596 82701 10236 20200 39479 40100 75022 8377/ 333 20225 5669/ 58009 6990/ 82720 85458 555 00000 10366 =</t>
  </si>
  <si>
    <t>22/09/2012</t>
  </si>
  <si>
    <t>0269</t>
  </si>
  <si>
    <t>43063 32597 72904 10269 20204 39462 40075 83731 333 10306 56699 58015 81626 83356 85056 85070 =</t>
  </si>
  <si>
    <t>43063 21596 72701 10230 20209 39492 40117 72162 85730 333 20217 56690 58013 6995/ 81722 84626 555 00005 10367 =</t>
  </si>
  <si>
    <t>23/09/2012</t>
  </si>
  <si>
    <t>43063 32597 22702 10280 20197 39450 40061 82500 333 10301 59012 82626 =</t>
  </si>
  <si>
    <t>193</t>
  </si>
  <si>
    <t>43063 32596 52903 10231 20203 39493 40115 84830 333 20193 58001 82626 555 00000 10367 =</t>
  </si>
  <si>
    <t>24/09/2012</t>
  </si>
  <si>
    <t>43063 32597 22703 10275 20169 39456 40067 82500 333 10298 58006 82626 =</t>
  </si>
  <si>
    <t>187</t>
  </si>
  <si>
    <t>12701</t>
  </si>
  <si>
    <t>43063 32597 12701 10230 20187 39491 40116 81500 333 20187 59002 81626 555 00000 10367 =</t>
  </si>
  <si>
    <t>25/09/2012</t>
  </si>
  <si>
    <t>43063 32597 22702 10280 20183 39462 40073 82500 333 10299 58006 82626 =</t>
  </si>
  <si>
    <t>191</t>
  </si>
  <si>
    <t>32701</t>
  </si>
  <si>
    <t>43063 32597 32701 10232 20190 39492 40114 83500 333 20191 58002 83626 555 00000 10367 =</t>
  </si>
  <si>
    <t>26/09/2012</t>
  </si>
  <si>
    <t>10130</t>
  </si>
  <si>
    <t>43063 32597 32701 10234 20197 39508 40130 81530 333 20185 58016 81626 555 00000 10367 =</t>
  </si>
  <si>
    <t>0281</t>
  </si>
  <si>
    <t>43063 32597 42903 10281 20198 39474 40085 84800 333 10311 58012 82626 83828 =</t>
  </si>
  <si>
    <t>27/09/2012</t>
  </si>
  <si>
    <t>43063 32597 62903 10282 20203 39467 40076 86800 333 10314 59007 83626 84828 =</t>
  </si>
  <si>
    <t>70142</t>
  </si>
  <si>
    <t>31101</t>
  </si>
  <si>
    <t>43063 31597 31101 10244 20213 39514 40136 70142 82801 333 20201 58006 81626 555 00000 10367 =</t>
  </si>
  <si>
    <t>28/09/2012</t>
  </si>
  <si>
    <t>43063 32597 73202 10280 20197 39460 40071 84830 333 10311 59007 83626 85358 =</t>
  </si>
  <si>
    <t>43063 32597 40000 10266 20204 39500 40116 84500 333 20217 59014 84626 555 00000 10367 =</t>
  </si>
  <si>
    <t>29/09/2012</t>
  </si>
  <si>
    <t>43063 22597 50000 10236 20212 39487 40108 81530 333 20206 59013 6990/ 81626 85358 555 00000 10367 =</t>
  </si>
  <si>
    <t>85900</t>
  </si>
  <si>
    <t>43063 21597 52701 10270 20218 39446 40058 70262 85900 333 10319 59014 6001/ 82626 81930 =</t>
  </si>
  <si>
    <t>30/09/2012</t>
  </si>
  <si>
    <t>43063 21996 40000 10242 20219 39477 40096 70522 80001 333 20204 59010 6001/ 84070 555 00011 10368 =</t>
  </si>
  <si>
    <t>72902</t>
  </si>
  <si>
    <t>0289</t>
  </si>
  <si>
    <t>43063 32597 72902 10289 20207 39440 40048 82531 333 10318 59006 82526 85358 =</t>
  </si>
  <si>
    <t>ckk</t>
  </si>
  <si>
    <t>07/01/2013 2:33:44 PM</t>
  </si>
  <si>
    <t>01/10/2012</t>
  </si>
  <si>
    <t>71762</t>
  </si>
  <si>
    <t>84930</t>
  </si>
  <si>
    <t>43063 21597 70000 10264 20224 39437 40049 71762 84930 333 10301 59003 6990/ 82626 81930 85356 =</t>
  </si>
  <si>
    <t>43063 21597 70000 10241 20225 39468 40086 70262 81531 333 20215 59009 6027/ 81626 83356 85070 555 00274 10027 =</t>
  </si>
  <si>
    <t>02/10/2012</t>
  </si>
  <si>
    <t>82630</t>
  </si>
  <si>
    <t>43063 22597 60000 10236 20218 39463 40083 82630 333 20206 59005 6038/ 82626 85358 555 00377 10065 =</t>
  </si>
  <si>
    <t>73201</t>
  </si>
  <si>
    <t>43063 32597 73201 10252 20217 39432 40046 84830 333 10308 59005 82626 83828 85356 =</t>
  </si>
  <si>
    <t>03/10/2012</t>
  </si>
  <si>
    <t>82502</t>
  </si>
  <si>
    <t>43063 32597 82502 10254 20219 39436 40050 85831 333 10301 58004 83628 85358 =</t>
  </si>
  <si>
    <t>43063 22597 70000 10234 20207 39466 40086 81531 333 20213 58003 6992/ 81626 86358 555 00002 10065 =</t>
  </si>
  <si>
    <t>04/10/2012</t>
  </si>
  <si>
    <t>43063 21597 70000 10242 20230 39444 40061 70296 82530 333 10305 58008 6033/ 82626 87358 =</t>
  </si>
  <si>
    <t>43063 22597 70000 10240 20228 39464 40084 83530 333 20220 59002 6001/ 83626 84358 555 00012 10067 =</t>
  </si>
  <si>
    <t>05/10/2012</t>
  </si>
  <si>
    <t>85530</t>
  </si>
  <si>
    <t>43063 21596 70000 10230 20224 39482 40105 70562 85530 333 20220 58018 6037/ 85626 83358 555 00366 10103 =</t>
  </si>
  <si>
    <t>71722</t>
  </si>
  <si>
    <t>86600</t>
  </si>
  <si>
    <t>43063 31597 62701 10266 20220 39448 40060 71722 86600 333 10301 58004 82626 83828 81930 =</t>
  </si>
  <si>
    <t>06/10/2012</t>
  </si>
  <si>
    <t>43063 22597 50000 10248 20222 39491 40109 85500 333 20213 58009 6007/ 85626 555 00071 10110 =</t>
  </si>
  <si>
    <t>43063 32597 60000 10284 20211 39463 40072 84801 333 10311 58015 81626 84828 =</t>
  </si>
  <si>
    <t>07/10/2012</t>
  </si>
  <si>
    <t>86830</t>
  </si>
  <si>
    <t>0227</t>
  </si>
  <si>
    <t>43063 22597 70000 10250 20227 39497 40118 86830 333 20216 58006 6010/ 84626 555 00100 10120 =</t>
  </si>
  <si>
    <t>43063 32597 70000 10268 20225 39467 40080 87800 333 10309 58004 85626 =</t>
  </si>
  <si>
    <t>08/10/2012</t>
  </si>
  <si>
    <t>205</t>
  </si>
  <si>
    <t>43063 32597 30000 10240 20220 39492 40114 82830 333 20205 59005 81626 555 10120 =</t>
  </si>
  <si>
    <t>313</t>
  </si>
  <si>
    <t>0295</t>
  </si>
  <si>
    <t>43063 32597 30000 10295 20183 39455 40062 82801 333 10313 59012 81626 =</t>
  </si>
  <si>
    <t>09/10/2012</t>
  </si>
  <si>
    <t>32501</t>
  </si>
  <si>
    <t>43063 32597 32501 10250 20223 39486 40105 82530 333 20210 59006 82626 555 10120 =</t>
  </si>
  <si>
    <t>43063 32597 50000 10280 20223 39446 40056 85800 333 10321 59009 83826 83528 =</t>
  </si>
  <si>
    <t>10/10/2012</t>
  </si>
  <si>
    <t>63202</t>
  </si>
  <si>
    <t>43063 32597 63202 10286 20187 39455 40064 86800 333 10329 58009 84626 =</t>
  </si>
  <si>
    <t>43063 31996 00000 10252 20226 39489 40106 70542 333 20212 58003 555 00000 10120 =</t>
  </si>
  <si>
    <t>11/10/2012</t>
  </si>
  <si>
    <t>43063 32997 00000 10252 20211 39491 40109 333 20201 58002 555 00000 10120 =</t>
  </si>
  <si>
    <t>43063 32597 20000 10306 20194 39460 40065 82500 333 10324 58005 82628 =</t>
  </si>
  <si>
    <t>12/10/2012</t>
  </si>
  <si>
    <t>175</t>
  </si>
  <si>
    <t>43063 32996 00000 10248 20191 39501 40122 333 20175 58010 555 10120 =</t>
  </si>
  <si>
    <t>42302</t>
  </si>
  <si>
    <t>43063 32597 42302 10281 20197 39463 40072 83830 333 10331 58003 82626 =</t>
  </si>
  <si>
    <t>13/10/2012</t>
  </si>
  <si>
    <t>10121</t>
  </si>
  <si>
    <t>43063 32996 00000 10244 20199 39500 40121 333 20196 59001 555 00000 10120 =</t>
  </si>
  <si>
    <t>43063 32597 10000 10300 20186 39462 40069 81500 333 10324 59001 81626 =</t>
  </si>
  <si>
    <t>14/10/2012</t>
  </si>
  <si>
    <t>176</t>
  </si>
  <si>
    <t>43063 31996 00000 10242 20210 39514 40136 70541 333 20176 58014 555 00000 10120 =</t>
  </si>
  <si>
    <t>43063 32597 20000 10296 20182 39476 40085 82500 333 10318 58014 82626 =</t>
  </si>
  <si>
    <t>15/10/2012</t>
  </si>
  <si>
    <t>82200</t>
  </si>
  <si>
    <t>43063 32597 20000 10300 20186 39493 40103 82200 333 10319 58019 82830 =</t>
  </si>
  <si>
    <t>166</t>
  </si>
  <si>
    <t>43063 31996 30000 10226 20176 39525 40151 70511 80001 333 20166 58011 83070 555 00000 10120 =</t>
  </si>
  <si>
    <t>16/10/2012</t>
  </si>
  <si>
    <t>171</t>
  </si>
  <si>
    <t>0175</t>
  </si>
  <si>
    <t>43063 32996 10000 10228 20175 39534 40161 80001 333 20171 58009 81072 555 00000 10120 =</t>
  </si>
  <si>
    <t>312</t>
  </si>
  <si>
    <t>43063 32597 70000 10282 20184 39504 40116 84530 333 10312 58011 84626 =</t>
  </si>
  <si>
    <t>17/10/2012</t>
  </si>
  <si>
    <t>10159</t>
  </si>
  <si>
    <t>174</t>
  </si>
  <si>
    <t>32796</t>
  </si>
  <si>
    <t>43063 32796 20502 10234 20179 39534 40159 82030 333 20174 58000 82358 555 00000 10120 =</t>
  </si>
  <si>
    <t>43063 32597 40000 10296 20155 39490 40100 84500 333 10319 59014 84626 =</t>
  </si>
  <si>
    <t>18/10/2012</t>
  </si>
  <si>
    <t>165</t>
  </si>
  <si>
    <t>43063 31996 00000 10244 20183 39521 40143 70521 333 20165 59014 555 00000 10120 =</t>
  </si>
  <si>
    <t>40902</t>
  </si>
  <si>
    <t>43063 32597 40902 10302 20151 39478 40084 81530 333 10321 59012 81626 83358 =</t>
  </si>
  <si>
    <t>19/10/2012</t>
  </si>
  <si>
    <t>40901</t>
  </si>
  <si>
    <t>43063 32597 40901 10306 20114 39479 40085 81530 333 10316 58001 81626 83358 =</t>
  </si>
  <si>
    <t>10146</t>
  </si>
  <si>
    <t>43063 31996 00000 10232 20166 39522 40146 70500 333 20157 58001 555 00000 10120 =</t>
  </si>
  <si>
    <t>20/10/2012</t>
  </si>
  <si>
    <t>43063 32597 50000 10289 20144 39481 40092 80001 333 10317 58002 85072 =</t>
  </si>
  <si>
    <t>20701</t>
  </si>
  <si>
    <t>43063 32996 20701 10216 20140 39522 40150 80001 333 20148 58000 82074 555 10120 =</t>
  </si>
  <si>
    <t>21/10/2012</t>
  </si>
  <si>
    <t>76042</t>
  </si>
  <si>
    <t>80000</t>
  </si>
  <si>
    <t>8252/</t>
  </si>
  <si>
    <t>43063 21596 80000 10230 20206 39526 40152 76042 8252/ 333 20201 58004 6991/ 82628 86452 555 00001 10120 =</t>
  </si>
  <si>
    <t>292</t>
  </si>
  <si>
    <t>43063 32596 60000 10280 20180 39486 40099 83530 333 10292 58005 83626 84356 =</t>
  </si>
  <si>
    <t>22/10/2012</t>
  </si>
  <si>
    <t>70902</t>
  </si>
  <si>
    <t>87500</t>
  </si>
  <si>
    <t>43063 32596 70902 10234 20135 39524 40148 87500 333 20202 59002 87626 555 00000 10120 =</t>
  </si>
  <si>
    <t>43063 32597 70000 10276 20196 39487 40100 82530 333 10295 58001 82626 87356 =</t>
  </si>
  <si>
    <t>23/10/2012</t>
  </si>
  <si>
    <t>60901</t>
  </si>
  <si>
    <t>43063 32597 60901 10294 20179 39479 40088 83801 333 10317 59008 82626 83072 =</t>
  </si>
  <si>
    <t>43063 21596 60000 10240 20201 39516 40140 70522 81530 333 20218 59008 6991/ 81626 85358 555 00001 10120 =</t>
  </si>
  <si>
    <t>24/10/2012</t>
  </si>
  <si>
    <t>43063 31596 70000 10242 20211 39509 40130 70522 82530 333 20206 59007 82626 87358 555 10120 =</t>
  </si>
  <si>
    <t>315</t>
  </si>
  <si>
    <t>60702</t>
  </si>
  <si>
    <t>43063 21597 60702 10300 20204 39471 40080 70262 84830 333 10315 59008 6990/ 82626 83656 =</t>
  </si>
  <si>
    <t>25/10/2012</t>
  </si>
  <si>
    <t>43063 32597 30000 10302 20189 39456 40051 83800 333 10319 59015 81626 83828 =</t>
  </si>
  <si>
    <t>70555</t>
  </si>
  <si>
    <t>21796</t>
  </si>
  <si>
    <t>85030</t>
  </si>
  <si>
    <t>43063 21796 50000 10234 20207 39506 40128 70555 85030 333 20199 59003 6017/ 85356 555 00175 10138 =</t>
  </si>
  <si>
    <t>26/10/2012</t>
  </si>
  <si>
    <t>43063 21597 50000 10242 20216 39465 40083 70292 85500 333 10315 58009 6007/ 85626 =</t>
  </si>
  <si>
    <t>43063 31596 40000 10252 20211 39492 40110 70542 84500 333 20202 59014 84626 555 00000 10138 =</t>
  </si>
  <si>
    <t>27/10/2012</t>
  </si>
  <si>
    <t>31401</t>
  </si>
  <si>
    <t>0173</t>
  </si>
  <si>
    <t>43063 32597 31401 10286 20173 39468 40077 81501 333 10309 58003 =</t>
  </si>
  <si>
    <t>43063 21996 00000 10226 20202 39502 40127 70500 333 20180 58010 6007/ 555 00066 10145 =</t>
  </si>
  <si>
    <t>28/10/2012</t>
  </si>
  <si>
    <t>43063 31996 00000 10226 20191 39513 40139 70500 333 20171 58011 555 10145 =</t>
  </si>
  <si>
    <t>40502</t>
  </si>
  <si>
    <t>43063 32597 40502 10284 20169 39481 40092 84800 333 10307 58013 83626 =</t>
  </si>
  <si>
    <t>29/10/2012</t>
  </si>
  <si>
    <t>60902</t>
  </si>
  <si>
    <t>43063 32597 60902 10280 20229 39467 40078 82501 333 10301 59014 82626 85072 =</t>
  </si>
  <si>
    <t>10134</t>
  </si>
  <si>
    <t>177</t>
  </si>
  <si>
    <t>43063 31996 00000 10230 20191 39509 40134 70500 333 20177 59004 555 00000 10145 =</t>
  </si>
  <si>
    <t>30/10/2012</t>
  </si>
  <si>
    <t>43063 31596 60000 10206 20151 39502 40131 70542 80001 333 20127 59007 86072 555 00000 10145 =</t>
  </si>
  <si>
    <t>43063 32997 60901 10276 20060 39459 40070 80001 333 10305 59008 86070 =</t>
  </si>
  <si>
    <t>31/10/2012</t>
  </si>
  <si>
    <t>43063 31996 30000 10206 20129 39495 40124 70522 80001 333 20131 59007 83070 555 00000 10145 =</t>
  </si>
  <si>
    <t>70501</t>
  </si>
  <si>
    <t>0267</t>
  </si>
  <si>
    <t>43063 32997 70501 10267 20143 39457 40070 80001 333 10289 59002 87070 =</t>
  </si>
  <si>
    <t>29/01/2013 5:50:49 PM</t>
  </si>
  <si>
    <t>01/11/2012</t>
  </si>
  <si>
    <t>151</t>
  </si>
  <si>
    <t>43063 31796 60000 10188 20166 40113 70522 82031 333 20151 59014 555 00000 =</t>
  </si>
  <si>
    <t>80901</t>
  </si>
  <si>
    <t>43063 32597 80901 10262 20169 39452 40065 82531 333 10281 59005 82628 85358 =</t>
  </si>
  <si>
    <t>02/11/2012</t>
  </si>
  <si>
    <t>43063 21597 60000 10264 20211 39437 40049 72122 84530 333 10308 59015 6992/ 84626 83356 =</t>
  </si>
  <si>
    <t>190</t>
  </si>
  <si>
    <t>43063 32597 50000 10227 20173 39475 40098 82530 333 20190 59006 82626 83358 555 00000 10145 =</t>
  </si>
  <si>
    <t>03/11/2012</t>
  </si>
  <si>
    <t>43063 21996 20000 10236 20203 39478 40099 70500 80001 333 20192 58003 6001/ 82072 555 00012 10146 =</t>
  </si>
  <si>
    <t>43063 32597 60000 10290 20202 39453 40062 86800 333 10319 58016 83626 83828 =</t>
  </si>
  <si>
    <t>04/11/2012</t>
  </si>
  <si>
    <t>43063 32597 50000 10306 20168 39446 40050 84801 333 10325 59007 83626 =</t>
  </si>
  <si>
    <t>43063 31996 00000 10236 20203 39489 40110 70500 333 20181 58011 555 00000 10146 =</t>
  </si>
  <si>
    <t>05/11/2012</t>
  </si>
  <si>
    <t>43063 32597 52703 10298 20187 39454 40061 85800 333 10318 58008 82628 83830 =</t>
  </si>
  <si>
    <t>70544</t>
  </si>
  <si>
    <t>169</t>
  </si>
  <si>
    <t>43063 31996 20000 10226 20189 39492 40117 70544 80001 333 20169 58003 82070 555 10146 =</t>
  </si>
  <si>
    <t>06/11/2012</t>
  </si>
  <si>
    <t>43063 32597 30000 10294 20172 39460 40067 83500 333 10319 58006 83626 =</t>
  </si>
  <si>
    <t>10120</t>
  </si>
  <si>
    <t>156</t>
  </si>
  <si>
    <t>43063 31996 00000 10228 20192 39495 40120 70540 333 20156 58003 555 00000 10146 =</t>
  </si>
  <si>
    <t>07/11/2012</t>
  </si>
  <si>
    <t>43063 32597 12702 10298 20150 39467 40074 81500 333 10324 58007 81626 =</t>
  </si>
  <si>
    <t>182</t>
  </si>
  <si>
    <t>43063 31596 40000 10230 20174 39508 40133 70522 84500 333 20182 58013 84626 555 00000 10146 =</t>
  </si>
  <si>
    <t>08/11/2012</t>
  </si>
  <si>
    <t>159</t>
  </si>
  <si>
    <t>43063 31996 00000 10222 20165 39493 40118 70500 333 20159 59015 555 00000 10146 =</t>
  </si>
  <si>
    <t>43063 32997 52703 10290 20135 39461 40070 80001 333 10327 59006 85070 =</t>
  </si>
  <si>
    <t>09/11/2012</t>
  </si>
  <si>
    <t>141</t>
  </si>
  <si>
    <t>43063 31996 00000 10210 20152 39503 40132 70500 333 20141 58010 555 10146 =</t>
  </si>
  <si>
    <t>0301</t>
  </si>
  <si>
    <t>43063 32997 02702 10301 20094 39471 40077 333 10325 58010 =</t>
  </si>
  <si>
    <t>10/11/2012</t>
  </si>
  <si>
    <t>43063 32597 22702 10300 20145 39479 40088 82500 333 10326 58008 82626 =</t>
  </si>
  <si>
    <t>150</t>
  </si>
  <si>
    <t>43063 32997 00000 10206 20158 39518 40148 333 20150 58015 555 10146 =</t>
  </si>
  <si>
    <t>11/11/2012</t>
  </si>
  <si>
    <t>43063 32596 22702 10296 20135 39473 40079 82500 333 10316 59006 82626 =</t>
  </si>
  <si>
    <t>172</t>
  </si>
  <si>
    <t>43063 31996 00000 10222 20185 39518 40144 70510 333 20172 58000 555 00000 10146 =</t>
  </si>
  <si>
    <t>12/11/2012</t>
  </si>
  <si>
    <t>43063 32597 40000 10284 20174 39476 40087 84800 333 10309 58003 83626 =</t>
  </si>
  <si>
    <t>43063 31996 00000 10208 20153 39512 40142 70500 333 20167 59006 555 00000 10146 =</t>
  </si>
  <si>
    <t>13/11/2012</t>
  </si>
  <si>
    <t>43063 32597 40902 10282 20122 39489 40100 82501 333 10309 58013 82626 =</t>
  </si>
  <si>
    <t>10156</t>
  </si>
  <si>
    <t>178</t>
  </si>
  <si>
    <t>43063 22597 20000 10220 20141 39528 40156 81501 333 20178 58016 6990/ 81626 555 00000 10146 =</t>
  </si>
  <si>
    <t>14/11/2012</t>
  </si>
  <si>
    <t>43063 31996 00000 10200 20148 39520 40153 70540 333 20150 59008 555 10146 =</t>
  </si>
  <si>
    <t>20902</t>
  </si>
  <si>
    <t>43063 32597 20902 10274 20122 39477 40090 82500 333 10306 59012 82626 =</t>
  </si>
  <si>
    <t>15/11/2012</t>
  </si>
  <si>
    <t>43063 32597 30000 10270 20129 39481 40096 81531 333 10300 58004 81626 =</t>
  </si>
  <si>
    <t>43063 31996 00000 10195 20156 39514 40147 70541 333 20137 59006 555 00000 10146 =</t>
  </si>
  <si>
    <t>16/11/2012</t>
  </si>
  <si>
    <t>43063 32997 30000 10266 20106 39490 40105 80001 333 10292 58009 83070 =</t>
  </si>
  <si>
    <t>10168</t>
  </si>
  <si>
    <t>43063 31996 00000 10190 20129 39532 40168 70500 333 20119 58018 555 00000 10146 =</t>
  </si>
  <si>
    <t>17/11/2012</t>
  </si>
  <si>
    <t>43063 32997 00000 10265 20090 39486 40101 333 10283 59004 =</t>
  </si>
  <si>
    <t>10175</t>
  </si>
  <si>
    <t>095</t>
  </si>
  <si>
    <t>43063 32996 00000 10174 20114 39537 40175 333 20095 58005 555 00000 10146 =</t>
  </si>
  <si>
    <t>18/11/2012</t>
  </si>
  <si>
    <t>10157</t>
  </si>
  <si>
    <t>43063 31996 00000 10164 20131 39518 40157 70540 333 20090 59019 555 00000 10146 =</t>
  </si>
  <si>
    <t>43063 32997 00000 10268 20095 39473 40088 333 10293 59013 =</t>
  </si>
  <si>
    <t>19/11/2012</t>
  </si>
  <si>
    <t>079</t>
  </si>
  <si>
    <t>43063 31996 00000 10160 20106 39507 40147 70500 333 20079 59011 555 00000 10146 =</t>
  </si>
  <si>
    <t>294</t>
  </si>
  <si>
    <t>43063 32997 00000 10267 20109 39477 40092 333 10294 58004 =</t>
  </si>
  <si>
    <t>20/11/2012</t>
  </si>
  <si>
    <t>43063 32997 00000 10274 20130 39477 40090 333 10292 58000 =</t>
  </si>
  <si>
    <t>086</t>
  </si>
  <si>
    <t>43063 31996 00000 10158 20104 39520 40161 70500 333 20086 58013 555 10146 =</t>
  </si>
  <si>
    <t>21/11/2012</t>
  </si>
  <si>
    <t>10094</t>
  </si>
  <si>
    <t>43063 32597 30000 10280 20165 39481 40094 81501 333 10305 58004 81626 83070 =</t>
  </si>
  <si>
    <t>10163</t>
  </si>
  <si>
    <t>43063 31596 10000 10160 20136 39522 40163 70500 81500 333 20108 58002 81626 555 10146 =</t>
  </si>
  <si>
    <t>22/11/2012</t>
  </si>
  <si>
    <t>0163</t>
  </si>
  <si>
    <t>43063 32997 00000 10290 20163 39473 40084 333 10314 59008 =</t>
  </si>
  <si>
    <t>134</t>
  </si>
  <si>
    <t>0161</t>
  </si>
  <si>
    <t>43063 31996 00000 10190 20161 39514 40147 70500 333 20134 59008 555 00000 10146 =</t>
  </si>
  <si>
    <t>23/11/2012</t>
  </si>
  <si>
    <t>43063 31996 00000 10196 20171 39515 40148 70500 333 20148 58001 555 00000 10146 =</t>
  </si>
  <si>
    <t>23202</t>
  </si>
  <si>
    <t>43063 32797 23202 10284 20139 39474 40085 82030 333 10311 58001 82358 =</t>
  </si>
  <si>
    <t>24/11/2012</t>
  </si>
  <si>
    <t>43063 31596 50000 10200 20158 39510 40142 70522 85500 333 20153 59005 85626 555 00000 10146 =</t>
  </si>
  <si>
    <t>43063 32597 50000 10292 20180 39471 40080 85500 333 10318 59003 85626 =</t>
  </si>
  <si>
    <t>25/11/2012</t>
  </si>
  <si>
    <t>43063 32997 20000 10295 20184 39476 40085 80001 333 10311 58005 82070 =</t>
  </si>
  <si>
    <t>43063 31596 20000 10198 20170 39520 40153 70500 81501 333 20156 58010 81626 555 10146 =</t>
  </si>
  <si>
    <t>26/11/2012</t>
  </si>
  <si>
    <t>43063 32597 42701 10284 20178 39483 40094 84500 333 10317 58007 82626 83828 =</t>
  </si>
  <si>
    <t>43063 31996 00000 10200 20181 39517 40150 70500 333 20163 59003 555 00000 10146 =</t>
  </si>
  <si>
    <t>27/11/2012</t>
  </si>
  <si>
    <t>43063 31996 00000 10210 20169 39513 40143 70500 333 20169 59004 555 00000 10146 =</t>
  </si>
  <si>
    <t>43063 32597 20000 10300 20179 39471 40080 82500 333 10321 59012 82626 =</t>
  </si>
  <si>
    <t>28/11/2012</t>
  </si>
  <si>
    <t>43063 32997 62701 10276 20124 39476 40089 80001 333 10308 58005 86070 =</t>
  </si>
  <si>
    <t>43063 31996 10000 10204 20179 39513 40143 70500 80001 333 20157 58000 81070 555 00000 10146 =</t>
  </si>
  <si>
    <t>29/11/2012</t>
  </si>
  <si>
    <t>43063 32997 22703 10284 20107 39471 40082 80001 333 10318 59005 82070 =</t>
  </si>
  <si>
    <t>43063 32996 30000 10180 20150 39506 40142 80001 333 20134 59007 83070 555 10146 =</t>
  </si>
  <si>
    <t>30/11/2012</t>
  </si>
  <si>
    <t>121</t>
  </si>
  <si>
    <t>43063 32996 20000 10174 20137 39510 40147 80001 333 20121 58004 82070 555 00000 10146 =</t>
  </si>
  <si>
    <t>43063 32997 02703 10280 20112 39472 40085 333 10311 58001 =</t>
  </si>
  <si>
    <t>19/02/2013 10:10:35 AM</t>
  </si>
  <si>
    <t>01/12/2012</t>
  </si>
  <si>
    <t>10135</t>
  </si>
  <si>
    <t>120</t>
  </si>
  <si>
    <t>43063 31996 00000 10184 20137 39502 40135 70511 333 20120 59008 555 00000 10146 =</t>
  </si>
  <si>
    <t>43063 32997 02702 10280 20134 39466 40077 333 10318 59006 =</t>
  </si>
  <si>
    <t>02/12/2012</t>
  </si>
  <si>
    <t>43063 31996 00000 10180 20157 39513 40150 70500 333 20136 58011 555 00000 10146 =</t>
  </si>
  <si>
    <t>43063 32597 30000 10285 20181 39479 40090 81501 333 10310 58013 81628 83070 =</t>
  </si>
  <si>
    <t>03/12/2012</t>
  </si>
  <si>
    <t>43063 32997 00000 10278 20155 39478 40091 333 10289 59001 =</t>
  </si>
  <si>
    <t>43063 31996 00000 10192 20156 39520 40153 70500 333 20151 58007 555 00000 10146 =</t>
  </si>
  <si>
    <t>04/12/2012</t>
  </si>
  <si>
    <t>81301</t>
  </si>
  <si>
    <t>43063 32797 21101 10280 20112 39476 40089 81301 333 10299 59002 81358 =</t>
  </si>
  <si>
    <t>43063 31996 30000 10184 20133 39522 40157 70541 82501 333 20134 58002 82626 555 00000 10146 =</t>
  </si>
  <si>
    <t>05/12/2012</t>
  </si>
  <si>
    <t>43063 32997 20902 10290 20147 39474 40085 80001 333 10308 59002 82070 =</t>
  </si>
  <si>
    <t>43063 31996 40000 10204 20122 39513 40143 70521 80001 333 20136 59009 84070 555 00000 10146 =</t>
  </si>
  <si>
    <t>06/12/2012</t>
  </si>
  <si>
    <t>70901</t>
  </si>
  <si>
    <t>43063 32597 70901 10294 20183 39485 40094 82501 333 10316 58011 82626 86070 =</t>
  </si>
  <si>
    <t>43063 31996 50000 10218 20161 39517 40145 70522 80001 333 20179 58004 85070 555 00000 10146 =</t>
  </si>
  <si>
    <t>07/12/2012</t>
  </si>
  <si>
    <t>43063 32597 30000 10304 20162 39483 40089 81501 333 10329 59002 81626 83070 =</t>
  </si>
  <si>
    <t>43063 31996 30000 10217 20195 39517 40145 70511 80001 333 20177 58000 83070 555 10146 =</t>
  </si>
  <si>
    <t>08/12/2012</t>
  </si>
  <si>
    <t>43063 32597 60000 10306 20194 39473 40079 81501 333 10329 59010 81626 85070 =</t>
  </si>
  <si>
    <t>43063 32996 30000 10204 20189 39515 40145 80001 333 20176 59002 83070 555 00000 10146 =</t>
  </si>
  <si>
    <t>09/12/2012</t>
  </si>
  <si>
    <t>43063 31996 20000 10210 20195 39508 40137 70510 80001 333 20176 59007 82070 555 00000 10146 =</t>
  </si>
  <si>
    <t>43063 32597 42703 10294 20153 39468 40075 84500 333 10329 59005 84626 =</t>
  </si>
  <si>
    <t>10/12/2012</t>
  </si>
  <si>
    <t>161</t>
  </si>
  <si>
    <t>43063 31996 00000 10192 20179 39503 40134 70500 333 20161 59005 555 00000 10146 =</t>
  </si>
  <si>
    <t>43063 32997 02702 10290 20127 39466 40075 333 10323 59002 =</t>
  </si>
  <si>
    <t>11/12/2012</t>
  </si>
  <si>
    <t>43063 32997 02703 10290 20079 39470 40080 333 10319 58004 =</t>
  </si>
  <si>
    <t>43063 32996 00000 10190 20151 39505 40136 333 20130 58002 555 10146 =</t>
  </si>
  <si>
    <t>12/12/2012</t>
  </si>
  <si>
    <t>0016</t>
  </si>
  <si>
    <t>43063 32997 00000 10290 20016 39465 40074 333 10312 59005 =</t>
  </si>
  <si>
    <t>43063 31996 00000 10168 20158 39508 40146 70500 333 20125 58003 555 00000 10146 =</t>
  </si>
  <si>
    <t>13/12/2012</t>
  </si>
  <si>
    <t>43063 32997 12701 10278 20100 39474 40087 80001 333 10309 58009 81070 =</t>
  </si>
  <si>
    <t>105</t>
  </si>
  <si>
    <t>43063 31996 00000 10162 20142 39509 40147 70500 333 20105 58001 555 00000 10146 =</t>
  </si>
  <si>
    <t>14/12/2012</t>
  </si>
  <si>
    <t>74544</t>
  </si>
  <si>
    <t>31992</t>
  </si>
  <si>
    <t>43063 31992 00000 10154 20147 39527 40168 74544 333 20129 58018 555 00000 10146 =</t>
  </si>
  <si>
    <t>58022</t>
  </si>
  <si>
    <t>43063 32997 30000 10286 20158 39496 40108 80001 333 10304 58022 83070 =</t>
  </si>
  <si>
    <t>15/12/2012</t>
  </si>
  <si>
    <t>10183</t>
  </si>
  <si>
    <t>43063 31996 00000 10160 20140 39540 40183 70500 333 20115 58013 555 10146 =</t>
  </si>
  <si>
    <t>62502</t>
  </si>
  <si>
    <t>43063 32597 62502 10295 20169 39498 40108 81501 333 10318 58002 81626 85070 =</t>
  </si>
  <si>
    <t>16/12/2012</t>
  </si>
  <si>
    <t>10179</t>
  </si>
  <si>
    <t>43063 31996 50000 10160 20152 39536 40179 70522 80001 333 20135 59004 85070 555 00000 10146 =</t>
  </si>
  <si>
    <t>43063 32997 40901 10278 20114 39511 40126 80001 333 10302 58013 84070 =</t>
  </si>
  <si>
    <t>17/12/2012</t>
  </si>
  <si>
    <t>43063 32997 30902 10280 20121 39503 40117 80001 333 10295 59008 83070 =</t>
  </si>
  <si>
    <t>10181</t>
  </si>
  <si>
    <t>0138</t>
  </si>
  <si>
    <t>43063 31996 40000 10162 20138 39540 40181 70500 80001 333 20125 58004 84070 555 00000 10146 =</t>
  </si>
  <si>
    <t>18/12/2012</t>
  </si>
  <si>
    <t>43063 32997 40502 10280 20088 39504 40118 80001 333 10298 58001 84070 =</t>
  </si>
  <si>
    <t>10185</t>
  </si>
  <si>
    <t>43063 31996 00000 10176 20139 39547 40185 70500 333 20131 58007 555 00000 10146 =</t>
  </si>
  <si>
    <t>19/12/2012</t>
  </si>
  <si>
    <t>43063 31996 50000 10130 20116 39535 40185 70522 80001 333 20103 59012 85070 555 10146 =</t>
  </si>
  <si>
    <t>43063 32997 50000 10254 20098 39490 40107 80001 333 10272 59014 85070 =</t>
  </si>
  <si>
    <t>20/12/2012</t>
  </si>
  <si>
    <t>43063 31996 60000 10154 20119 39514 40155 70522 80001 333 20101 59021 86070 555 00000 10146 =</t>
  </si>
  <si>
    <t>59026</t>
  </si>
  <si>
    <t>43063 32997 30000 10266 20101 39464 40077 80001 333 10287 59026 83070 =</t>
  </si>
  <si>
    <t>21/12/2012</t>
  </si>
  <si>
    <t>100</t>
  </si>
  <si>
    <t>43063 31996 00000 10146 20125 39505 40147 70500 333 20100 59009 555 00000 10146 =</t>
  </si>
  <si>
    <t>43063 32997 00000 10292 20169 39467 40074 333 10315 58003 =</t>
  </si>
  <si>
    <t>22/12/2012</t>
  </si>
  <si>
    <t>43063 32997 30000 10288 20141 39473 40084 80001 333 10317 58006 83070 =</t>
  </si>
  <si>
    <t>43063 31996 30000 10160 20153 39518 40159 70500 80001 333 20126 58013 83070 555 00000 10146 =</t>
  </si>
  <si>
    <t>23/12/2012</t>
  </si>
  <si>
    <t>43063 31996 00000 10160 20150 39515 40156 70500 333 20140 59003 555 00000 10146 =</t>
  </si>
  <si>
    <t>43063 32997 30000 10280 20154 39474 40087 80001 333 10305 58001 83070 =</t>
  </si>
  <si>
    <t>24/12/2012</t>
  </si>
  <si>
    <t>43063 31796 50000 10156 20139 39514 40115 70522 82031 333 20140 59001 82356 85070 555 00000 10146 =</t>
  </si>
  <si>
    <t>43063 32597 40000 10282 20133 39456 40065 82501 333 10301 59018 82626 83070 =</t>
  </si>
  <si>
    <t>25/12/2012</t>
  </si>
  <si>
    <t>10901</t>
  </si>
  <si>
    <t>43063 32997 10901 10264 20112 39471 40086 80001 333 10279 58005 81070 =</t>
  </si>
  <si>
    <t>43063 31996 20000 10162 20152 39513 40152 70521 80001 333 20131 59001 82070 555 00000 10146 =</t>
  </si>
  <si>
    <t>26/12/2012</t>
  </si>
  <si>
    <t>43063 31996 10000 10136 20114 39500 40155 70500 80001 333 20099 59003 81070 555 00000 10146 =</t>
  </si>
  <si>
    <t>01402</t>
  </si>
  <si>
    <t>43063 32997 01402 10254 20073 39473 40090 333 10279 58002 =</t>
  </si>
  <si>
    <t>27/12/2012</t>
  </si>
  <si>
    <t>43063 31996 00000 10104 20089 39507 40159 70500 333 20074 59003 555 00000 10146 =</t>
  </si>
  <si>
    <t>43063 32997 00000 10264 20112 39467 40080 333 10287 59006 =</t>
  </si>
  <si>
    <t>28/12/2012</t>
  </si>
  <si>
    <t>43063 32997 60000 10280 20112 39448 40058 80001 333 10295 59019 86070 =</t>
  </si>
  <si>
    <t>43063 31996 20000 10114 20103 39487 40135 70511 80001 333 20078 59020 82070 555 00000 10146 =</t>
  </si>
  <si>
    <t>29/12/2012</t>
  </si>
  <si>
    <t>43063 32997 00000 10282 20153 39452 40061 333 10304 58004 =</t>
  </si>
  <si>
    <t>096</t>
  </si>
  <si>
    <t>43063 31996 40000 10130 20119 39489 40135 70522 80001 333 20096 58002 84070 555 00000 10146 =</t>
  </si>
  <si>
    <t>30/12/2012</t>
  </si>
  <si>
    <t>43063 32996 20000 10302 20167 39456 40061 80001 333 10313 58004 82070 =</t>
  </si>
  <si>
    <t>43063 31996 10000 10136 20125 39487 40130 70511 80001 333 20109 59002 81070 555 00000 10146 =</t>
  </si>
  <si>
    <t>31/12/2012</t>
  </si>
  <si>
    <t>85031</t>
  </si>
  <si>
    <t>43063 31796 70000 10200 20184 39488 40118 70522 85031 333 20172 58001 85356 555 00000 10146 =</t>
  </si>
  <si>
    <t>Dew</t>
  </si>
  <si>
    <t>Max</t>
  </si>
  <si>
    <t>Min</t>
  </si>
  <si>
    <t>Max of Dew</t>
  </si>
  <si>
    <t>Max of Min</t>
  </si>
  <si>
    <t>Max of Max</t>
  </si>
  <si>
    <t>Year</t>
  </si>
  <si>
    <t>Month</t>
  </si>
  <si>
    <t>Day</t>
  </si>
  <si>
    <t>Values</t>
  </si>
  <si>
    <t>Dew Point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</si>
  <si>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</si>
  <si>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</si>
  <si>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</si>
  <si>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</si>
  <si>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</si>
  <si>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</si>
  <si>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</si>
  <si>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</si>
  <si>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</si>
  <si>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</si>
  <si>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</si>
  <si>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</si>
  <si>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Min Temp</t>
  </si>
  <si>
    <t>Max Temp</t>
  </si>
  <si>
    <t>Dew point, Maximum and Minimum temperatures for the year 2012 for Pune (43063)</t>
  </si>
  <si>
    <t>03 UTC</t>
  </si>
  <si>
    <t>12 UTC</t>
  </si>
  <si>
    <t>RF</t>
  </si>
  <si>
    <t>Rainfall, Maximum and Minimum temperatures for the year 2012 for Pune (43063)</t>
  </si>
  <si>
    <t>(mm)</t>
  </si>
  <si>
    <t>(°C)</t>
  </si>
  <si>
    <t>Rainfall Data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</si>
  <si>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</si>
  <si>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</si>
  <si>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</si>
  <si>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</si>
  <si>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</si>
  <si>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</si>
  <si>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</si>
  <si>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</si>
  <si>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</si>
  <si>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</si>
  <si>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</si>
  <si>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</si>
  <si>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Meam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</si>
  <si>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</si>
  <si>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</si>
  <si>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</si>
  <si>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</si>
  <si>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</si>
  <si>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</si>
  <si>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</si>
  <si>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</si>
  <si>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</si>
  <si>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</si>
  <si>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</si>
  <si>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</si>
  <si>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</si>
  <si>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</si>
  <si>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</si>
  <si>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</si>
  <si>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</si>
  <si>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</si>
  <si>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total;</t>
  </si>
  <si>
    <t>min</t>
  </si>
  <si>
    <t>max</t>
  </si>
  <si>
    <t>avg min</t>
  </si>
  <si>
    <t>avg max</t>
  </si>
  <si>
    <t>Total Rainfall</t>
  </si>
  <si>
    <t>MAX TEMP</t>
  </si>
  <si>
    <t>MIN TEMP</t>
  </si>
  <si>
    <t xml:space="preserve"> </t>
  </si>
  <si>
    <t>INDEX</t>
  </si>
  <si>
    <t>: Index Number of the station</t>
  </si>
  <si>
    <t>MN</t>
  </si>
  <si>
    <t>: Month</t>
  </si>
  <si>
    <t>MMAX</t>
  </si>
  <si>
    <r>
      <t xml:space="preserve">: Mean Maximum temperature in </t>
    </r>
    <r>
      <rPr>
        <b/>
        <vertAlign val="superscript"/>
        <sz val="10"/>
        <rFont val="Arial"/>
        <family val="2"/>
      </rPr>
      <t>0</t>
    </r>
    <r>
      <rPr>
        <b/>
        <sz val="10"/>
        <rFont val="Arial"/>
        <family val="2"/>
      </rPr>
      <t>C</t>
    </r>
  </si>
  <si>
    <t>NO</t>
  </si>
  <si>
    <t>: No. of observations in the month</t>
  </si>
  <si>
    <t>HMAX</t>
  </si>
  <si>
    <r>
      <t xml:space="preserve">: Highest maximum temperature in </t>
    </r>
    <r>
      <rPr>
        <b/>
        <vertAlign val="superscript"/>
        <sz val="10"/>
        <rFont val="Arial"/>
        <family val="2"/>
      </rPr>
      <t>0</t>
    </r>
    <r>
      <rPr>
        <b/>
        <sz val="10"/>
        <rFont val="Arial"/>
        <family val="2"/>
      </rPr>
      <t>C</t>
    </r>
  </si>
  <si>
    <t>DT</t>
  </si>
  <si>
    <t>: Date</t>
  </si>
  <si>
    <t>OC</t>
  </si>
  <si>
    <t>: No. of occassions</t>
  </si>
  <si>
    <t>MMIN</t>
  </si>
  <si>
    <r>
      <t xml:space="preserve">: Mean Minimum temperature in </t>
    </r>
    <r>
      <rPr>
        <b/>
        <vertAlign val="superscript"/>
        <sz val="10"/>
        <rFont val="Arial"/>
        <family val="2"/>
      </rPr>
      <t>0</t>
    </r>
    <r>
      <rPr>
        <b/>
        <sz val="10"/>
        <rFont val="Arial"/>
        <family val="2"/>
      </rPr>
      <t>C</t>
    </r>
  </si>
  <si>
    <t>LMIN</t>
  </si>
  <si>
    <r>
      <t xml:space="preserve">: Lowest minimum temperature in </t>
    </r>
    <r>
      <rPr>
        <b/>
        <vertAlign val="superscript"/>
        <sz val="10"/>
        <rFont val="Arial"/>
        <family val="2"/>
      </rPr>
      <t>0</t>
    </r>
    <r>
      <rPr>
        <b/>
        <sz val="10"/>
        <rFont val="Arial"/>
        <family val="2"/>
      </rPr>
      <t>C</t>
    </r>
  </si>
  <si>
    <t>TMRF</t>
  </si>
  <si>
    <t>: Total Rainfall in the month in mm</t>
  </si>
  <si>
    <t>HVYRF</t>
  </si>
  <si>
    <t>: Heaviest 24 hrs rainfall in mm</t>
  </si>
  <si>
    <t>RD</t>
  </si>
  <si>
    <t>: No. of Rainydays in the month (days with rainfall &gt; 2.4 mm)</t>
  </si>
  <si>
    <t>YEAR</t>
  </si>
  <si>
    <t>01</t>
  </si>
  <si>
    <t>02</t>
  </si>
  <si>
    <t>04</t>
  </si>
  <si>
    <t>06</t>
  </si>
  <si>
    <t>07</t>
  </si>
  <si>
    <t>08</t>
  </si>
  <si>
    <t xml:space="preserve">jan </t>
  </si>
  <si>
    <t>Date</t>
  </si>
  <si>
    <t>Max. Temp. deg.C</t>
  </si>
  <si>
    <t>Min. Temp.   deg.C</t>
  </si>
  <si>
    <t>Rainfall (mm)</t>
  </si>
  <si>
    <t>MAX temp</t>
  </si>
  <si>
    <t>MIN temp</t>
  </si>
  <si>
    <t>rainfall</t>
  </si>
  <si>
    <t xml:space="preserve">Rainfall, Maximum and Minimum temperatures for the year 2014 for Pune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</si>
</sst>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d\ mmmm\ yyyy"/>
    <numFmt numFmtId="166" formatCode="d\ mmm\ yyyy"/>
  </numFmts>
  <fonts count="1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ourier New"/>
      <family val="3"/>
    </font>
    <font>
      <sz val="11"/>
      <color theme="1"/>
      <name val="Courier New"/>
      <family val="3"/>
    </font>
    <font>
      <b/>
      <sz val="14"/>
      <color theme="1"/>
      <name val="Courier New"/>
      <family val="3"/>
    </font>
    <font>
      <sz val="11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u/>
      <sz val="12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11"/>
      <color rgb="FFFF0000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B0F0"/>
      <name val="Arial"/>
      <family val="2"/>
    </font>
    <font>
      <sz val="11"/>
      <color rgb="FF00B0F0"/>
      <name val="Calibri"/>
      <family val="2"/>
      <scheme val="minor"/>
    </font>
    <font>
      <sz val="11"/>
      <color rgb="FFFF0000"/>
      <name val="Arial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45">
    <xf numFmtId="0" fontId="0" fillId="0" borderId="0" xfId="0"/>
    <xf numFmtId="0" fontId="0" fillId="0" borderId="0" xfId="0" applyAlignment="1"/>
    <xf numFmtId="0" fontId="1" fillId="0" borderId="1" xfId="1" applyFont="1" applyFill="1" applyBorder="1" applyAlignment="1"/>
    <xf numFmtId="15" fontId="1" fillId="0" borderId="1" xfId="1" applyNumberFormat="1" applyFont="1" applyFill="1" applyBorder="1" applyAlignment="1">
      <alignment horizontal="right"/>
    </xf>
    <xf numFmtId="0" fontId="2" fillId="0" borderId="0" xfId="1" applyAlignment="1"/>
    <xf numFmtId="0" fontId="1" fillId="0" borderId="1" xfId="1" applyFont="1" applyFill="1" applyBorder="1" applyAlignment="1">
      <alignment horizontal="right"/>
    </xf>
    <xf numFmtId="0" fontId="1" fillId="2" borderId="2" xfId="1" applyFont="1" applyFill="1" applyBorder="1" applyAlignment="1">
      <alignment horizontal="center"/>
    </xf>
    <xf numFmtId="0" fontId="1" fillId="0" borderId="3" xfId="1" applyFont="1" applyFill="1" applyBorder="1" applyAlignment="1"/>
    <xf numFmtId="15" fontId="1" fillId="0" borderId="3" xfId="1" applyNumberFormat="1" applyFont="1" applyFill="1" applyBorder="1" applyAlignment="1">
      <alignment horizontal="right"/>
    </xf>
    <xf numFmtId="0" fontId="0" fillId="0" borderId="0" xfId="0" pivotButton="1"/>
    <xf numFmtId="0" fontId="0" fillId="0" borderId="0" xfId="0" applyNumberFormat="1"/>
    <xf numFmtId="0" fontId="1" fillId="0" borderId="4" xfId="1" applyNumberFormat="1" applyFont="1" applyFill="1" applyBorder="1" applyAlignment="1"/>
    <xf numFmtId="0" fontId="1" fillId="0" borderId="1" xfId="1" applyNumberFormat="1" applyFont="1" applyFill="1" applyBorder="1" applyAlignment="1"/>
    <xf numFmtId="0" fontId="1" fillId="0" borderId="3" xfId="1" applyNumberFormat="1" applyFont="1" applyFill="1" applyBorder="1" applyAlignment="1"/>
    <xf numFmtId="164" fontId="1" fillId="2" borderId="2" xfId="1" applyNumberFormat="1" applyFont="1" applyFill="1" applyBorder="1" applyAlignment="1">
      <alignment horizontal="center"/>
    </xf>
    <xf numFmtId="164" fontId="1" fillId="0" borderId="4" xfId="1" applyNumberFormat="1" applyFont="1" applyFill="1" applyBorder="1" applyAlignment="1"/>
    <xf numFmtId="164" fontId="1" fillId="0" borderId="1" xfId="1" applyNumberFormat="1" applyFont="1" applyFill="1" applyBorder="1" applyAlignment="1"/>
    <xf numFmtId="164" fontId="1" fillId="0" borderId="3" xfId="1" applyNumberFormat="1" applyFont="1" applyFill="1" applyBorder="1" applyAlignment="1"/>
    <xf numFmtId="164" fontId="0" fillId="0" borderId="0" xfId="0" applyNumberFormat="1" applyAlignment="1"/>
    <xf numFmtId="164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12" xfId="0" applyFont="1" applyBorder="1" applyAlignment="1">
      <alignment horizontal="right" vertical="center" indent="1"/>
    </xf>
    <xf numFmtId="164" fontId="4" fillId="0" borderId="15" xfId="0" applyNumberFormat="1" applyFont="1" applyBorder="1" applyAlignment="1">
      <alignment horizontal="right" vertical="center" indent="1"/>
    </xf>
    <xf numFmtId="164" fontId="4" fillId="0" borderId="16" xfId="0" applyNumberFormat="1" applyFont="1" applyBorder="1" applyAlignment="1">
      <alignment horizontal="right" vertical="center" indent="1"/>
    </xf>
    <xf numFmtId="164" fontId="4" fillId="0" borderId="5" xfId="0" applyNumberFormat="1" applyFont="1" applyBorder="1" applyAlignment="1">
      <alignment horizontal="right" vertical="center" indent="1"/>
    </xf>
    <xf numFmtId="164" fontId="4" fillId="0" borderId="6" xfId="0" applyNumberFormat="1" applyFont="1" applyBorder="1" applyAlignment="1">
      <alignment horizontal="right" vertical="center" indent="1"/>
    </xf>
    <xf numFmtId="0" fontId="4" fillId="0" borderId="13" xfId="0" applyFont="1" applyBorder="1" applyAlignment="1">
      <alignment horizontal="right" vertical="center" indent="1"/>
    </xf>
    <xf numFmtId="164" fontId="4" fillId="0" borderId="7" xfId="0" applyNumberFormat="1" applyFont="1" applyBorder="1" applyAlignment="1">
      <alignment horizontal="right" vertical="center" indent="1"/>
    </xf>
    <xf numFmtId="164" fontId="4" fillId="0" borderId="8" xfId="0" applyNumberFormat="1" applyFont="1" applyBorder="1" applyAlignment="1">
      <alignment horizontal="right" vertical="center" indent="1"/>
    </xf>
    <xf numFmtId="164" fontId="3" fillId="3" borderId="7" xfId="0" applyNumberFormat="1" applyFont="1" applyFill="1" applyBorder="1" applyAlignment="1">
      <alignment horizontal="center" vertical="center" wrapText="1"/>
    </xf>
    <xf numFmtId="164" fontId="3" fillId="3" borderId="8" xfId="0" applyNumberFormat="1" applyFont="1" applyFill="1" applyBorder="1" applyAlignment="1">
      <alignment horizontal="center" vertical="center" wrapText="1"/>
    </xf>
    <xf numFmtId="0" fontId="2" fillId="0" borderId="1" xfId="1" applyBorder="1" applyAlignment="1"/>
    <xf numFmtId="0" fontId="1" fillId="0" borderId="0" xfId="1" applyFont="1" applyFill="1" applyAlignment="1">
      <alignment horizontal="right"/>
    </xf>
    <xf numFmtId="0" fontId="2" fillId="0" borderId="3" xfId="1" applyBorder="1" applyAlignment="1"/>
    <xf numFmtId="164" fontId="4" fillId="0" borderId="21" xfId="0" applyNumberFormat="1" applyFont="1" applyBorder="1" applyAlignment="1">
      <alignment horizontal="right" vertical="center" indent="1"/>
    </xf>
    <xf numFmtId="164" fontId="4" fillId="0" borderId="22" xfId="0" applyNumberFormat="1" applyFont="1" applyBorder="1" applyAlignment="1">
      <alignment horizontal="right" vertical="center" indent="1"/>
    </xf>
    <xf numFmtId="164" fontId="4" fillId="0" borderId="20" xfId="0" applyNumberFormat="1" applyFont="1" applyBorder="1" applyAlignment="1">
      <alignment horizontal="right" vertical="center" indent="1"/>
    </xf>
    <xf numFmtId="0" fontId="4" fillId="0" borderId="23" xfId="0" applyFont="1" applyBorder="1" applyAlignment="1">
      <alignment horizontal="right" vertical="center" indent="1"/>
    </xf>
    <xf numFmtId="164" fontId="3" fillId="3" borderId="25" xfId="0" applyNumberFormat="1" applyFont="1" applyFill="1" applyBorder="1" applyAlignment="1">
      <alignment horizontal="center" vertical="center" wrapText="1"/>
    </xf>
    <xf numFmtId="164" fontId="3" fillId="3" borderId="26" xfId="0" applyNumberFormat="1" applyFont="1" applyFill="1" applyBorder="1" applyAlignment="1">
      <alignment horizontal="center" vertical="center" wrapText="1"/>
    </xf>
    <xf numFmtId="164" fontId="3" fillId="3" borderId="27" xfId="0" applyNumberFormat="1" applyFont="1" applyFill="1" applyBorder="1" applyAlignment="1">
      <alignment horizontal="center" vertical="center" wrapText="1"/>
    </xf>
    <xf numFmtId="164" fontId="3" fillId="3" borderId="31" xfId="0" applyNumberFormat="1" applyFont="1" applyFill="1" applyBorder="1" applyAlignment="1">
      <alignment horizontal="center" vertical="center" wrapText="1"/>
    </xf>
    <xf numFmtId="164" fontId="3" fillId="3" borderId="32" xfId="0" applyNumberFormat="1" applyFont="1" applyFill="1" applyBorder="1" applyAlignment="1">
      <alignment horizontal="center" vertical="center" wrapText="1"/>
    </xf>
    <xf numFmtId="164" fontId="3" fillId="3" borderId="33" xfId="0" applyNumberFormat="1" applyFont="1" applyFill="1" applyBorder="1" applyAlignment="1">
      <alignment horizontal="center" vertical="center" wrapText="1"/>
    </xf>
    <xf numFmtId="165" fontId="6" fillId="0" borderId="12" xfId="0" applyNumberFormat="1" applyFont="1" applyBorder="1" applyAlignment="1" applyProtection="1">
      <protection hidden="1"/>
    </xf>
    <xf numFmtId="164" fontId="0" fillId="0" borderId="0" xfId="0" applyNumberFormat="1"/>
    <xf numFmtId="17" fontId="0" fillId="0" borderId="0" xfId="0" applyNumberFormat="1"/>
    <xf numFmtId="15" fontId="0" fillId="0" borderId="0" xfId="0" applyNumberFormat="1"/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49" fontId="0" fillId="4" borderId="0" xfId="0" applyNumberFormat="1" applyFill="1" applyAlignment="1">
      <alignment horizontal="center"/>
    </xf>
    <xf numFmtId="49" fontId="0" fillId="5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center"/>
    </xf>
    <xf numFmtId="0" fontId="0" fillId="0" borderId="0" xfId="0" applyAlignment="1">
      <alignment horizontal="right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7" fillId="6" borderId="7" xfId="0" applyNumberFormat="1" applyFont="1" applyFill="1" applyBorder="1" applyAlignment="1">
      <alignment horizontal="center" vertical="center"/>
    </xf>
    <xf numFmtId="164" fontId="7" fillId="6" borderId="20" xfId="0" applyNumberFormat="1" applyFont="1" applyFill="1" applyBorder="1" applyAlignment="1">
      <alignment horizontal="center" vertical="center"/>
    </xf>
    <xf numFmtId="164" fontId="7" fillId="6" borderId="8" xfId="0" applyNumberFormat="1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0" fillId="0" borderId="39" xfId="0" applyBorder="1" applyAlignment="1">
      <alignment vertical="center"/>
    </xf>
    <xf numFmtId="164" fontId="0" fillId="0" borderId="15" xfId="0" applyNumberFormat="1" applyBorder="1" applyAlignment="1">
      <alignment vertical="center"/>
    </xf>
    <xf numFmtId="164" fontId="0" fillId="0" borderId="21" xfId="0" applyNumberFormat="1" applyBorder="1" applyAlignment="1">
      <alignment vertical="center"/>
    </xf>
    <xf numFmtId="164" fontId="0" fillId="0" borderId="16" xfId="0" applyNumberFormat="1" applyBorder="1" applyAlignment="1">
      <alignment vertical="center"/>
    </xf>
    <xf numFmtId="0" fontId="7" fillId="6" borderId="5" xfId="0" applyFont="1" applyFill="1" applyBorder="1" applyAlignment="1">
      <alignment vertical="center"/>
    </xf>
    <xf numFmtId="0" fontId="0" fillId="6" borderId="40" xfId="0" applyFill="1" applyBorder="1" applyAlignment="1">
      <alignment vertical="center"/>
    </xf>
    <xf numFmtId="164" fontId="0" fillId="6" borderId="5" xfId="0" applyNumberFormat="1" applyFill="1" applyBorder="1" applyAlignment="1">
      <alignment vertical="center"/>
    </xf>
    <xf numFmtId="164" fontId="0" fillId="6" borderId="22" xfId="0" applyNumberFormat="1" applyFill="1" applyBorder="1" applyAlignment="1">
      <alignment vertical="center"/>
    </xf>
    <xf numFmtId="164" fontId="0" fillId="6" borderId="6" xfId="0" applyNumberFormat="1" applyFill="1" applyBorder="1" applyAlignment="1">
      <alignment vertical="center"/>
    </xf>
    <xf numFmtId="0" fontId="7" fillId="0" borderId="5" xfId="0" applyFont="1" applyBorder="1" applyAlignment="1">
      <alignment vertical="center"/>
    </xf>
    <xf numFmtId="0" fontId="0" fillId="0" borderId="40" xfId="0" applyBorder="1" applyAlignment="1">
      <alignment vertical="center"/>
    </xf>
    <xf numFmtId="164" fontId="0" fillId="0" borderId="5" xfId="0" applyNumberFormat="1" applyBorder="1" applyAlignment="1">
      <alignment vertical="center"/>
    </xf>
    <xf numFmtId="164" fontId="0" fillId="0" borderId="22" xfId="0" applyNumberFormat="1" applyBorder="1" applyAlignment="1">
      <alignment vertical="center"/>
    </xf>
    <xf numFmtId="164" fontId="0" fillId="0" borderId="6" xfId="0" applyNumberForma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0" fillId="0" borderId="38" xfId="0" applyBorder="1" applyAlignment="1">
      <alignment vertical="center"/>
    </xf>
    <xf numFmtId="164" fontId="0" fillId="0" borderId="7" xfId="0" applyNumberFormat="1" applyBorder="1" applyAlignment="1">
      <alignment vertical="center"/>
    </xf>
    <xf numFmtId="164" fontId="0" fillId="0" borderId="20" xfId="0" applyNumberFormat="1" applyBorder="1" applyAlignment="1">
      <alignment vertical="center"/>
    </xf>
    <xf numFmtId="164" fontId="0" fillId="0" borderId="8" xfId="0" applyNumberFormat="1" applyBorder="1" applyAlignment="1">
      <alignment vertical="center"/>
    </xf>
    <xf numFmtId="164" fontId="0" fillId="6" borderId="41" xfId="0" applyNumberForma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164" fontId="8" fillId="0" borderId="0" xfId="0" applyNumberFormat="1" applyFont="1" applyFill="1" applyAlignment="1">
      <alignment vertical="center"/>
    </xf>
    <xf numFmtId="164" fontId="8" fillId="5" borderId="0" xfId="0" applyNumberFormat="1" applyFont="1" applyFill="1"/>
    <xf numFmtId="0" fontId="8" fillId="0" borderId="0" xfId="0" applyFont="1"/>
    <xf numFmtId="164" fontId="8" fillId="0" borderId="0" xfId="0" applyNumberFormat="1" applyFont="1" applyFill="1"/>
    <xf numFmtId="164" fontId="8" fillId="0" borderId="0" xfId="0" applyNumberFormat="1" applyFont="1"/>
    <xf numFmtId="49" fontId="9" fillId="0" borderId="0" xfId="0" applyNumberFormat="1" applyFont="1"/>
    <xf numFmtId="0" fontId="9" fillId="0" borderId="0" xfId="0" applyFont="1"/>
    <xf numFmtId="164" fontId="9" fillId="0" borderId="0" xfId="0" applyNumberFormat="1" applyFont="1" applyFill="1"/>
    <xf numFmtId="164" fontId="9" fillId="5" borderId="0" xfId="0" applyNumberFormat="1" applyFont="1" applyFill="1"/>
    <xf numFmtId="164" fontId="0" fillId="0" borderId="0" xfId="0" applyNumberFormat="1" applyFill="1"/>
    <xf numFmtId="164" fontId="0" fillId="5" borderId="0" xfId="0" applyNumberFormat="1" applyFill="1"/>
    <xf numFmtId="49" fontId="9" fillId="0" borderId="42" xfId="0" applyNumberFormat="1" applyFont="1" applyBorder="1" applyAlignment="1">
      <alignment horizontal="center"/>
    </xf>
    <xf numFmtId="164" fontId="9" fillId="0" borderId="42" xfId="0" applyNumberFormat="1" applyFont="1" applyFill="1" applyBorder="1" applyAlignment="1">
      <alignment horizontal="center"/>
    </xf>
    <xf numFmtId="0" fontId="9" fillId="0" borderId="42" xfId="0" applyFont="1" applyBorder="1" applyAlignment="1">
      <alignment horizontal="center"/>
    </xf>
    <xf numFmtId="164" fontId="9" fillId="5" borderId="42" xfId="0" applyNumberFormat="1" applyFont="1" applyFill="1" applyBorder="1" applyAlignment="1">
      <alignment horizontal="center"/>
    </xf>
    <xf numFmtId="164" fontId="9" fillId="0" borderId="42" xfId="0" applyNumberFormat="1" applyFont="1" applyBorder="1" applyAlignment="1">
      <alignment horizontal="center"/>
    </xf>
    <xf numFmtId="164" fontId="0" fillId="0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12" fillId="0" borderId="0" xfId="0" applyFont="1" applyBorder="1" applyAlignment="1">
      <alignment horizontal="right"/>
    </xf>
    <xf numFmtId="164" fontId="13" fillId="0" borderId="0" xfId="0" applyNumberFormat="1" applyFont="1" applyAlignment="1">
      <alignment horizontal="center"/>
    </xf>
    <xf numFmtId="166" fontId="6" fillId="0" borderId="0" xfId="0" applyNumberFormat="1" applyFont="1" applyBorder="1" applyAlignment="1" applyProtection="1">
      <protection hidden="1"/>
    </xf>
    <xf numFmtId="164" fontId="14" fillId="0" borderId="0" xfId="0" applyNumberFormat="1" applyFont="1" applyAlignment="1">
      <alignment horizontal="center"/>
    </xf>
    <xf numFmtId="164" fontId="14" fillId="0" borderId="0" xfId="0" applyNumberFormat="1" applyFont="1"/>
    <xf numFmtId="164" fontId="15" fillId="0" borderId="0" xfId="0" applyNumberFormat="1" applyFont="1" applyAlignment="1">
      <alignment horizontal="center"/>
    </xf>
    <xf numFmtId="164" fontId="16" fillId="0" borderId="0" xfId="0" applyNumberFormat="1" applyFont="1"/>
    <xf numFmtId="0" fontId="16" fillId="0" borderId="0" xfId="0" applyFont="1"/>
    <xf numFmtId="164" fontId="15" fillId="0" borderId="0" xfId="0" applyNumberFormat="1" applyFont="1"/>
    <xf numFmtId="164" fontId="11" fillId="0" borderId="0" xfId="0" applyNumberFormat="1" applyFont="1"/>
    <xf numFmtId="164" fontId="13" fillId="0" borderId="0" xfId="0" applyNumberFormat="1" applyFont="1" applyAlignment="1">
      <alignment horizontal="center" wrapText="1"/>
    </xf>
    <xf numFmtId="0" fontId="12" fillId="0" borderId="0" xfId="0" applyFont="1" applyBorder="1" applyAlignment="1">
      <alignment horizontal="right" wrapText="1"/>
    </xf>
    <xf numFmtId="164" fontId="17" fillId="0" borderId="0" xfId="0" applyNumberFormat="1" applyFont="1" applyAlignment="1">
      <alignment horizontal="center"/>
    </xf>
    <xf numFmtId="164" fontId="0" fillId="0" borderId="0" xfId="0" applyNumberFormat="1" applyFont="1"/>
    <xf numFmtId="164" fontId="18" fillId="0" borderId="0" xfId="0" applyNumberFormat="1" applyFont="1"/>
    <xf numFmtId="0" fontId="7" fillId="0" borderId="0" xfId="0" applyFont="1"/>
    <xf numFmtId="164" fontId="7" fillId="0" borderId="0" xfId="0" applyNumberFormat="1" applyFont="1"/>
    <xf numFmtId="164" fontId="3" fillId="3" borderId="12" xfId="0" applyNumberFormat="1" applyFont="1" applyFill="1" applyBorder="1" applyAlignment="1">
      <alignment horizontal="center" vertical="center"/>
    </xf>
    <xf numFmtId="0" fontId="3" fillId="3" borderId="14" xfId="0" applyFont="1" applyFill="1" applyBorder="1"/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/>
    <xf numFmtId="0" fontId="3" fillId="3" borderId="19" xfId="0" applyFont="1" applyFill="1" applyBorder="1"/>
    <xf numFmtId="164" fontId="3" fillId="3" borderId="11" xfId="0" applyNumberFormat="1" applyFont="1" applyFill="1" applyBorder="1" applyAlignment="1">
      <alignment horizontal="center" vertical="center"/>
    </xf>
    <xf numFmtId="0" fontId="3" fillId="3" borderId="9" xfId="0" applyFont="1" applyFill="1" applyBorder="1"/>
    <xf numFmtId="0" fontId="3" fillId="3" borderId="10" xfId="0" applyFont="1" applyFill="1" applyBorder="1"/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164" fontId="3" fillId="3" borderId="28" xfId="0" applyNumberFormat="1" applyFont="1" applyFill="1" applyBorder="1" applyAlignment="1">
      <alignment horizontal="center" vertical="center"/>
    </xf>
    <xf numFmtId="164" fontId="3" fillId="3" borderId="29" xfId="0" applyNumberFormat="1" applyFont="1" applyFill="1" applyBorder="1"/>
    <xf numFmtId="164" fontId="3" fillId="3" borderId="30" xfId="0" applyNumberFormat="1" applyFont="1" applyFill="1" applyBorder="1"/>
    <xf numFmtId="164" fontId="7" fillId="6" borderId="34" xfId="0" applyNumberFormat="1" applyFont="1" applyFill="1" applyBorder="1" applyAlignment="1">
      <alignment horizontal="center" vertical="center"/>
    </xf>
    <xf numFmtId="164" fontId="7" fillId="6" borderId="36" xfId="0" applyNumberFormat="1" applyFont="1" applyFill="1" applyBorder="1" applyAlignment="1">
      <alignment horizontal="center" vertical="center"/>
    </xf>
    <xf numFmtId="164" fontId="7" fillId="6" borderId="37" xfId="0" applyNumberFormat="1" applyFont="1" applyFill="1" applyBorder="1" applyAlignment="1">
      <alignment horizontal="center" vertical="center"/>
    </xf>
    <xf numFmtId="0" fontId="7" fillId="6" borderId="34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7" fillId="6" borderId="35" xfId="0" applyFont="1" applyFill="1" applyBorder="1" applyAlignment="1">
      <alignment horizontal="center" vertical="center"/>
    </xf>
    <xf numFmtId="0" fontId="7" fillId="6" borderId="38" xfId="0" applyFont="1" applyFill="1" applyBorder="1" applyAlignment="1">
      <alignment horizontal="center" vertical="center"/>
    </xf>
  </cellXfs>
  <cellStyles count="2">
    <cellStyle name="Normal" xfId="0" builtinId="0"/>
    <cellStyle name="Normal_Sheet1" xfId="1"/>
  </cellStyles>
  <dxfs count="171"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b/>
        <i val="0"/>
        <color rgb="FFFFFFFF"/>
      </font>
      <fill>
        <patternFill>
          <bgColor rgb="FFFF0000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relative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0" formatCode="dd\-mmm\-yy"/>
      <fill>
        <patternFill patternType="none">
          <fgColor indexed="64"/>
          <bgColor indexed="65"/>
        </patternFill>
      </fill>
      <alignment horizontal="right" vertical="bottom" textRotation="0" wrapText="0" relative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8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IN"/>
            </a:pPr>
            <a:r>
              <a:rPr lang="en-US" sz="1800" b="1" i="0" baseline="0"/>
              <a:t>Year-wise Total Rainfall (in mm.)</a:t>
            </a:r>
            <a:endParaRPr lang="en-IN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1896742392860345E-2"/>
          <c:y val="0.12002887602066153"/>
          <c:w val="0.88978484807170199"/>
          <c:h val="0.69025693132656918"/>
        </c:manualLayout>
      </c:layout>
      <c:lineChart>
        <c:grouping val="standard"/>
        <c:varyColors val="0"/>
        <c:ser>
          <c:idx val="0"/>
          <c:order val="0"/>
          <c:tx>
            <c:strRef>
              <c:f>'graphs2014-15'!$J$57</c:f>
              <c:strCache>
                <c:ptCount val="1"/>
                <c:pt idx="0">
                  <c:v>Total Rainfall</c:v>
                </c:pt>
              </c:strCache>
            </c:strRef>
          </c:tx>
          <c:cat>
            <c:numRef>
              <c:f>'graphs2014-15'!$I$58:$I$91</c:f>
              <c:numCache>
                <c:formatCode>General</c:formatCode>
                <c:ptCount val="34"/>
                <c:pt idx="0">
                  <c:v>1981</c:v>
                </c:pt>
                <c:pt idx="1">
                  <c:v>1982</c:v>
                </c:pt>
                <c:pt idx="2">
                  <c:v>1983</c:v>
                </c:pt>
                <c:pt idx="3">
                  <c:v>1984</c:v>
                </c:pt>
                <c:pt idx="4">
                  <c:v>1985</c:v>
                </c:pt>
                <c:pt idx="5">
                  <c:v>1986</c:v>
                </c:pt>
                <c:pt idx="6">
                  <c:v>1987</c:v>
                </c:pt>
                <c:pt idx="7">
                  <c:v>1988</c:v>
                </c:pt>
                <c:pt idx="8">
                  <c:v>1989</c:v>
                </c:pt>
                <c:pt idx="9">
                  <c:v>1990</c:v>
                </c:pt>
                <c:pt idx="10">
                  <c:v>1991</c:v>
                </c:pt>
                <c:pt idx="11">
                  <c:v>1992</c:v>
                </c:pt>
                <c:pt idx="12">
                  <c:v>1993</c:v>
                </c:pt>
                <c:pt idx="13">
                  <c:v>1994</c:v>
                </c:pt>
                <c:pt idx="14">
                  <c:v>1995</c:v>
                </c:pt>
                <c:pt idx="15">
                  <c:v>1996</c:v>
                </c:pt>
                <c:pt idx="16">
                  <c:v>1997</c:v>
                </c:pt>
                <c:pt idx="17">
                  <c:v>1998</c:v>
                </c:pt>
                <c:pt idx="18">
                  <c:v>1999</c:v>
                </c:pt>
                <c:pt idx="19">
                  <c:v>2000</c:v>
                </c:pt>
                <c:pt idx="20">
                  <c:v>2001</c:v>
                </c:pt>
                <c:pt idx="21">
                  <c:v>2002</c:v>
                </c:pt>
                <c:pt idx="22">
                  <c:v>2003</c:v>
                </c:pt>
                <c:pt idx="23">
                  <c:v>2004</c:v>
                </c:pt>
                <c:pt idx="24">
                  <c:v>2005</c:v>
                </c:pt>
                <c:pt idx="25">
                  <c:v>2006</c:v>
                </c:pt>
                <c:pt idx="26">
                  <c:v>2007</c:v>
                </c:pt>
                <c:pt idx="27">
                  <c:v>2008</c:v>
                </c:pt>
                <c:pt idx="28">
                  <c:v>2009</c:v>
                </c:pt>
                <c:pt idx="29">
                  <c:v>2010</c:v>
                </c:pt>
                <c:pt idx="30">
                  <c:v>2011</c:v>
                </c:pt>
                <c:pt idx="31">
                  <c:v>2012</c:v>
                </c:pt>
                <c:pt idx="32">
                  <c:v>2013</c:v>
                </c:pt>
                <c:pt idx="33">
                  <c:v>2014</c:v>
                </c:pt>
              </c:numCache>
            </c:numRef>
          </c:cat>
          <c:val>
            <c:numRef>
              <c:f>'graphs2014-15'!$J$58:$J$91</c:f>
              <c:numCache>
                <c:formatCode>General</c:formatCode>
                <c:ptCount val="34"/>
                <c:pt idx="0">
                  <c:v>792.5</c:v>
                </c:pt>
                <c:pt idx="1">
                  <c:v>551.80000000000007</c:v>
                </c:pt>
                <c:pt idx="2">
                  <c:v>762.1</c:v>
                </c:pt>
                <c:pt idx="3">
                  <c:v>906.3</c:v>
                </c:pt>
                <c:pt idx="4" formatCode="0.0">
                  <c:v>629.09999999999991</c:v>
                </c:pt>
                <c:pt idx="5">
                  <c:v>570.1</c:v>
                </c:pt>
                <c:pt idx="6">
                  <c:v>718.9</c:v>
                </c:pt>
                <c:pt idx="7" formatCode="0.0">
                  <c:v>946</c:v>
                </c:pt>
                <c:pt idx="8">
                  <c:v>668.6</c:v>
                </c:pt>
                <c:pt idx="9">
                  <c:v>902.4</c:v>
                </c:pt>
                <c:pt idx="10">
                  <c:v>1013.3</c:v>
                </c:pt>
                <c:pt idx="11">
                  <c:v>640.70000000000005</c:v>
                </c:pt>
                <c:pt idx="12">
                  <c:v>743.1</c:v>
                </c:pt>
                <c:pt idx="13">
                  <c:v>966.2</c:v>
                </c:pt>
                <c:pt idx="14">
                  <c:v>627.6</c:v>
                </c:pt>
                <c:pt idx="15">
                  <c:v>803.9</c:v>
                </c:pt>
                <c:pt idx="16">
                  <c:v>1025.8</c:v>
                </c:pt>
                <c:pt idx="17">
                  <c:v>800.7</c:v>
                </c:pt>
                <c:pt idx="18">
                  <c:v>732.7</c:v>
                </c:pt>
                <c:pt idx="19">
                  <c:v>558.29999999999995</c:v>
                </c:pt>
                <c:pt idx="20">
                  <c:v>548.6</c:v>
                </c:pt>
                <c:pt idx="21">
                  <c:v>424.7</c:v>
                </c:pt>
                <c:pt idx="22" formatCode="0.0">
                  <c:v>459</c:v>
                </c:pt>
                <c:pt idx="23">
                  <c:v>913.3</c:v>
                </c:pt>
                <c:pt idx="24">
                  <c:v>1338.4</c:v>
                </c:pt>
                <c:pt idx="25">
                  <c:v>1266.9000000000001</c:v>
                </c:pt>
                <c:pt idx="26">
                  <c:v>864.5</c:v>
                </c:pt>
                <c:pt idx="27">
                  <c:v>756.6</c:v>
                </c:pt>
                <c:pt idx="28">
                  <c:v>823.2</c:v>
                </c:pt>
                <c:pt idx="29">
                  <c:v>1058.3</c:v>
                </c:pt>
                <c:pt idx="30">
                  <c:v>941.5</c:v>
                </c:pt>
                <c:pt idx="31">
                  <c:v>519.40000000000009</c:v>
                </c:pt>
                <c:pt idx="32">
                  <c:v>774.1</c:v>
                </c:pt>
                <c:pt idx="33">
                  <c:v>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E4-4E1F-A663-304CBCD5D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264320"/>
        <c:axId val="97522048"/>
      </c:lineChart>
      <c:catAx>
        <c:axId val="92264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/>
                </a:pPr>
                <a:r>
                  <a:rPr lang="en-US" sz="1400">
                    <a:latin typeface="Times New Roman" pitchFamily="18" charset="0"/>
                    <a:cs typeface="Times New Roman" pitchFamily="18" charset="0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lang="en-IN" sz="1200" baseline="0">
                <a:latin typeface="Times New Roman" pitchFamily="18" charset="0"/>
              </a:defRPr>
            </a:pPr>
            <a:endParaRPr lang="en-US"/>
          </a:p>
        </c:txPr>
        <c:crossAx val="97522048"/>
        <c:crosses val="autoZero"/>
        <c:auto val="1"/>
        <c:lblAlgn val="ctr"/>
        <c:lblOffset val="100"/>
        <c:noMultiLvlLbl val="0"/>
      </c:catAx>
      <c:valAx>
        <c:axId val="975220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lang="en-US"/>
                </a:pPr>
                <a:r>
                  <a:rPr lang="en-US" sz="1400">
                    <a:latin typeface="Times New Roman" pitchFamily="18" charset="0"/>
                    <a:cs typeface="Times New Roman" pitchFamily="18" charset="0"/>
                  </a:rPr>
                  <a:t>Rainfall (in</a:t>
                </a:r>
                <a:r>
                  <a:rPr lang="en-US" sz="1400" baseline="0">
                    <a:latin typeface="Times New Roman" pitchFamily="18" charset="0"/>
                    <a:cs typeface="Times New Roman" pitchFamily="18" charset="0"/>
                  </a:rPr>
                  <a:t> mm.)</a:t>
                </a:r>
                <a:endParaRPr lang="en-US" sz="14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1.4799391432089946E-2"/>
              <c:y val="0.2985968311397438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IN" sz="1200" baseline="0">
                <a:latin typeface="Times New Roman" pitchFamily="18" charset="0"/>
              </a:defRPr>
            </a:pPr>
            <a:endParaRPr lang="en-US"/>
          </a:p>
        </c:txPr>
        <c:crossAx val="92264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1247903116638867"/>
          <c:y val="0.92676954909518761"/>
          <c:w val="0.26753639150361197"/>
          <c:h val="5.1582644469386332E-2"/>
        </c:manualLayout>
      </c:layout>
      <c:overlay val="0"/>
      <c:txPr>
        <a:bodyPr/>
        <a:lstStyle/>
        <a:p>
          <a:pPr>
            <a:defRPr lang="en-IN" sz="1200" baseline="0">
              <a:latin typeface="Times New Roman" pitchFamily="18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 sz="1600" baseline="0"/>
              <a:t>Graphical Presentation for Highest Maximum Temp &amp; Lowest Minimum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686394662612971"/>
          <c:y val="0.15830415871170891"/>
          <c:w val="0.8461150604462031"/>
          <c:h val="0.57649052330093031"/>
        </c:manualLayout>
      </c:layout>
      <c:lineChart>
        <c:grouping val="standard"/>
        <c:varyColors val="0"/>
        <c:ser>
          <c:idx val="0"/>
          <c:order val="0"/>
          <c:tx>
            <c:strRef>
              <c:f>'graphs2014-15'!$I$103</c:f>
              <c:strCache>
                <c:ptCount val="1"/>
                <c:pt idx="0">
                  <c:v>MAX TEMP</c:v>
                </c:pt>
              </c:strCache>
            </c:strRef>
          </c:tx>
          <c:marker>
            <c:symbol val="none"/>
          </c:marker>
          <c:cat>
            <c:numRef>
              <c:f>'graphs2014-15'!$H$104:$H$139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cat>
          <c:val>
            <c:numRef>
              <c:f>'graphs2014-15'!$I$104:$I$139</c:f>
              <c:numCache>
                <c:formatCode>General</c:formatCode>
                <c:ptCount val="36"/>
                <c:pt idx="0">
                  <c:v>41.5</c:v>
                </c:pt>
                <c:pt idx="1">
                  <c:v>40.700000000000003</c:v>
                </c:pt>
                <c:pt idx="2">
                  <c:v>42.1</c:v>
                </c:pt>
                <c:pt idx="3">
                  <c:v>40</c:v>
                </c:pt>
                <c:pt idx="4">
                  <c:v>42.5</c:v>
                </c:pt>
                <c:pt idx="5">
                  <c:v>41.3</c:v>
                </c:pt>
                <c:pt idx="6">
                  <c:v>41.9</c:v>
                </c:pt>
                <c:pt idx="7">
                  <c:v>40.5</c:v>
                </c:pt>
                <c:pt idx="8">
                  <c:v>41.6</c:v>
                </c:pt>
                <c:pt idx="9">
                  <c:v>41.8</c:v>
                </c:pt>
                <c:pt idx="10">
                  <c:v>41.3</c:v>
                </c:pt>
                <c:pt idx="11">
                  <c:v>41.3</c:v>
                </c:pt>
                <c:pt idx="12">
                  <c:v>41.5</c:v>
                </c:pt>
                <c:pt idx="13">
                  <c:v>40.4</c:v>
                </c:pt>
                <c:pt idx="14">
                  <c:v>41.6</c:v>
                </c:pt>
                <c:pt idx="15">
                  <c:v>40.6</c:v>
                </c:pt>
                <c:pt idx="16">
                  <c:v>40.700000000000003</c:v>
                </c:pt>
                <c:pt idx="17">
                  <c:v>41.1</c:v>
                </c:pt>
                <c:pt idx="18">
                  <c:v>40</c:v>
                </c:pt>
                <c:pt idx="19">
                  <c:v>42.4</c:v>
                </c:pt>
                <c:pt idx="20">
                  <c:v>41.2</c:v>
                </c:pt>
                <c:pt idx="21">
                  <c:v>41.2</c:v>
                </c:pt>
                <c:pt idx="22">
                  <c:v>42.1</c:v>
                </c:pt>
                <c:pt idx="23">
                  <c:v>42.4</c:v>
                </c:pt>
                <c:pt idx="24">
                  <c:v>42.4</c:v>
                </c:pt>
                <c:pt idx="25">
                  <c:v>41.3</c:v>
                </c:pt>
                <c:pt idx="26">
                  <c:v>41.8</c:v>
                </c:pt>
                <c:pt idx="27">
                  <c:v>40.5</c:v>
                </c:pt>
                <c:pt idx="28">
                  <c:v>41.9</c:v>
                </c:pt>
                <c:pt idx="29">
                  <c:v>42.1</c:v>
                </c:pt>
                <c:pt idx="30">
                  <c:v>41.9</c:v>
                </c:pt>
                <c:pt idx="31">
                  <c:v>41.5</c:v>
                </c:pt>
                <c:pt idx="32">
                  <c:v>40.4</c:v>
                </c:pt>
                <c:pt idx="33">
                  <c:v>39.9</c:v>
                </c:pt>
                <c:pt idx="34">
                  <c:v>41.3</c:v>
                </c:pt>
                <c:pt idx="35">
                  <c:v>40.700000000000003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BF-417F-A94A-CB751C6937EB}"/>
            </c:ext>
          </c:extLst>
        </c:ser>
        <c:ser>
          <c:idx val="1"/>
          <c:order val="1"/>
          <c:tx>
            <c:strRef>
              <c:f>'graphs2014-15'!$J$103</c:f>
              <c:strCache>
                <c:ptCount val="1"/>
                <c:pt idx="0">
                  <c:v>MIN TEMP</c:v>
                </c:pt>
              </c:strCache>
            </c:strRef>
          </c:tx>
          <c:marker>
            <c:symbol val="none"/>
          </c:marker>
          <c:cat>
            <c:numRef>
              <c:f>'graphs2014-15'!$H$104:$H$139</c:f>
              <c:numCache>
                <c:formatCode>General</c:formatCode>
                <c:ptCount val="3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</c:numCache>
            </c:numRef>
          </c:cat>
          <c:val>
            <c:numRef>
              <c:f>'graphs2014-15'!$J$104:$J$139</c:f>
              <c:numCache>
                <c:formatCode>General</c:formatCode>
                <c:ptCount val="36"/>
                <c:pt idx="0">
                  <c:v>6.5</c:v>
                </c:pt>
                <c:pt idx="1">
                  <c:v>7.2</c:v>
                </c:pt>
                <c:pt idx="2">
                  <c:v>4.7</c:v>
                </c:pt>
                <c:pt idx="3">
                  <c:v>8.4</c:v>
                </c:pt>
                <c:pt idx="4">
                  <c:v>6.4</c:v>
                </c:pt>
                <c:pt idx="5">
                  <c:v>5.0999999999999996</c:v>
                </c:pt>
                <c:pt idx="6">
                  <c:v>5.5</c:v>
                </c:pt>
                <c:pt idx="7">
                  <c:v>5.9</c:v>
                </c:pt>
                <c:pt idx="8">
                  <c:v>6.8</c:v>
                </c:pt>
                <c:pt idx="9">
                  <c:v>7.1</c:v>
                </c:pt>
                <c:pt idx="10">
                  <c:v>6.6</c:v>
                </c:pt>
                <c:pt idx="11">
                  <c:v>6.7</c:v>
                </c:pt>
                <c:pt idx="12">
                  <c:v>2.8</c:v>
                </c:pt>
                <c:pt idx="13">
                  <c:v>5.0999999999999996</c:v>
                </c:pt>
                <c:pt idx="14">
                  <c:v>4.5</c:v>
                </c:pt>
                <c:pt idx="15">
                  <c:v>4.4000000000000004</c:v>
                </c:pt>
                <c:pt idx="16">
                  <c:v>6.8</c:v>
                </c:pt>
                <c:pt idx="17">
                  <c:v>6.1</c:v>
                </c:pt>
                <c:pt idx="18">
                  <c:v>4.7</c:v>
                </c:pt>
                <c:pt idx="19">
                  <c:v>6.1</c:v>
                </c:pt>
                <c:pt idx="20">
                  <c:v>6.9</c:v>
                </c:pt>
                <c:pt idx="21">
                  <c:v>5.6</c:v>
                </c:pt>
                <c:pt idx="22">
                  <c:v>7.3</c:v>
                </c:pt>
                <c:pt idx="23">
                  <c:v>5.5</c:v>
                </c:pt>
                <c:pt idx="24">
                  <c:v>6.9</c:v>
                </c:pt>
                <c:pt idx="25">
                  <c:v>7.3</c:v>
                </c:pt>
                <c:pt idx="26">
                  <c:v>5.7</c:v>
                </c:pt>
                <c:pt idx="27" formatCode="0.0">
                  <c:v>4.7</c:v>
                </c:pt>
                <c:pt idx="28" formatCode="0.0">
                  <c:v>8.1999999999999993</c:v>
                </c:pt>
                <c:pt idx="29">
                  <c:v>5.8</c:v>
                </c:pt>
                <c:pt idx="30">
                  <c:v>6.5</c:v>
                </c:pt>
                <c:pt idx="31">
                  <c:v>7.3</c:v>
                </c:pt>
                <c:pt idx="32">
                  <c:v>5.3</c:v>
                </c:pt>
                <c:pt idx="33">
                  <c:v>6.6</c:v>
                </c:pt>
                <c:pt idx="34">
                  <c:v>6.8</c:v>
                </c:pt>
                <c:pt idx="35">
                  <c:v>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BF-417F-A94A-CB751C693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543296"/>
        <c:axId val="97545216"/>
      </c:lineChart>
      <c:catAx>
        <c:axId val="97543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/>
                </a:pPr>
                <a:r>
                  <a:rPr lang="en-US" sz="1500" baseline="0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lang="en-US"/>
            </a:pPr>
            <a:endParaRPr lang="en-US"/>
          </a:p>
        </c:txPr>
        <c:crossAx val="97545216"/>
        <c:crosses val="autoZero"/>
        <c:auto val="1"/>
        <c:lblAlgn val="ctr"/>
        <c:lblOffset val="100"/>
        <c:noMultiLvlLbl val="0"/>
      </c:catAx>
      <c:valAx>
        <c:axId val="975452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lang="en-US" sz="1210" baseline="0"/>
                </a:pPr>
                <a:r>
                  <a:rPr lang="en-US" sz="1210" baseline="0"/>
                  <a:t>Temperature (</a:t>
                </a:r>
                <a:r>
                  <a:rPr lang="en-US" sz="1210" baseline="0">
                    <a:latin typeface="Times New Roman"/>
                    <a:cs typeface="Times New Roman"/>
                  </a:rPr>
                  <a:t>ºC)</a:t>
                </a:r>
                <a:endParaRPr lang="en-US" sz="1210" baseline="0"/>
              </a:p>
            </c:rich>
          </c:tx>
          <c:layout>
            <c:manualLayout>
              <c:xMode val="edge"/>
              <c:yMode val="edge"/>
              <c:x val="2.7231961764510766E-2"/>
              <c:y val="0.3138164025793097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97543296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0344" l="0.70000000000000062" r="0.70000000000000062" t="0.750000000000003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/>
              <a:t>Year-wise Total Rainfall (in mm.)</a:t>
            </a:r>
            <a:endParaRPr lang="en-IN" sz="1800" b="1" i="0" baseline="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522161144951224"/>
          <c:y val="0.11591616579166739"/>
          <c:w val="0.81383492157819903"/>
          <c:h val="0.70920537715133669"/>
        </c:manualLayout>
      </c:layout>
      <c:lineChart>
        <c:grouping val="stacked"/>
        <c:varyColors val="0"/>
        <c:ser>
          <c:idx val="0"/>
          <c:order val="0"/>
          <c:tx>
            <c:strRef>
              <c:f>'garphs 2015-16'!$G$3</c:f>
              <c:strCache>
                <c:ptCount val="1"/>
                <c:pt idx="0">
                  <c:v>Total Rainfall</c:v>
                </c:pt>
              </c:strCache>
            </c:strRef>
          </c:tx>
          <c:cat>
            <c:numRef>
              <c:f>'garphs 2015-16'!$F$4:$F$38</c:f>
              <c:numCache>
                <c:formatCode>General</c:formatCode>
                <c:ptCount val="35"/>
                <c:pt idx="0">
                  <c:v>1981</c:v>
                </c:pt>
                <c:pt idx="1">
                  <c:v>1982</c:v>
                </c:pt>
                <c:pt idx="2">
                  <c:v>1983</c:v>
                </c:pt>
                <c:pt idx="3">
                  <c:v>1984</c:v>
                </c:pt>
                <c:pt idx="4">
                  <c:v>1985</c:v>
                </c:pt>
                <c:pt idx="5">
                  <c:v>1986</c:v>
                </c:pt>
                <c:pt idx="6">
                  <c:v>1987</c:v>
                </c:pt>
                <c:pt idx="7">
                  <c:v>1988</c:v>
                </c:pt>
                <c:pt idx="8">
                  <c:v>1989</c:v>
                </c:pt>
                <c:pt idx="9">
                  <c:v>1990</c:v>
                </c:pt>
                <c:pt idx="10">
                  <c:v>1991</c:v>
                </c:pt>
                <c:pt idx="11">
                  <c:v>1992</c:v>
                </c:pt>
                <c:pt idx="12">
                  <c:v>1993</c:v>
                </c:pt>
                <c:pt idx="13">
                  <c:v>1994</c:v>
                </c:pt>
                <c:pt idx="14">
                  <c:v>1995</c:v>
                </c:pt>
                <c:pt idx="15">
                  <c:v>1996</c:v>
                </c:pt>
                <c:pt idx="16">
                  <c:v>1997</c:v>
                </c:pt>
                <c:pt idx="17">
                  <c:v>1998</c:v>
                </c:pt>
                <c:pt idx="18">
                  <c:v>1999</c:v>
                </c:pt>
                <c:pt idx="19">
                  <c:v>2000</c:v>
                </c:pt>
                <c:pt idx="20">
                  <c:v>2001</c:v>
                </c:pt>
                <c:pt idx="21">
                  <c:v>2002</c:v>
                </c:pt>
                <c:pt idx="22">
                  <c:v>2003</c:v>
                </c:pt>
                <c:pt idx="23">
                  <c:v>2004</c:v>
                </c:pt>
                <c:pt idx="24">
                  <c:v>2005</c:v>
                </c:pt>
                <c:pt idx="25">
                  <c:v>2006</c:v>
                </c:pt>
                <c:pt idx="26">
                  <c:v>2007</c:v>
                </c:pt>
                <c:pt idx="27">
                  <c:v>2008</c:v>
                </c:pt>
                <c:pt idx="28">
                  <c:v>2009</c:v>
                </c:pt>
                <c:pt idx="29">
                  <c:v>2010</c:v>
                </c:pt>
                <c:pt idx="30">
                  <c:v>2011</c:v>
                </c:pt>
                <c:pt idx="31">
                  <c:v>2012</c:v>
                </c:pt>
                <c:pt idx="32">
                  <c:v>2013</c:v>
                </c:pt>
                <c:pt idx="33">
                  <c:v>2014</c:v>
                </c:pt>
                <c:pt idx="34">
                  <c:v>2015</c:v>
                </c:pt>
              </c:numCache>
            </c:numRef>
          </c:cat>
          <c:val>
            <c:numRef>
              <c:f>'garphs 2015-16'!$G$4:$G$38</c:f>
              <c:numCache>
                <c:formatCode>General</c:formatCode>
                <c:ptCount val="35"/>
                <c:pt idx="0">
                  <c:v>792.5</c:v>
                </c:pt>
                <c:pt idx="1">
                  <c:v>551.80000000000007</c:v>
                </c:pt>
                <c:pt idx="2">
                  <c:v>762.1</c:v>
                </c:pt>
                <c:pt idx="3">
                  <c:v>906.3</c:v>
                </c:pt>
                <c:pt idx="4" formatCode="0.0">
                  <c:v>629.09999999999991</c:v>
                </c:pt>
                <c:pt idx="5">
                  <c:v>570.1</c:v>
                </c:pt>
                <c:pt idx="6">
                  <c:v>718.9</c:v>
                </c:pt>
                <c:pt idx="7" formatCode="0.0">
                  <c:v>946</c:v>
                </c:pt>
                <c:pt idx="8">
                  <c:v>668.6</c:v>
                </c:pt>
                <c:pt idx="9">
                  <c:v>902.4</c:v>
                </c:pt>
                <c:pt idx="10">
                  <c:v>1013.3</c:v>
                </c:pt>
                <c:pt idx="11">
                  <c:v>640.70000000000005</c:v>
                </c:pt>
                <c:pt idx="12">
                  <c:v>743.1</c:v>
                </c:pt>
                <c:pt idx="13">
                  <c:v>966.2</c:v>
                </c:pt>
                <c:pt idx="14">
                  <c:v>627.6</c:v>
                </c:pt>
                <c:pt idx="15">
                  <c:v>803.9</c:v>
                </c:pt>
                <c:pt idx="16">
                  <c:v>1025.8</c:v>
                </c:pt>
                <c:pt idx="17">
                  <c:v>800.7</c:v>
                </c:pt>
                <c:pt idx="18">
                  <c:v>732.7</c:v>
                </c:pt>
                <c:pt idx="19">
                  <c:v>558.29999999999995</c:v>
                </c:pt>
                <c:pt idx="20">
                  <c:v>548.6</c:v>
                </c:pt>
                <c:pt idx="21">
                  <c:v>424.7</c:v>
                </c:pt>
                <c:pt idx="22" formatCode="0.0">
                  <c:v>459</c:v>
                </c:pt>
                <c:pt idx="23">
                  <c:v>913.3</c:v>
                </c:pt>
                <c:pt idx="24">
                  <c:v>1338.4</c:v>
                </c:pt>
                <c:pt idx="25">
                  <c:v>1266.9000000000001</c:v>
                </c:pt>
                <c:pt idx="26">
                  <c:v>864.5</c:v>
                </c:pt>
                <c:pt idx="27">
                  <c:v>756.6</c:v>
                </c:pt>
                <c:pt idx="28">
                  <c:v>823.2</c:v>
                </c:pt>
                <c:pt idx="29">
                  <c:v>1058.3</c:v>
                </c:pt>
                <c:pt idx="30">
                  <c:v>941.5</c:v>
                </c:pt>
                <c:pt idx="31">
                  <c:v>519.40000000000009</c:v>
                </c:pt>
                <c:pt idx="32">
                  <c:v>774.1</c:v>
                </c:pt>
                <c:pt idx="33">
                  <c:v>829</c:v>
                </c:pt>
                <c:pt idx="34">
                  <c:v>829.2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44-4C8B-BD1D-0FC2D1FAC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188288"/>
        <c:axId val="98210560"/>
      </c:lineChart>
      <c:catAx>
        <c:axId val="98188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8210560"/>
        <c:crosses val="autoZero"/>
        <c:auto val="1"/>
        <c:lblAlgn val="ctr"/>
        <c:lblOffset val="100"/>
        <c:noMultiLvlLbl val="0"/>
      </c:catAx>
      <c:valAx>
        <c:axId val="982105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8188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80316375547392"/>
          <c:y val="0.13208262989580047"/>
          <c:w val="0.14922738431280999"/>
          <c:h val="4.9815199196373013E-2"/>
        </c:manualLayout>
      </c:layout>
      <c:overlay val="0"/>
    </c:legend>
    <c:plotVisOnly val="1"/>
    <c:dispBlanksAs val="zero"/>
    <c:showDLblsOverMax val="0"/>
  </c:chart>
  <c:printSettings>
    <c:headerFooter/>
    <c:pageMargins b="0.75000000000000222" l="0.70000000000000062" r="0.70000000000000062" t="0.750000000000002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523271406971018"/>
          <c:y val="0.16114742712316776"/>
          <c:w val="0.72559307364494774"/>
          <c:h val="0.69963710952739822"/>
        </c:manualLayout>
      </c:layout>
      <c:lineChart>
        <c:grouping val="standard"/>
        <c:varyColors val="0"/>
        <c:ser>
          <c:idx val="0"/>
          <c:order val="0"/>
          <c:tx>
            <c:strRef>
              <c:f>'garphs 2015-16'!$G$44</c:f>
              <c:strCache>
                <c:ptCount val="1"/>
                <c:pt idx="0">
                  <c:v>MAX TEMP</c:v>
                </c:pt>
              </c:strCache>
            </c:strRef>
          </c:tx>
          <c:marker>
            <c:symbol val="none"/>
          </c:marker>
          <c:cat>
            <c:numRef>
              <c:f>'garphs 2015-16'!$F$45:$F$81</c:f>
              <c:numCache>
                <c:formatCode>General</c:formatCode>
                <c:ptCount val="37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</c:numCache>
            </c:numRef>
          </c:cat>
          <c:val>
            <c:numRef>
              <c:f>'garphs 2015-16'!$G$45:$G$81</c:f>
              <c:numCache>
                <c:formatCode>General</c:formatCode>
                <c:ptCount val="37"/>
                <c:pt idx="0">
                  <c:v>41.5</c:v>
                </c:pt>
                <c:pt idx="1">
                  <c:v>40.700000000000003</c:v>
                </c:pt>
                <c:pt idx="2">
                  <c:v>42.1</c:v>
                </c:pt>
                <c:pt idx="3">
                  <c:v>40</c:v>
                </c:pt>
                <c:pt idx="4">
                  <c:v>42.5</c:v>
                </c:pt>
                <c:pt idx="5">
                  <c:v>41.3</c:v>
                </c:pt>
                <c:pt idx="6">
                  <c:v>41.9</c:v>
                </c:pt>
                <c:pt idx="7">
                  <c:v>40.5</c:v>
                </c:pt>
                <c:pt idx="8">
                  <c:v>41.6</c:v>
                </c:pt>
                <c:pt idx="9">
                  <c:v>41.8</c:v>
                </c:pt>
                <c:pt idx="10">
                  <c:v>41.3</c:v>
                </c:pt>
                <c:pt idx="11">
                  <c:v>41.3</c:v>
                </c:pt>
                <c:pt idx="12">
                  <c:v>41.5</c:v>
                </c:pt>
                <c:pt idx="13">
                  <c:v>40.4</c:v>
                </c:pt>
                <c:pt idx="14">
                  <c:v>41.6</c:v>
                </c:pt>
                <c:pt idx="15">
                  <c:v>40.6</c:v>
                </c:pt>
                <c:pt idx="16">
                  <c:v>40.700000000000003</c:v>
                </c:pt>
                <c:pt idx="17">
                  <c:v>41.1</c:v>
                </c:pt>
                <c:pt idx="18">
                  <c:v>40</c:v>
                </c:pt>
                <c:pt idx="19">
                  <c:v>42.4</c:v>
                </c:pt>
                <c:pt idx="20">
                  <c:v>41.2</c:v>
                </c:pt>
                <c:pt idx="21">
                  <c:v>41.2</c:v>
                </c:pt>
                <c:pt idx="22">
                  <c:v>42.1</c:v>
                </c:pt>
                <c:pt idx="23">
                  <c:v>42.4</c:v>
                </c:pt>
                <c:pt idx="24">
                  <c:v>42.4</c:v>
                </c:pt>
                <c:pt idx="25">
                  <c:v>41.3</c:v>
                </c:pt>
                <c:pt idx="26">
                  <c:v>41.8</c:v>
                </c:pt>
                <c:pt idx="27">
                  <c:v>40.5</c:v>
                </c:pt>
                <c:pt idx="28">
                  <c:v>41.9</c:v>
                </c:pt>
                <c:pt idx="29">
                  <c:v>42.1</c:v>
                </c:pt>
                <c:pt idx="30">
                  <c:v>41.9</c:v>
                </c:pt>
                <c:pt idx="31">
                  <c:v>41.5</c:v>
                </c:pt>
                <c:pt idx="32">
                  <c:v>40.4</c:v>
                </c:pt>
                <c:pt idx="33">
                  <c:v>39.9</c:v>
                </c:pt>
                <c:pt idx="34">
                  <c:v>41.3</c:v>
                </c:pt>
                <c:pt idx="35">
                  <c:v>40.700000000000003</c:v>
                </c:pt>
                <c:pt idx="36">
                  <c:v>40.799999999999997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C2-4F32-AFB9-077A35D56A54}"/>
            </c:ext>
          </c:extLst>
        </c:ser>
        <c:ser>
          <c:idx val="1"/>
          <c:order val="1"/>
          <c:tx>
            <c:strRef>
              <c:f>'garphs 2015-16'!$H$44</c:f>
              <c:strCache>
                <c:ptCount val="1"/>
                <c:pt idx="0">
                  <c:v>MIN TEMP</c:v>
                </c:pt>
              </c:strCache>
            </c:strRef>
          </c:tx>
          <c:marker>
            <c:symbol val="none"/>
          </c:marker>
          <c:cat>
            <c:numRef>
              <c:f>'garphs 2015-16'!$F$45:$F$81</c:f>
              <c:numCache>
                <c:formatCode>General</c:formatCode>
                <c:ptCount val="37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</c:numCache>
            </c:numRef>
          </c:cat>
          <c:val>
            <c:numRef>
              <c:f>'garphs 2015-16'!$H$45:$H$81</c:f>
              <c:numCache>
                <c:formatCode>General</c:formatCode>
                <c:ptCount val="37"/>
                <c:pt idx="0">
                  <c:v>6.5</c:v>
                </c:pt>
                <c:pt idx="1">
                  <c:v>7.2</c:v>
                </c:pt>
                <c:pt idx="2">
                  <c:v>4.7</c:v>
                </c:pt>
                <c:pt idx="3">
                  <c:v>8.4</c:v>
                </c:pt>
                <c:pt idx="4">
                  <c:v>6.4</c:v>
                </c:pt>
                <c:pt idx="5">
                  <c:v>5.0999999999999996</c:v>
                </c:pt>
                <c:pt idx="6">
                  <c:v>5.5</c:v>
                </c:pt>
                <c:pt idx="7">
                  <c:v>5.9</c:v>
                </c:pt>
                <c:pt idx="8">
                  <c:v>6.8</c:v>
                </c:pt>
                <c:pt idx="9">
                  <c:v>7.1</c:v>
                </c:pt>
                <c:pt idx="10">
                  <c:v>6.6</c:v>
                </c:pt>
                <c:pt idx="11">
                  <c:v>6.7</c:v>
                </c:pt>
                <c:pt idx="12">
                  <c:v>2.8</c:v>
                </c:pt>
                <c:pt idx="13">
                  <c:v>5.0999999999999996</c:v>
                </c:pt>
                <c:pt idx="14">
                  <c:v>4.5</c:v>
                </c:pt>
                <c:pt idx="15">
                  <c:v>4.4000000000000004</c:v>
                </c:pt>
                <c:pt idx="16">
                  <c:v>6.8</c:v>
                </c:pt>
                <c:pt idx="17">
                  <c:v>6.1</c:v>
                </c:pt>
                <c:pt idx="18">
                  <c:v>4.7</c:v>
                </c:pt>
                <c:pt idx="19">
                  <c:v>6.1</c:v>
                </c:pt>
                <c:pt idx="20">
                  <c:v>6.9</c:v>
                </c:pt>
                <c:pt idx="21">
                  <c:v>5.6</c:v>
                </c:pt>
                <c:pt idx="22">
                  <c:v>7.3</c:v>
                </c:pt>
                <c:pt idx="23">
                  <c:v>5.5</c:v>
                </c:pt>
                <c:pt idx="24">
                  <c:v>6.9</c:v>
                </c:pt>
                <c:pt idx="25">
                  <c:v>7.3</c:v>
                </c:pt>
                <c:pt idx="26">
                  <c:v>5.7</c:v>
                </c:pt>
                <c:pt idx="27" formatCode="0.0">
                  <c:v>4.7</c:v>
                </c:pt>
                <c:pt idx="28" formatCode="0.0">
                  <c:v>8.1999999999999993</c:v>
                </c:pt>
                <c:pt idx="29">
                  <c:v>5.8</c:v>
                </c:pt>
                <c:pt idx="30">
                  <c:v>6.5</c:v>
                </c:pt>
                <c:pt idx="31">
                  <c:v>7.3</c:v>
                </c:pt>
                <c:pt idx="32">
                  <c:v>5.3</c:v>
                </c:pt>
                <c:pt idx="33">
                  <c:v>6.6</c:v>
                </c:pt>
                <c:pt idx="34">
                  <c:v>6.8</c:v>
                </c:pt>
                <c:pt idx="35">
                  <c:v>7.1</c:v>
                </c:pt>
                <c:pt idx="36">
                  <c:v>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C2-4F32-AFB9-077A35D56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39008"/>
        <c:axId val="98540544"/>
      </c:lineChart>
      <c:catAx>
        <c:axId val="98539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8540544"/>
        <c:crosses val="autoZero"/>
        <c:auto val="1"/>
        <c:lblAlgn val="ctr"/>
        <c:lblOffset val="100"/>
        <c:noMultiLvlLbl val="0"/>
      </c:catAx>
      <c:valAx>
        <c:axId val="985405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85390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428090</xdr:colOff>
      <xdr:row>69</xdr:row>
      <xdr:rowOff>96318</xdr:rowOff>
    </xdr:from>
    <xdr:to>
      <xdr:col>26</xdr:col>
      <xdr:colOff>224748</xdr:colOff>
      <xdr:row>93</xdr:row>
      <xdr:rowOff>74916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556516</xdr:colOff>
      <xdr:row>110</xdr:row>
      <xdr:rowOff>117724</xdr:rowOff>
    </xdr:from>
    <xdr:to>
      <xdr:col>25</xdr:col>
      <xdr:colOff>42810</xdr:colOff>
      <xdr:row>134</xdr:row>
      <xdr:rowOff>21404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466725</xdr:colOff>
      <xdr:row>3</xdr:row>
      <xdr:rowOff>114300</xdr:rowOff>
    </xdr:from>
    <xdr:to>
      <xdr:col>19</xdr:col>
      <xdr:colOff>219075</xdr:colOff>
      <xdr:row>27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238124</xdr:colOff>
      <xdr:row>46</xdr:row>
      <xdr:rowOff>142874</xdr:rowOff>
    </xdr:from>
    <xdr:to>
      <xdr:col>20</xdr:col>
      <xdr:colOff>266700</xdr:colOff>
      <xdr:row>66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304800</xdr:colOff>
      <xdr:row>65</xdr:row>
      <xdr:rowOff>38100</xdr:rowOff>
    </xdr:from>
    <xdr:to>
      <xdr:col>14</xdr:col>
      <xdr:colOff>333375</xdr:colOff>
      <xdr:row>66</xdr:row>
      <xdr:rowOff>133350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7620000" y="12420600"/>
          <a:ext cx="1247775" cy="285750"/>
        </a:xfrm>
        <a:prstGeom prst="rect">
          <a:avLst/>
        </a:prstGeom>
        <a:solidFill>
          <a:schemeClr val="lt1"/>
        </a:solidFill>
        <a:ln w="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 b="1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Year</a:t>
          </a:r>
          <a:endParaRPr lang="en-IN" sz="1100"/>
        </a:p>
      </xdr:txBody>
    </xdr:sp>
    <xdr:clientData/>
  </xdr:twoCellAnchor>
  <xdr:twoCellAnchor>
    <xdr:from>
      <xdr:col>8</xdr:col>
      <xdr:colOff>442914</xdr:colOff>
      <xdr:row>52</xdr:row>
      <xdr:rowOff>4762</xdr:rowOff>
    </xdr:from>
    <xdr:to>
      <xdr:col>9</xdr:col>
      <xdr:colOff>119064</xdr:colOff>
      <xdr:row>60</xdr:row>
      <xdr:rowOff>52387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 rot="16200000">
          <a:off x="4676776" y="10553700"/>
          <a:ext cx="1571625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Temperature (ºC)</a:t>
          </a:r>
        </a:p>
        <a:p>
          <a:endParaRPr lang="en-IN" sz="1100"/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0.41779</cdr:x>
      <cdr:y>0.92975</cdr:y>
    </cdr:from>
    <cdr:to>
      <cdr:x>0.54852</cdr:x>
      <cdr:y>0.98554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952750" y="4286250"/>
          <a:ext cx="923925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latin typeface="+mn-lt"/>
              <a:ea typeface="+mn-ea"/>
              <a:cs typeface="+mn-cs"/>
            </a:rPr>
            <a:t>Year</a:t>
          </a:r>
          <a:endParaRPr lang="en-IN"/>
        </a:p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</cdr:x>
      <cdr:y>0.29378</cdr:y>
    </cdr:from>
    <cdr:to>
      <cdr:x>0.05054</cdr:x>
      <cdr:y>0.60343</cdr:y>
    </cdr:to>
    <cdr:sp macro="" textlink="">
      <cdr:nvSpPr>
        <cdr:cNvPr id="3" name="TextBox 2"/>
        <cdr:cNvSpPr txBox="1"/>
      </cdr:nvSpPr>
      <cdr:spPr>
        <a:xfrm xmlns:a="http://schemas.openxmlformats.org/drawingml/2006/main" rot="16200000">
          <a:off x="-535186" y="1889521"/>
          <a:ext cx="1427560" cy="3571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rtl="0" fontAlgn="base"/>
          <a:r>
            <a:rPr lang="en-US" sz="1100" b="1" i="0" baseline="0">
              <a:latin typeface="+mn-lt"/>
              <a:ea typeface="+mn-ea"/>
              <a:cs typeface="+mn-cs"/>
            </a:rPr>
            <a:t>Rainfall (in mm.)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0.1297</cdr:x>
      <cdr:y>0.03266</cdr:y>
    </cdr:from>
    <cdr:to>
      <cdr:x>0.88975</cdr:x>
      <cdr:y>0.11809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52501" y="123826"/>
          <a:ext cx="558165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latin typeface="+mn-lt"/>
              <a:ea typeface="+mn-ea"/>
              <a:cs typeface="+mn-cs"/>
            </a:rPr>
            <a:t>Graphical Presentation for Highest Maximum Temp &amp; Lowest Minimum Temperature</a:t>
          </a:r>
          <a:endParaRPr lang="en-IN"/>
        </a:p>
        <a:p xmlns:a="http://schemas.openxmlformats.org/drawingml/2006/main">
          <a:endParaRPr lang="en-IN" sz="11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S" refreshedDate="41326.641802430553" createdVersion="3" refreshedVersion="3" minRefreshableVersion="3" recordCount="731">
  <cacheSource type="worksheet">
    <worksheetSource name="Table1"/>
  </cacheSource>
  <cacheFields count="34">
    <cacheField name="synop_date" numFmtId="0">
      <sharedItems/>
    </cacheField>
    <cacheField name="synop_station_index" numFmtId="0">
      <sharedItems/>
    </cacheField>
    <cacheField name="synop_gmt" numFmtId="0">
      <sharedItems count="2">
        <s v="12"/>
        <s v="03"/>
      </sharedItems>
    </cacheField>
    <cacheField name="synop_dry" numFmtId="0">
      <sharedItems/>
    </cacheField>
    <cacheField name="synop_dew" numFmtId="0">
      <sharedItems/>
    </cacheField>
    <cacheField name="synop_pressure" numFmtId="0">
      <sharedItems/>
    </cacheField>
    <cacheField name="synop_wx" numFmtId="0">
      <sharedItems/>
    </cacheField>
    <cacheField name="synop_p24" numFmtId="0">
      <sharedItems/>
    </cacheField>
    <cacheField name="synop_max" numFmtId="0">
      <sharedItems/>
    </cacheField>
    <cacheField name="synop_min" numFmtId="0">
      <sharedItems/>
    </cacheField>
    <cacheField name="synop_rain" numFmtId="0">
      <sharedItems/>
    </cacheField>
    <cacheField name="synop_actualrain" numFmtId="0">
      <sharedItems/>
    </cacheField>
    <cacheField name="synop_cloud" numFmtId="0">
      <sharedItems/>
    </cacheField>
    <cacheField name="synop_stationname" numFmtId="0">
      <sharedItems/>
    </cacheField>
    <cacheField name="synop_seasonal" numFmtId="0">
      <sharedItems/>
    </cacheField>
    <cacheField name="AMAX" numFmtId="0">
      <sharedItems/>
    </cacheField>
    <cacheField name="AMIN" numFmtId="0">
      <sharedItems/>
    </cacheField>
    <cacheField name="vis" numFmtId="0">
      <sharedItems/>
    </cacheField>
    <cacheField name="nddf" numFmtId="0">
      <sharedItems/>
    </cacheField>
    <cacheField name="cloud" numFmtId="0">
      <sharedItems/>
    </cacheField>
    <cacheField name="synop_dryf" numFmtId="0">
      <sharedItems/>
    </cacheField>
    <cacheField name="synop_dewf" numFmtId="0">
      <sharedItems/>
    </cacheField>
    <cacheField name="rh" numFmtId="0">
      <sharedItems/>
    </cacheField>
    <cacheField name="date_stn" numFmtId="15">
      <sharedItems containsSemiMixedTypes="0" containsNonDate="0" containsDate="1" containsString="0" minDate="2012-01-01T00:00:00" maxDate="2013-01-01T00:00:00" count="366">
        <d v="2012-01-01T00:00:00"/>
        <d v="2012-01-02T00:00:00"/>
        <d v="2012-01-03T00:00:00"/>
        <d v="2012-01-04T00:00:00"/>
        <d v="2012-01-05T00:00:00"/>
        <d v="2012-01-06T00:00:00"/>
        <d v="2012-01-07T00:00:00"/>
        <d v="2012-01-08T00:00:00"/>
        <d v="2012-01-09T00:00:00"/>
        <d v="2012-01-10T00:00:00"/>
        <d v="2012-01-11T00:00:00"/>
        <d v="2012-01-12T00:00:00"/>
        <d v="2012-01-13T00:00:00"/>
        <d v="2012-01-14T00:00:00"/>
        <d v="2012-01-15T00:00:00"/>
        <d v="2012-01-16T00:00:00"/>
        <d v="2012-01-17T00:00:00"/>
        <d v="2012-01-18T00:00:00"/>
        <d v="2012-01-19T00:00:00"/>
        <d v="2012-01-20T00:00:00"/>
        <d v="2012-01-21T00:00:00"/>
        <d v="2012-01-22T00:00:00"/>
        <d v="2012-01-23T00:00:00"/>
        <d v="2012-01-24T00:00:00"/>
        <d v="2012-01-25T00:00:00"/>
        <d v="2012-01-26T00:00:00"/>
        <d v="2012-01-27T00:00:00"/>
        <d v="2012-01-28T00:00:00"/>
        <d v="2012-01-29T00:00:00"/>
        <d v="2012-01-30T00:00:00"/>
        <d v="2012-01-31T00:00:00"/>
        <d v="2012-02-01T00:00:00"/>
        <d v="2012-02-02T00:00:00"/>
        <d v="2012-02-03T00:00:00"/>
        <d v="2012-02-04T00:00:00"/>
        <d v="2012-02-05T00:00:00"/>
        <d v="2012-02-06T00:00:00"/>
        <d v="2012-02-07T00:00:00"/>
        <d v="2012-02-08T00:00:00"/>
        <d v="2012-02-09T00:00:00"/>
        <d v="2012-02-10T00:00:00"/>
        <d v="2012-02-11T00:00:00"/>
        <d v="2012-02-12T00:00:00"/>
        <d v="2012-02-13T00:00:00"/>
        <d v="2012-02-14T00:00:00"/>
        <d v="2012-02-15T00:00:00"/>
        <d v="2012-02-16T00:00:00"/>
        <d v="2012-02-17T00:00:00"/>
        <d v="2012-02-18T00:00:00"/>
        <d v="2012-02-19T00:00:00"/>
        <d v="2012-02-20T00:00:00"/>
        <d v="2012-02-21T00:00:00"/>
        <d v="2012-02-22T00:00:00"/>
        <d v="2012-02-23T00:00:00"/>
        <d v="2012-02-24T00:00:00"/>
        <d v="2012-02-25T00:00:00"/>
        <d v="2012-02-26T00:00:00"/>
        <d v="2012-02-27T00:00:00"/>
        <d v="2012-02-28T00:00:00"/>
        <d v="2012-02-29T00:00:00"/>
        <d v="2012-03-01T00:00:00"/>
        <d v="2012-03-02T00:00:00"/>
        <d v="2012-03-03T00:00:00"/>
        <d v="2012-03-04T00:00:00"/>
        <d v="2012-03-05T00:00:00"/>
        <d v="2012-03-06T00:00:00"/>
        <d v="2012-03-07T00:00:00"/>
        <d v="2012-03-08T00:00:00"/>
        <d v="2012-03-09T00:00:00"/>
        <d v="2012-03-10T00:00:00"/>
        <d v="2012-03-11T00:00:00"/>
        <d v="2012-03-12T00:00:00"/>
        <d v="2012-03-13T00:00:00"/>
        <d v="2012-03-14T00:00:00"/>
        <d v="2012-03-15T00:00:00"/>
        <d v="2012-03-16T00:00:00"/>
        <d v="2012-03-17T00:00:00"/>
        <d v="2012-03-18T00:00:00"/>
        <d v="2012-03-19T00:00:00"/>
        <d v="2012-03-20T00:00:00"/>
        <d v="2012-03-21T00:00:00"/>
        <d v="2012-03-22T00:00:00"/>
        <d v="2012-03-23T00:00:00"/>
        <d v="2012-03-24T00:00:00"/>
        <d v="2012-03-25T00:00:00"/>
        <d v="2012-03-26T00:00:00"/>
        <d v="2012-03-27T00:00:00"/>
        <d v="2012-03-28T00:00:00"/>
        <d v="2012-03-29T00:00:00"/>
        <d v="2012-03-30T00:00:00"/>
        <d v="2012-03-31T00:00:00"/>
        <d v="2012-04-01T00:00:00"/>
        <d v="2012-04-02T00:00:00"/>
        <d v="2012-04-03T00:00:00"/>
        <d v="2012-04-04T00:00:00"/>
        <d v="2012-04-05T00:00:00"/>
        <d v="2012-04-06T00:00:00"/>
        <d v="2012-04-07T00:00:00"/>
        <d v="2012-04-08T00:00:00"/>
        <d v="2012-04-09T00:00:00"/>
        <d v="2012-04-10T00:00:00"/>
        <d v="2012-04-11T00:00:00"/>
        <d v="2012-04-12T00:00:00"/>
        <d v="2012-04-13T00:00:00"/>
        <d v="2012-04-14T00:00:00"/>
        <d v="2012-04-15T00:00:00"/>
        <d v="2012-04-16T00:00:00"/>
        <d v="2012-04-17T00:00:00"/>
        <d v="2012-04-18T00:00:00"/>
        <d v="2012-04-19T00:00:00"/>
        <d v="2012-04-20T00:00:00"/>
        <d v="2012-04-21T00:00:00"/>
        <d v="2012-04-22T00:00:00"/>
        <d v="2012-04-23T00:00:00"/>
        <d v="2012-04-24T00:00:00"/>
        <d v="2012-04-25T00:00:00"/>
        <d v="2012-04-26T00:00:00"/>
        <d v="2012-04-27T00:00:00"/>
        <d v="2012-04-28T00:00:00"/>
        <d v="2012-04-29T00:00:00"/>
        <d v="2012-04-30T00:00:00"/>
        <d v="2012-05-01T00:00:00"/>
        <d v="2012-05-02T00:00:00"/>
        <d v="2012-05-03T00:00:00"/>
        <d v="2012-05-04T00:00:00"/>
        <d v="2012-05-05T00:00:00"/>
        <d v="2012-05-06T00:00:00"/>
        <d v="2012-05-07T00:00:00"/>
        <d v="2012-05-08T00:00:00"/>
        <d v="2012-05-09T00:00:00"/>
        <d v="2012-05-10T00:00:00"/>
        <d v="2012-05-11T00:00:00"/>
        <d v="2012-05-12T00:00:00"/>
        <d v="2012-05-13T00:00:00"/>
        <d v="2012-05-14T00:00:00"/>
        <d v="2012-05-15T00:00:00"/>
        <d v="2012-05-16T00:00:00"/>
        <d v="2012-05-17T00:00:00"/>
        <d v="2012-05-18T00:00:00"/>
        <d v="2012-05-19T00:00:00"/>
        <d v="2012-05-20T00:00:00"/>
        <d v="2012-05-21T00:00:00"/>
        <d v="2012-05-22T00:00:00"/>
        <d v="2012-05-23T00:00:00"/>
        <d v="2012-05-24T00:00:00"/>
        <d v="2012-05-25T00:00:00"/>
        <d v="2012-05-26T00:00:00"/>
        <d v="2012-05-27T00:00:00"/>
        <d v="2012-05-28T00:00:00"/>
        <d v="2012-05-29T00:00:00"/>
        <d v="2012-05-30T00:00:00"/>
        <d v="2012-05-31T00:00:00"/>
        <d v="2012-06-01T00:00:00"/>
        <d v="2012-06-02T00:00:00"/>
        <d v="2012-06-03T00:00:00"/>
        <d v="2012-06-04T00:00:00"/>
        <d v="2012-06-05T00:00:00"/>
        <d v="2012-06-06T00:00:00"/>
        <d v="2012-06-07T00:00:00"/>
        <d v="2012-06-08T00:00:00"/>
        <d v="2012-06-09T00:00:00"/>
        <d v="2012-06-10T00:00:00"/>
        <d v="2012-06-11T00:00:00"/>
        <d v="2012-06-12T00:00:00"/>
        <d v="2012-06-13T00:00:00"/>
        <d v="2012-06-14T00:00:00"/>
        <d v="2012-06-15T00:00:00"/>
        <d v="2012-06-16T00:00:00"/>
        <d v="2012-06-17T00:00:00"/>
        <d v="2012-06-18T00:00:00"/>
        <d v="2012-06-19T00:00:00"/>
        <d v="2012-06-20T00:00:00"/>
        <d v="2012-06-21T00:00:00"/>
        <d v="2012-06-22T00:00:00"/>
        <d v="2012-06-23T00:00:00"/>
        <d v="2012-06-24T00:00:00"/>
        <d v="2012-06-25T00:00:00"/>
        <d v="2012-06-26T00:00:00"/>
        <d v="2012-06-27T00:00:00"/>
        <d v="2012-06-28T00:00:00"/>
        <d v="2012-06-29T00:00:00"/>
        <d v="2012-06-30T00:00:00"/>
        <d v="2012-07-01T00:00:00"/>
        <d v="2012-07-02T00:00:00"/>
        <d v="2012-07-03T00:00:00"/>
        <d v="2012-07-04T00:00:00"/>
        <d v="2012-07-05T00:00:00"/>
        <d v="2012-07-06T00:00:00"/>
        <d v="2012-07-07T00:00:00"/>
        <d v="2012-07-08T00:00:00"/>
        <d v="2012-07-09T00:00:00"/>
        <d v="2012-07-10T00:00:00"/>
        <d v="2012-07-11T00:00:00"/>
        <d v="2012-07-12T00:00:00"/>
        <d v="2012-07-13T00:00:00"/>
        <d v="2012-07-14T00:00:00"/>
        <d v="2012-07-15T00:00:00"/>
        <d v="2012-07-16T00:00:00"/>
        <d v="2012-07-17T00:00:00"/>
        <d v="2012-07-18T00:00:00"/>
        <d v="2012-07-19T00:00:00"/>
        <d v="2012-07-20T00:00:00"/>
        <d v="2012-07-21T00:00:00"/>
        <d v="2012-07-22T00:00:00"/>
        <d v="2012-07-23T00:00:00"/>
        <d v="2012-07-24T00:00:00"/>
        <d v="2012-07-25T00:00:00"/>
        <d v="2012-07-26T00:00:00"/>
        <d v="2012-07-27T00:00:00"/>
        <d v="2012-07-28T00:00:00"/>
        <d v="2012-07-29T00:00:00"/>
        <d v="2012-07-30T00:00:00"/>
        <d v="2012-07-31T00:00:00"/>
        <d v="2012-08-01T00:00:00"/>
        <d v="2012-08-02T00:00:00"/>
        <d v="2012-08-03T00:00:00"/>
        <d v="2012-08-04T00:00:00"/>
        <d v="2012-08-05T00:00:00"/>
        <d v="2012-08-06T00:00:00"/>
        <d v="2012-08-07T00:00:00"/>
        <d v="2012-08-08T00:00:00"/>
        <d v="2012-08-09T00:00:00"/>
        <d v="2012-08-10T00:00:00"/>
        <d v="2012-08-11T00:00:00"/>
        <d v="2012-08-12T00:00:00"/>
        <d v="2012-08-13T00:00:00"/>
        <d v="2012-08-14T00:00:00"/>
        <d v="2012-08-15T00:00:00"/>
        <d v="2012-08-16T00:00:00"/>
        <d v="2012-08-17T00:00:00"/>
        <d v="2012-08-18T00:00:00"/>
        <d v="2012-08-19T00:00:00"/>
        <d v="2012-08-20T00:00:00"/>
        <d v="2012-08-21T00:00:00"/>
        <d v="2012-08-22T00:00:00"/>
        <d v="2012-08-23T00:00:00"/>
        <d v="2012-08-24T00:00:00"/>
        <d v="2012-08-25T00:00:00"/>
        <d v="2012-08-26T00:00:00"/>
        <d v="2012-08-27T00:00:00"/>
        <d v="2012-08-28T00:00:00"/>
        <d v="2012-08-29T00:00:00"/>
        <d v="2012-08-30T00:00:00"/>
        <d v="2012-08-31T00:00:00"/>
        <d v="2012-09-01T00:00:00"/>
        <d v="2012-09-02T00:00:00"/>
        <d v="2012-09-03T00:00:00"/>
        <d v="2012-09-04T00:00:00"/>
        <d v="2012-09-05T00:00:00"/>
        <d v="2012-09-06T00:00:00"/>
        <d v="2012-09-07T00:00:00"/>
        <d v="2012-09-08T00:00:00"/>
        <d v="2012-09-09T00:00:00"/>
        <d v="2012-09-10T00:00:00"/>
        <d v="2012-09-11T00:00:00"/>
        <d v="2012-09-12T00:00:00"/>
        <d v="2012-09-13T00:00:00"/>
        <d v="2012-09-14T00:00:00"/>
        <d v="2012-09-15T00:00:00"/>
        <d v="2012-09-16T00:00:00"/>
        <d v="2012-09-17T00:00:00"/>
        <d v="2012-09-18T00:00:00"/>
        <d v="2012-09-19T00:00:00"/>
        <d v="2012-09-20T00:00:00"/>
        <d v="2012-09-21T00:00:00"/>
        <d v="2012-09-22T00:00:00"/>
        <d v="2012-09-23T00:00:00"/>
        <d v="2012-09-24T00:00:00"/>
        <d v="2012-09-25T00:00:00"/>
        <d v="2012-09-26T00:00:00"/>
        <d v="2012-09-27T00:00:00"/>
        <d v="2012-09-28T00:00:00"/>
        <d v="2012-09-29T00:00:00"/>
        <d v="2012-09-30T00:00:00"/>
        <d v="2012-10-01T00:00:00"/>
        <d v="2012-10-02T00:00:00"/>
        <d v="2012-10-03T00:00:00"/>
        <d v="2012-10-04T00:00:00"/>
        <d v="2012-10-05T00:00:00"/>
        <d v="2012-10-06T00:00:00"/>
        <d v="2012-10-07T00:00:00"/>
        <d v="2012-10-08T00:00:00"/>
        <d v="2012-10-09T00:00:00"/>
        <d v="2012-10-10T00:00:00"/>
        <d v="2012-10-11T00:00:00"/>
        <d v="2012-10-12T00:00:00"/>
        <d v="2012-10-13T00:00:00"/>
        <d v="2012-10-14T00:00:00"/>
        <d v="2012-10-15T00:00:00"/>
        <d v="2012-10-16T00:00:00"/>
        <d v="2012-10-17T00:00:00"/>
        <d v="2012-10-18T00:00:00"/>
        <d v="2012-10-19T00:00:00"/>
        <d v="2012-10-20T00:00:00"/>
        <d v="2012-10-21T00:00:00"/>
        <d v="2012-10-22T00:00:00"/>
        <d v="2012-10-23T00:00:00"/>
        <d v="2012-10-24T00:00:00"/>
        <d v="2012-10-25T00:00:00"/>
        <d v="2012-10-26T00:00:00"/>
        <d v="2012-10-27T00:00:00"/>
        <d v="2012-10-28T00:00:00"/>
        <d v="2012-10-29T00:00:00"/>
        <d v="2012-10-30T00:00:00"/>
        <d v="2012-10-31T00:00:00"/>
        <d v="2012-11-01T00:00:00"/>
        <d v="2012-11-02T00:00:00"/>
        <d v="2012-11-03T00:00:00"/>
        <d v="2012-11-04T00:00:00"/>
        <d v="2012-11-05T00:00:00"/>
        <d v="2012-11-06T00:00:00"/>
        <d v="2012-11-07T00:00:00"/>
        <d v="2012-11-08T00:00:00"/>
        <d v="2012-11-09T00:00:00"/>
        <d v="2012-11-10T00:00:00"/>
        <d v="2012-11-11T00:00:00"/>
        <d v="2012-11-12T00:00:00"/>
        <d v="2012-11-13T00:00:00"/>
        <d v="2012-11-14T00:00:00"/>
        <d v="2012-11-15T00:00:00"/>
        <d v="2012-11-16T00:00:00"/>
        <d v="2012-11-17T00:00:00"/>
        <d v="2012-11-18T00:00:00"/>
        <d v="2012-11-19T00:00:00"/>
        <d v="2012-11-20T00:00:00"/>
        <d v="2012-11-21T00:00:00"/>
        <d v="2012-11-22T00:00:00"/>
        <d v="2012-11-23T00:00:00"/>
        <d v="2012-11-24T00:00:00"/>
        <d v="2012-11-25T00:00:00"/>
        <d v="2012-11-26T00:00:00"/>
        <d v="2012-11-27T00:00:00"/>
        <d v="2012-11-28T00:00:00"/>
        <d v="2012-11-29T00:00:00"/>
        <d v="2012-11-30T00:00:00"/>
        <d v="2012-12-01T00:00:00"/>
        <d v="2012-12-02T00:00:00"/>
        <d v="2012-12-03T00:00:00"/>
        <d v="2012-12-04T00:00:00"/>
        <d v="2012-12-05T00:00:00"/>
        <d v="2012-12-06T00:00:00"/>
        <d v="2012-12-07T00:00:00"/>
        <d v="2012-12-08T00:00:00"/>
        <d v="2012-12-09T00:00:00"/>
        <d v="2012-12-10T00:00:00"/>
        <d v="2012-12-11T00:00:00"/>
        <d v="2012-12-12T00:00:00"/>
        <d v="2012-12-13T00:00:00"/>
        <d v="2012-12-14T00:00:00"/>
        <d v="2012-12-15T00:00:00"/>
        <d v="2012-12-16T00:00:00"/>
        <d v="2012-12-17T00:00:00"/>
        <d v="2012-12-18T00:00:00"/>
        <d v="2012-12-19T00:00:00"/>
        <d v="2012-12-20T00:00:00"/>
        <d v="2012-12-21T00:00:00"/>
        <d v="2012-12-22T00:00:00"/>
        <d v="2012-12-23T00:00:00"/>
        <d v="2012-12-24T00:00:00"/>
        <d v="2012-12-25T00:00:00"/>
        <d v="2012-12-26T00:00:00"/>
        <d v="2012-12-27T00:00:00"/>
        <d v="2012-12-28T00:00:00"/>
        <d v="2012-12-29T00:00:00"/>
        <d v="2012-12-30T00:00:00"/>
        <d v="2012-12-31T00:00:00"/>
      </sharedItems>
    </cacheField>
    <cacheField name="onelinesynop" numFmtId="0">
      <sharedItems/>
    </cacheField>
    <cacheField name="minimum_temperature" numFmtId="0">
      <sharedItems containsString="0" containsBlank="1" containsNumber="1" containsInteger="1" minValue="46" maxValue="250"/>
    </cacheField>
    <cacheField name="synop_add_by" numFmtId="0">
      <sharedItems/>
    </cacheField>
    <cacheField name="synop_added_time" numFmtId="0">
      <sharedItems/>
    </cacheField>
    <cacheField name="Year" numFmtId="0">
      <sharedItems containsSemiMixedTypes="0" containsString="0" containsNumber="1" containsInteger="1" minValue="2012" maxValue="2012"/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Day" numFmtId="0">
      <sharedItems containsSemiMixedTypes="0" containsString="0" containsNumber="1" containsInteger="1" minValue="1" maxValue="31" count="3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</sharedItems>
    </cacheField>
    <cacheField name="Dew" numFmtId="164">
      <sharedItems containsSemiMixedTypes="0" containsString="0" containsNumber="1" minValue="0" maxValue="105.4"/>
    </cacheField>
    <cacheField name="Max" numFmtId="164">
      <sharedItems containsMixedTypes="1" containsNumber="1" minValue="24.1" maxValue="39.9"/>
    </cacheField>
    <cacheField name="Min" numFmtId="164">
      <sharedItems containsMixedTypes="1" containsNumber="1" minValue="4.5999999999999996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31">
  <r>
    <s v="01/01/2012"/>
    <s v="43063"/>
    <x v="0"/>
    <s v="28"/>
    <s v="16"/>
    <s v="10076"/>
    <s v="7////"/>
    <s v="59005"/>
    <s v="31"/>
    <s v="///"/>
    <s v=""/>
    <s v=""/>
    <s v="56///"/>
    <s v=""/>
    <s v=""/>
    <s v="306"/>
    <s v=""/>
    <s v="32597"/>
    <s v="42702"/>
    <s v="82531"/>
    <s v="0276"/>
    <s v="0164"/>
    <s v=""/>
    <x v="0"/>
    <s v="43063 32597 42702 10276 20164 40076 82531 333 10306 59005 ="/>
    <m/>
    <s v="asd"/>
    <s v="28/05/2012 2:30:12 PM"/>
    <n v="2012"/>
    <x v="0"/>
    <x v="0"/>
    <n v="16.399999999999999"/>
    <n v="30.6"/>
    <s v=""/>
  </r>
  <r>
    <s v="01/01/2012"/>
    <s v="43063"/>
    <x v="1"/>
    <s v="21"/>
    <s v="17"/>
    <s v="10126"/>
    <s v="70522"/>
    <s v="59014"/>
    <s v="///"/>
    <s v="18"/>
    <s v=""/>
    <s v=""/>
    <s v="56///"/>
    <s v=""/>
    <s v=""/>
    <s v=""/>
    <s v="181"/>
    <s v="31796"/>
    <s v="70000"/>
    <s v="87030"/>
    <s v="0206"/>
    <s v="0168"/>
    <s v=""/>
    <x v="0"/>
    <s v="43063 31796 70000 10206 20168 40126 70522 87030 333 20181 59014 555 00000 ="/>
    <n v="181"/>
    <s v="asas"/>
    <s v="28/05/2012 2:28:35 PM"/>
    <n v="2012"/>
    <x v="0"/>
    <x v="0"/>
    <n v="16.8"/>
    <s v=""/>
    <n v="18.100000000000001"/>
  </r>
  <r>
    <s v="02/01/2012"/>
    <s v="43063"/>
    <x v="1"/>
    <s v="18"/>
    <s v="15"/>
    <s v="10141"/>
    <s v="70511"/>
    <s v="58011"/>
    <s v="///"/>
    <s v="15"/>
    <s v=""/>
    <s v=""/>
    <s v="56///"/>
    <s v=""/>
    <s v=""/>
    <s v=""/>
    <s v="153"/>
    <s v="31996"/>
    <s v="10000"/>
    <s v="80001"/>
    <s v="0176"/>
    <s v="0153"/>
    <s v=""/>
    <x v="1"/>
    <s v="43063 31996 10000 10176 20153 40141 70511 80001 333 20153 58011 555 00000 ="/>
    <n v="153"/>
    <s v="asd"/>
    <s v="28/05/2012 2:30:12 PM"/>
    <n v="2012"/>
    <x v="0"/>
    <x v="1"/>
    <n v="15.3"/>
    <s v=""/>
    <n v="15.3"/>
  </r>
  <r>
    <s v="02/01/2012"/>
    <s v="43063"/>
    <x v="0"/>
    <s v="29"/>
    <s v="18"/>
    <s v="10078"/>
    <s v="7////"/>
    <s v="58004"/>
    <s v="31"/>
    <s v="///"/>
    <s v=""/>
    <s v=""/>
    <s v="56///"/>
    <s v=""/>
    <s v=""/>
    <s v="309"/>
    <s v=""/>
    <s v="32597"/>
    <s v="42702"/>
    <s v="82531"/>
    <s v="0290"/>
    <s v="0178"/>
    <s v=""/>
    <x v="1"/>
    <s v="43063 32597 42702 10290 20178 40078 82531 333 10309 58004 ="/>
    <m/>
    <s v="asd"/>
    <s v="28/05/2012 2:30:12 PM"/>
    <n v="2012"/>
    <x v="0"/>
    <x v="1"/>
    <n v="17.8"/>
    <n v="30.9"/>
    <s v=""/>
  </r>
  <r>
    <s v="03/01/2012"/>
    <s v="43063"/>
    <x v="1"/>
    <s v="17"/>
    <s v="16"/>
    <s v="10149"/>
    <s v="70540"/>
    <s v="58007"/>
    <s v="///"/>
    <s v="15"/>
    <s v=""/>
    <s v=""/>
    <s v="56///"/>
    <s v=""/>
    <s v=""/>
    <s v=""/>
    <s v="149"/>
    <s v="31996"/>
    <s v="00000"/>
    <s v="/////"/>
    <s v="0174"/>
    <s v="0158"/>
    <s v=""/>
    <x v="2"/>
    <s v="43063 31996 00000 10174 20158 40149 70540 333 20149 58007 555 00000 ="/>
    <n v="149"/>
    <s v="asd"/>
    <s v="28/05/2012 2:30:12 PM"/>
    <n v="2012"/>
    <x v="0"/>
    <x v="2"/>
    <n v="15.8"/>
    <s v=""/>
    <n v="14.9"/>
  </r>
  <r>
    <s v="03/01/2012"/>
    <s v="43063"/>
    <x v="0"/>
    <s v="28"/>
    <s v="14"/>
    <s v="10085"/>
    <s v="7////"/>
    <s v="58005"/>
    <s v="31"/>
    <s v="///"/>
    <s v=""/>
    <s v=""/>
    <s v="56///"/>
    <s v=""/>
    <s v=""/>
    <s v="314"/>
    <s v=""/>
    <s v="32997"/>
    <s v="02702"/>
    <s v="/////"/>
    <s v="0284"/>
    <s v="0139"/>
    <s v=""/>
    <x v="2"/>
    <s v="43063 32997 02702 10284 20139 40085 333 10314 58005 ="/>
    <m/>
    <s v="asd"/>
    <s v="28/05/2012 2:30:12 PM"/>
    <n v="2012"/>
    <x v="0"/>
    <x v="2"/>
    <n v="13.9"/>
    <n v="31.4"/>
    <s v=""/>
  </r>
  <r>
    <s v="04/01/2012"/>
    <s v="43063"/>
    <x v="1"/>
    <s v="17"/>
    <s v="13"/>
    <s v="10145"/>
    <s v="70500"/>
    <s v="59005"/>
    <s v="///"/>
    <s v="13"/>
    <s v=""/>
    <s v=""/>
    <s v="56///"/>
    <s v=""/>
    <s v=""/>
    <s v=""/>
    <s v="126"/>
    <s v="31996"/>
    <s v="00000"/>
    <s v="/////"/>
    <s v="0166"/>
    <s v="0132"/>
    <s v=""/>
    <x v="3"/>
    <s v="43063 31996 00000 10166 20132 40145 70500 333 20126 59005 555 00000 ="/>
    <n v="126"/>
    <s v="asd"/>
    <s v="28/05/2012 2:30:12 PM"/>
    <n v="2012"/>
    <x v="0"/>
    <x v="3"/>
    <n v="13.2"/>
    <s v=""/>
    <n v="12.6"/>
  </r>
  <r>
    <s v="04/01/2012"/>
    <s v="43063"/>
    <x v="0"/>
    <s v="30"/>
    <s v="10"/>
    <s v="10085"/>
    <s v="7////"/>
    <s v="58002"/>
    <s v="33"/>
    <s v="///"/>
    <s v=""/>
    <s v=""/>
    <s v="56///"/>
    <s v=""/>
    <s v=""/>
    <s v="325"/>
    <s v=""/>
    <s v="32997"/>
    <s v="02702"/>
    <s v="/////"/>
    <s v="0296"/>
    <s v="0104"/>
    <s v=""/>
    <x v="3"/>
    <s v="43063 32997 02702 10296 20104 40085 333 10325 58002 ="/>
    <m/>
    <s v="asd"/>
    <s v="28/05/2012 2:30:12 PM"/>
    <n v="2012"/>
    <x v="0"/>
    <x v="3"/>
    <n v="10.4"/>
    <n v="32.5"/>
    <s v=""/>
  </r>
  <r>
    <s v="05/01/2012"/>
    <s v="43063"/>
    <x v="1"/>
    <s v="15"/>
    <s v="13"/>
    <s v="10166"/>
    <s v="70522"/>
    <s v="58018"/>
    <s v="///"/>
    <s v="13"/>
    <s v=""/>
    <s v=""/>
    <s v="56///"/>
    <s v=""/>
    <s v=""/>
    <s v=""/>
    <s v="126"/>
    <s v="31996"/>
    <s v="50000"/>
    <s v="80001"/>
    <s v="0152"/>
    <s v="0135"/>
    <s v=""/>
    <x v="4"/>
    <s v="43063 31996 50000 10152 20135 40166 70522 80001 333 20126 58018 555 00000 ="/>
    <n v="126"/>
    <s v="asd"/>
    <s v="28/05/2012 2:30:12 PM"/>
    <n v="2012"/>
    <x v="0"/>
    <x v="4"/>
    <n v="13.5"/>
    <s v=""/>
    <n v="12.6"/>
  </r>
  <r>
    <s v="05/01/2012"/>
    <s v="43063"/>
    <x v="0"/>
    <s v="29"/>
    <s v="14"/>
    <s v="10095"/>
    <s v="7////"/>
    <s v="58010"/>
    <s v="32"/>
    <s v="///"/>
    <s v=""/>
    <s v=""/>
    <s v="56///"/>
    <s v=""/>
    <s v=""/>
    <s v="323"/>
    <s v=""/>
    <s v="32597"/>
    <s v="32702"/>
    <s v="81531"/>
    <s v="0294"/>
    <s v="0141"/>
    <s v=""/>
    <x v="4"/>
    <s v="43063 32597 32702 10294 20141 40095 81531 333 10323 58010 ="/>
    <m/>
    <s v="asd"/>
    <s v="28/05/2012 2:30:12 PM"/>
    <n v="2012"/>
    <x v="0"/>
    <x v="4"/>
    <n v="14.1"/>
    <n v="32.299999999999997"/>
    <s v=""/>
  </r>
  <r>
    <s v="06/01/2012"/>
    <s v="43063"/>
    <x v="1"/>
    <s v="16"/>
    <s v="15"/>
    <s v="10169"/>
    <s v="70540"/>
    <s v="58003"/>
    <s v="///"/>
    <s v="14"/>
    <s v=""/>
    <s v=""/>
    <s v="56///"/>
    <s v=""/>
    <s v=""/>
    <s v=""/>
    <s v="136"/>
    <s v="31996"/>
    <s v="00000"/>
    <s v="/////"/>
    <s v="0160"/>
    <s v="0147"/>
    <s v=""/>
    <x v="5"/>
    <s v="43063 31996 00000 10160 20147 40169 70540 333 20136 58003 555 00000 ="/>
    <n v="136"/>
    <s v="asd"/>
    <s v="28/05/2012 2:30:12 PM"/>
    <n v="2012"/>
    <x v="0"/>
    <x v="5"/>
    <n v="14.7"/>
    <s v=""/>
    <n v="13.6"/>
  </r>
  <r>
    <s v="06/01/2012"/>
    <s v="43063"/>
    <x v="0"/>
    <s v="29"/>
    <s v="11"/>
    <s v="10107"/>
    <s v="7////"/>
    <s v="58009"/>
    <s v="32"/>
    <s v="///"/>
    <s v=""/>
    <s v=""/>
    <s v="56///"/>
    <s v=""/>
    <s v=""/>
    <s v="319"/>
    <s v=""/>
    <s v="32997"/>
    <s v="02704"/>
    <s v="/////"/>
    <s v="0286"/>
    <s v="0107"/>
    <s v=""/>
    <x v="5"/>
    <s v="43063 32997 02704 10286 20107 40107 333 10319 58009 ="/>
    <m/>
    <s v="asd"/>
    <s v="28/05/2012 2:30:12 PM"/>
    <n v="2012"/>
    <x v="0"/>
    <x v="5"/>
    <n v="10.7"/>
    <n v="31.9"/>
    <s v=""/>
  </r>
  <r>
    <s v="07/01/2012"/>
    <s v="43063"/>
    <x v="0"/>
    <s v="28"/>
    <s v="3"/>
    <s v="10116"/>
    <s v="7////"/>
    <s v="59009"/>
    <s v="31"/>
    <s v="///"/>
    <s v=""/>
    <s v=""/>
    <s v="56///"/>
    <s v=""/>
    <s v=""/>
    <s v="314"/>
    <s v=""/>
    <s v="32997"/>
    <s v="02702"/>
    <s v="/////"/>
    <s v="0284"/>
    <s v="0032"/>
    <s v=""/>
    <x v="6"/>
    <s v="43063 32997 02702 10284 20032 40116 333 10314 59009 ="/>
    <m/>
    <s v="asd"/>
    <s v="28/05/2012 2:30:12 PM"/>
    <n v="2012"/>
    <x v="0"/>
    <x v="6"/>
    <n v="3.2"/>
    <n v="31.4"/>
    <s v=""/>
  </r>
  <r>
    <s v="07/01/2012"/>
    <s v="43063"/>
    <x v="1"/>
    <s v="15"/>
    <s v="13"/>
    <s v="10174"/>
    <s v="70500"/>
    <s v="58002"/>
    <s v="///"/>
    <s v="11"/>
    <s v=""/>
    <s v=""/>
    <s v="56///"/>
    <s v=""/>
    <s v=""/>
    <s v=""/>
    <s v="107"/>
    <s v="31997"/>
    <s v="20000"/>
    <s v="80001"/>
    <s v="0146"/>
    <s v="0129"/>
    <s v=""/>
    <x v="6"/>
    <s v="43063 31997 20000 10146 20129 40174 70500 80001 333 20107 58002 555 00000 ="/>
    <n v="107"/>
    <s v="asd"/>
    <s v="28/05/2012 2:30:12 PM"/>
    <n v="2012"/>
    <x v="0"/>
    <x v="6"/>
    <n v="12.9"/>
    <s v=""/>
    <n v="10.7"/>
  </r>
  <r>
    <s v="08/01/2012"/>
    <s v="43063"/>
    <x v="1"/>
    <s v="13"/>
    <s v="10"/>
    <s v="10190"/>
    <s v="70500"/>
    <s v="58010"/>
    <s v="///"/>
    <s v="9"/>
    <s v=""/>
    <s v=""/>
    <s v="56///"/>
    <s v=""/>
    <s v=""/>
    <s v=""/>
    <s v="091"/>
    <s v="31996"/>
    <s v="30000"/>
    <s v="80001"/>
    <s v="0130"/>
    <s v="0100"/>
    <s v=""/>
    <x v="7"/>
    <s v="43063 31996 30000 10130 20100 40190 70500 80001 333 20091 58010 555 00000 ="/>
    <n v="91"/>
    <s v="asd"/>
    <s v="28/05/2012 2:30:12 PM"/>
    <n v="2012"/>
    <x v="0"/>
    <x v="7"/>
    <n v="10"/>
    <s v=""/>
    <n v="9.1"/>
  </r>
  <r>
    <s v="08/01/2012"/>
    <s v="43063"/>
    <x v="0"/>
    <s v="27"/>
    <s v="5"/>
    <s v="10116"/>
    <s v="7////"/>
    <s v="59004"/>
    <s v="30"/>
    <s v="///"/>
    <s v=""/>
    <s v=""/>
    <s v="56///"/>
    <s v=""/>
    <s v=""/>
    <s v="304"/>
    <s v=""/>
    <s v="32997"/>
    <s v="02704"/>
    <s v="/////"/>
    <s v="0266"/>
    <s v="0054"/>
    <s v=""/>
    <x v="7"/>
    <s v="43063 32997 02704 10266 20054 39500 40116 333 10304 59004 ="/>
    <m/>
    <s v="asd"/>
    <s v="28/05/2012 2:30:12 PM"/>
    <n v="2012"/>
    <x v="0"/>
    <x v="7"/>
    <n v="5.4"/>
    <n v="30.4"/>
    <s v=""/>
  </r>
  <r>
    <s v="09/01/2012"/>
    <s v="43063"/>
    <x v="1"/>
    <s v="11"/>
    <s v="9"/>
    <s v="10186"/>
    <s v="70500"/>
    <s v="59006"/>
    <s v="///"/>
    <s v="7"/>
    <s v=""/>
    <s v=""/>
    <s v="56///"/>
    <s v=""/>
    <s v=""/>
    <s v=""/>
    <s v="072"/>
    <s v="32996"/>
    <s v="00000"/>
    <s v="/////"/>
    <s v="0114"/>
    <s v="0087"/>
    <s v=""/>
    <x v="8"/>
    <s v="43063 32996 00000 10114 20087 40186 70500 333 20072 59006 555 00000 ="/>
    <n v="72"/>
    <s v="asd"/>
    <s v="28/05/2012 2:30:12 PM"/>
    <n v="2012"/>
    <x v="0"/>
    <x v="8"/>
    <n v="8.6999999999999993"/>
    <s v=""/>
    <n v="7.2"/>
  </r>
  <r>
    <s v="09/01/2012"/>
    <s v="43063"/>
    <x v="0"/>
    <s v="26"/>
    <s v="5"/>
    <s v="10110"/>
    <s v="7////"/>
    <s v="59006"/>
    <s v="28"/>
    <s v="///"/>
    <s v=""/>
    <s v=""/>
    <s v="56///"/>
    <s v=""/>
    <s v=""/>
    <s v="280"/>
    <s v=""/>
    <s v="32997"/>
    <s v="00000"/>
    <s v="/////"/>
    <s v="0262"/>
    <s v="0053"/>
    <s v=""/>
    <x v="8"/>
    <s v="43063 32997 00000 10262 20053 40110 333 10280 59006 ="/>
    <m/>
    <s v="asd"/>
    <s v="28/05/2012 2:30:12 PM"/>
    <n v="2012"/>
    <x v="0"/>
    <x v="8"/>
    <n v="5.3"/>
    <n v="28"/>
    <s v=""/>
  </r>
  <r>
    <s v="10/01/2012"/>
    <s v="43063"/>
    <x v="1"/>
    <s v="11"/>
    <s v="9"/>
    <s v="10182"/>
    <s v="70500"/>
    <s v="59005"/>
    <s v="///"/>
    <s v="8"/>
    <s v=""/>
    <s v=""/>
    <s v="56///"/>
    <s v=""/>
    <s v=""/>
    <s v=""/>
    <s v="078"/>
    <s v="31996"/>
    <s v="00000"/>
    <s v="/////"/>
    <s v="0106"/>
    <s v="0091"/>
    <s v=""/>
    <x v="9"/>
    <s v="43063 31996 00000 10106 20091 40182 70500 333 20078 59005 555 00000 ="/>
    <n v="78"/>
    <s v="asd"/>
    <s v="28/05/2012 2:30:12 PM"/>
    <n v="2012"/>
    <x v="0"/>
    <x v="9"/>
    <n v="9.1"/>
    <s v=""/>
    <n v="7.8"/>
  </r>
  <r>
    <s v="10/01/2012"/>
    <s v="43063"/>
    <x v="0"/>
    <s v="25"/>
    <s v="5"/>
    <s v="10113"/>
    <s v="7////"/>
    <s v="59002"/>
    <s v="27"/>
    <s v="///"/>
    <s v=""/>
    <s v=""/>
    <s v="56///"/>
    <s v=""/>
    <s v=""/>
    <s v="269"/>
    <s v=""/>
    <s v="32997"/>
    <s v="00901"/>
    <s v="/////"/>
    <s v="0250"/>
    <s v="0053"/>
    <s v=""/>
    <x v="9"/>
    <s v="43063 32997 00901 10250 20053 40113 333 10269 59002 ="/>
    <m/>
    <s v="asd"/>
    <s v="28/05/2012 2:30:12 PM"/>
    <n v="2012"/>
    <x v="0"/>
    <x v="9"/>
    <n v="5.3"/>
    <n v="26.9"/>
    <s v=""/>
  </r>
  <r>
    <s v="11/01/2012"/>
    <s v="43063"/>
    <x v="1"/>
    <s v="11"/>
    <s v="8"/>
    <s v="10202"/>
    <s v="70500"/>
    <s v="58015"/>
    <s v="///"/>
    <s v="8"/>
    <s v=""/>
    <s v=""/>
    <s v="56///"/>
    <s v=""/>
    <s v=""/>
    <s v=""/>
    <s v="077"/>
    <s v="31996"/>
    <s v="00000"/>
    <s v="/////"/>
    <s v="0110"/>
    <s v="0079"/>
    <s v=""/>
    <x v="10"/>
    <s v="43063 31996 00000 10110 20079 40202 70500 333 20077 58015 555 00000 ="/>
    <n v="77"/>
    <s v="asd"/>
    <s v="28/05/2012 2:30:12 PM"/>
    <n v="2012"/>
    <x v="0"/>
    <x v="10"/>
    <n v="7.9"/>
    <s v=""/>
    <n v="7.7"/>
  </r>
  <r>
    <s v="11/01/2012"/>
    <s v="43063"/>
    <x v="0"/>
    <s v="24"/>
    <s v="6"/>
    <s v="10127"/>
    <s v="7////"/>
    <s v="58014"/>
    <s v="26"/>
    <s v="///"/>
    <s v=""/>
    <s v=""/>
    <s v="56///"/>
    <s v=""/>
    <s v=""/>
    <s v="259"/>
    <s v=""/>
    <s v="32997"/>
    <s v="00000"/>
    <s v="/////"/>
    <s v="0244"/>
    <s v="0057"/>
    <s v=""/>
    <x v="10"/>
    <s v="43063 32997 00000 10244 20057 40127 333 10259 58014 ="/>
    <m/>
    <s v="asd"/>
    <s v="28/05/2012 2:30:12 PM"/>
    <n v="2012"/>
    <x v="0"/>
    <x v="10"/>
    <n v="5.7"/>
    <n v="25.9"/>
    <s v=""/>
  </r>
  <r>
    <s v="12/01/2012"/>
    <s v="43063"/>
    <x v="0"/>
    <s v="25"/>
    <s v="3"/>
    <s v="10125"/>
    <s v="7////"/>
    <s v="59002"/>
    <s v="27"/>
    <s v="///"/>
    <s v=""/>
    <s v=""/>
    <s v="56///"/>
    <s v=""/>
    <s v=""/>
    <s v="269"/>
    <s v=""/>
    <s v="32997"/>
    <s v="00901"/>
    <s v="/////"/>
    <s v="0250"/>
    <s v="0031"/>
    <s v=""/>
    <x v="11"/>
    <s v="43063 32997 00901 10250 20031 40125 333 10269 59002 ="/>
    <m/>
    <s v="asd"/>
    <s v="28/05/2012 2:30:12 PM"/>
    <n v="2012"/>
    <x v="0"/>
    <x v="11"/>
    <n v="3.1"/>
    <n v="26.9"/>
    <s v=""/>
  </r>
  <r>
    <s v="12/01/2012"/>
    <s v="43063"/>
    <x v="1"/>
    <s v="10"/>
    <s v="8"/>
    <s v="10199"/>
    <s v="70500"/>
    <s v="59006"/>
    <s v="///"/>
    <s v="7"/>
    <s v=""/>
    <s v=""/>
    <s v="56///"/>
    <s v=""/>
    <s v=""/>
    <s v=""/>
    <s v="068"/>
    <s v="31996"/>
    <s v="00000"/>
    <s v="/////"/>
    <s v="0098"/>
    <s v="0082"/>
    <s v=""/>
    <x v="11"/>
    <s v="43063 31996 00000 10098 20082 40199 70500 333 20068 59006 555 00000 ="/>
    <n v="68"/>
    <s v="asd"/>
    <s v="28/05/2012 2:30:12 PM"/>
    <n v="2012"/>
    <x v="0"/>
    <x v="11"/>
    <n v="8.1999999999999993"/>
    <s v=""/>
    <n v="6.8"/>
  </r>
  <r>
    <s v="13/01/2012"/>
    <s v="43063"/>
    <x v="0"/>
    <s v="25"/>
    <s v="5"/>
    <s v="10123"/>
    <s v="7////"/>
    <s v="58001"/>
    <s v="27"/>
    <s v="///"/>
    <s v=""/>
    <s v=""/>
    <s v="56///"/>
    <s v=""/>
    <s v=""/>
    <s v="271"/>
    <s v=""/>
    <s v="32997"/>
    <s v="00902"/>
    <s v="/////"/>
    <s v="0254"/>
    <s v="0051"/>
    <s v=""/>
    <x v="12"/>
    <s v="43063 32997 00902 10254 20051 40123 333 10271 58001 555 00000 ="/>
    <m/>
    <s v="asd"/>
    <s v="28/05/2012 2:30:12 PM"/>
    <n v="2012"/>
    <x v="0"/>
    <x v="12"/>
    <n v="5.0999999999999996"/>
    <n v="27.1"/>
    <s v=""/>
  </r>
  <r>
    <s v="13/01/2012"/>
    <s v="43063"/>
    <x v="1"/>
    <s v="10"/>
    <s v="8"/>
    <s v="10205"/>
    <s v="70500"/>
    <s v="58006"/>
    <s v="///"/>
    <s v="7"/>
    <s v=""/>
    <s v=""/>
    <s v="56///"/>
    <s v=""/>
    <s v=""/>
    <s v=""/>
    <s v="066"/>
    <s v="31996"/>
    <s v="00000"/>
    <s v="/////"/>
    <s v="0100"/>
    <s v="0080"/>
    <s v=""/>
    <x v="12"/>
    <s v="43063 31996 00000 10100 20080 40205 70500 333 20066 58006 555 00000 ="/>
    <n v="66"/>
    <s v="asd"/>
    <s v="28/05/2012 2:30:12 PM"/>
    <n v="2012"/>
    <x v="0"/>
    <x v="12"/>
    <n v="8"/>
    <s v=""/>
    <n v="6.6"/>
  </r>
  <r>
    <s v="14/01/2012"/>
    <s v="43063"/>
    <x v="1"/>
    <s v="12"/>
    <s v="8"/>
    <s v="10189"/>
    <s v="70500"/>
    <s v="59011"/>
    <s v="///"/>
    <s v="8"/>
    <s v=""/>
    <s v=""/>
    <s v="56///"/>
    <s v=""/>
    <s v=""/>
    <s v=""/>
    <s v="076"/>
    <s v="31996"/>
    <s v="00000"/>
    <s v="/////"/>
    <s v="0118"/>
    <s v="0079"/>
    <s v=""/>
    <x v="13"/>
    <s v="43063 31996 00000 10118 20079 40189 70500 333 20076 59011 555 00000 ="/>
    <n v="76"/>
    <s v="asd"/>
    <s v="28/05/2012 2:30:12 PM"/>
    <n v="2012"/>
    <x v="0"/>
    <x v="13"/>
    <n v="7.9"/>
    <s v=""/>
    <n v="7.6"/>
  </r>
  <r>
    <s v="14/01/2012"/>
    <s v="43063"/>
    <x v="0"/>
    <s v="26"/>
    <s v="05"/>
    <s v="10112"/>
    <s v="7////"/>
    <s v="59011"/>
    <s v="28"/>
    <s v="///"/>
    <s v=""/>
    <s v=""/>
    <s v="56///"/>
    <s v=""/>
    <s v=""/>
    <s v="279"/>
    <s v=""/>
    <s v="32997"/>
    <s v="00901"/>
    <s v="/////"/>
    <s v="0260"/>
    <s v="0055"/>
    <s v=""/>
    <x v="13"/>
    <s v="43063 32997 00901 10260 20055 40112 333 10279 59011 ="/>
    <m/>
    <s v="asd"/>
    <s v="28/05/2012 2:30:12 PM"/>
    <n v="2012"/>
    <x v="0"/>
    <x v="13"/>
    <n v="5.5"/>
    <n v="27.9"/>
    <s v=""/>
  </r>
  <r>
    <s v="15/01/2012"/>
    <s v="43063"/>
    <x v="1"/>
    <s v="11"/>
    <s v="9"/>
    <s v="10173"/>
    <s v="70500"/>
    <s v="59017"/>
    <s v="///"/>
    <s v="7"/>
    <s v=""/>
    <s v=""/>
    <s v="56///"/>
    <s v=""/>
    <s v=""/>
    <s v=""/>
    <s v="074"/>
    <s v="31996"/>
    <s v="00000"/>
    <s v="/////"/>
    <s v="0108"/>
    <s v="0085"/>
    <s v=""/>
    <x v="14"/>
    <s v="43063 31996 00000 10108 20085 40173 70500 333 20074 59017 555 00000 ="/>
    <n v="74"/>
    <s v="asd"/>
    <s v="28/05/2012 2:30:12 PM"/>
    <n v="2012"/>
    <x v="0"/>
    <x v="14"/>
    <n v="8.5"/>
    <s v=""/>
    <n v="7.4"/>
  </r>
  <r>
    <s v="15/01/2012"/>
    <s v="43063"/>
    <x v="0"/>
    <s v="27"/>
    <s v="5"/>
    <s v="10085"/>
    <s v="7////"/>
    <s v="59022"/>
    <s v="30"/>
    <s v="///"/>
    <s v=""/>
    <s v=""/>
    <s v="56///"/>
    <s v=""/>
    <s v=""/>
    <s v="300"/>
    <s v=""/>
    <s v="32997"/>
    <s v="00000"/>
    <s v="/////"/>
    <s v="0274"/>
    <s v="0045"/>
    <s v=""/>
    <x v="14"/>
    <s v="43063 32997 00000 10274 20045 40085 333 10300 59022 ="/>
    <m/>
    <s v="asd"/>
    <s v="28/05/2012 2:30:12 PM"/>
    <n v="2012"/>
    <x v="0"/>
    <x v="14"/>
    <n v="4.5"/>
    <n v="30"/>
    <s v=""/>
  </r>
  <r>
    <s v="16/01/2012"/>
    <s v="43063"/>
    <x v="1"/>
    <s v="11"/>
    <s v="9"/>
    <s v="10155"/>
    <s v="70500"/>
    <s v="59015"/>
    <s v="///"/>
    <s v="8"/>
    <s v=""/>
    <s v=""/>
    <s v="56///"/>
    <s v=""/>
    <s v=""/>
    <s v=""/>
    <s v="082"/>
    <s v="31996"/>
    <s v="00000"/>
    <s v="/////"/>
    <s v="0112"/>
    <s v="0089"/>
    <s v=""/>
    <x v="15"/>
    <s v="43063 31996 00000 10112 20089 40155 70500 333 20082 59015 555 00000 ="/>
    <n v="82"/>
    <s v="asd"/>
    <s v="28/05/2012 2:30:12 PM"/>
    <n v="2012"/>
    <x v="0"/>
    <x v="15"/>
    <n v="8.9"/>
    <s v=""/>
    <n v="8.1999999999999993"/>
  </r>
  <r>
    <s v="16/01/2012"/>
    <s v="43063"/>
    <x v="0"/>
    <s v="28"/>
    <s v="3"/>
    <s v="10070"/>
    <s v="7////"/>
    <s v="59001"/>
    <s v="31"/>
    <s v="///"/>
    <s v=""/>
    <s v=""/>
    <s v="56///"/>
    <s v=""/>
    <s v=""/>
    <s v="311"/>
    <s v=""/>
    <s v="32997"/>
    <s v="02702"/>
    <s v="/////"/>
    <s v="0282"/>
    <s v="0028"/>
    <s v=""/>
    <x v="15"/>
    <s v="43063 32997 02702 10282 20028 40070 333 10311 59001 ="/>
    <m/>
    <s v="asd"/>
    <s v="28/05/2012 2:30:12 PM"/>
    <n v="2012"/>
    <x v="0"/>
    <x v="15"/>
    <n v="2.8"/>
    <n v="31.1"/>
    <s v=""/>
  </r>
  <r>
    <s v="17/01/2012"/>
    <s v="43063"/>
    <x v="1"/>
    <s v="11"/>
    <s v="11"/>
    <s v="10136"/>
    <s v="70500"/>
    <s v="59017"/>
    <s v="///"/>
    <s v="8"/>
    <s v=""/>
    <s v=""/>
    <s v="56///"/>
    <s v=""/>
    <s v=""/>
    <s v=""/>
    <s v="081"/>
    <s v="31996"/>
    <s v="00000"/>
    <s v="/////"/>
    <s v="0112"/>
    <s v="0105"/>
    <s v=""/>
    <x v="16"/>
    <s v="43063 31996 00000 10112 20105 40136 70500 333 20081 59017 555 00000 ="/>
    <n v="81"/>
    <s v="asd"/>
    <s v="28/05/2012 2:30:12 PM"/>
    <n v="2012"/>
    <x v="0"/>
    <x v="16"/>
    <n v="10.5"/>
    <s v=""/>
    <n v="8.1"/>
  </r>
  <r>
    <s v="17/01/2012"/>
    <s v="43063"/>
    <x v="0"/>
    <s v="28"/>
    <s v="1"/>
    <s v="10063"/>
    <s v="7////"/>
    <s v="59009"/>
    <s v="31"/>
    <s v="///"/>
    <s v=""/>
    <s v=""/>
    <s v="56///"/>
    <s v=""/>
    <s v=""/>
    <s v="310"/>
    <s v=""/>
    <s v="32997"/>
    <s v="02903"/>
    <s v="/////"/>
    <s v="0277"/>
    <s v="0013"/>
    <s v=""/>
    <x v="16"/>
    <s v="43063 32997 02903 10277 20013 40063 333 10310 59009 ="/>
    <m/>
    <s v="asd"/>
    <s v="28/05/2012 2:30:12 PM"/>
    <n v="2012"/>
    <x v="0"/>
    <x v="16"/>
    <n v="1.3"/>
    <n v="31"/>
    <s v=""/>
  </r>
  <r>
    <s v="18/01/2012"/>
    <s v="43063"/>
    <x v="1"/>
    <s v="14"/>
    <s v="12"/>
    <s v="10122"/>
    <s v="70500"/>
    <s v="59007"/>
    <s v="///"/>
    <s v="9"/>
    <s v=""/>
    <s v=""/>
    <s v="56///"/>
    <s v=""/>
    <s v=""/>
    <s v=""/>
    <s v="094"/>
    <s v="31996"/>
    <s v="00000"/>
    <s v="/////"/>
    <s v="0144"/>
    <s v="0119"/>
    <s v=""/>
    <x v="17"/>
    <s v="43063 31996 00000 10144 20119 40122 70500 333 20094 59007 555 00000 ="/>
    <n v="94"/>
    <s v="asd"/>
    <s v="28/05/2012 2:30:12 PM"/>
    <n v="2012"/>
    <x v="0"/>
    <x v="17"/>
    <n v="11.9"/>
    <s v=""/>
    <n v="9.4"/>
  </r>
  <r>
    <s v="18/01/2012"/>
    <s v="43063"/>
    <x v="0"/>
    <s v="25"/>
    <s v="9"/>
    <s v="10065"/>
    <s v="7////"/>
    <s v="59004"/>
    <s v="27"/>
    <s v="///"/>
    <s v=""/>
    <s v=""/>
    <s v="56///"/>
    <s v=""/>
    <s v=""/>
    <s v="270"/>
    <s v=""/>
    <s v="32997"/>
    <s v="02708"/>
    <s v="/////"/>
    <s v="0248"/>
    <s v="0089"/>
    <s v=""/>
    <x v="17"/>
    <s v="43063 32997 02708 10248 20089 40065 333 10270 59004 ="/>
    <m/>
    <s v="asd"/>
    <s v="28/05/2012 2:30:12 PM"/>
    <n v="2012"/>
    <x v="0"/>
    <x v="17"/>
    <n v="8.9"/>
    <n v="27"/>
    <s v=""/>
  </r>
  <r>
    <s v="19/01/2012"/>
    <s v="43063"/>
    <x v="0"/>
    <s v="23"/>
    <s v="11"/>
    <s v="10080"/>
    <s v="7////"/>
    <s v="58012"/>
    <s v="25"/>
    <s v="///"/>
    <s v=""/>
    <s v=""/>
    <s v="56///"/>
    <s v=""/>
    <s v=""/>
    <s v="251"/>
    <s v=""/>
    <s v="32997"/>
    <s v="23204"/>
    <s v="80001"/>
    <s v="0234"/>
    <s v="0106"/>
    <s v=""/>
    <x v="18"/>
    <s v="43063 32997 23204 10234 20106 40080 80001 333 10251 58012 ="/>
    <m/>
    <s v="asd"/>
    <s v="28/05/2012 2:30:12 PM"/>
    <n v="2012"/>
    <x v="0"/>
    <x v="18"/>
    <n v="10.6"/>
    <n v="25.1"/>
    <s v=""/>
  </r>
  <r>
    <s v="19/01/2012"/>
    <s v="43063"/>
    <x v="1"/>
    <s v="15"/>
    <s v="11"/>
    <s v="10129"/>
    <s v="70500"/>
    <s v="58007"/>
    <s v="///"/>
    <s v="10"/>
    <s v=""/>
    <s v=""/>
    <s v="56///"/>
    <s v=""/>
    <s v=""/>
    <s v=""/>
    <s v="099"/>
    <s v="31996"/>
    <s v="00000"/>
    <s v="/////"/>
    <s v="0148"/>
    <s v="0105"/>
    <s v=""/>
    <x v="18"/>
    <s v="43063 31996 00000 10148 20105 40129 70500 333 20099 58007 555 00000 ="/>
    <n v="99"/>
    <s v="asd"/>
    <s v="28/05/2012 2:30:12 PM"/>
    <n v="2012"/>
    <x v="0"/>
    <x v="18"/>
    <n v="10.5"/>
    <s v=""/>
    <n v="9.9"/>
  </r>
  <r>
    <s v="20/01/2012"/>
    <s v="43063"/>
    <x v="1"/>
    <s v="12"/>
    <s v="11"/>
    <s v="10149"/>
    <s v="70500"/>
    <s v="58011"/>
    <s v="///"/>
    <s v="8"/>
    <s v=""/>
    <s v=""/>
    <s v="56///"/>
    <s v=""/>
    <s v=""/>
    <s v=""/>
    <s v="078"/>
    <s v="31996"/>
    <s v="00000"/>
    <s v="/////"/>
    <s v="0120"/>
    <s v="0105"/>
    <s v=""/>
    <x v="19"/>
    <s v="43063 31996 00000 10120 20105 40149 70500 333 20078 58011 555 00000 ="/>
    <n v="78"/>
    <s v="asd"/>
    <s v="28/05/2012 2:30:12 PM"/>
    <n v="2012"/>
    <x v="0"/>
    <x v="19"/>
    <n v="10.5"/>
    <s v=""/>
    <n v="7.8"/>
  </r>
  <r>
    <s v="20/01/2012"/>
    <s v="43063"/>
    <x v="0"/>
    <s v="26"/>
    <s v="9"/>
    <s v="10088"/>
    <s v="7////"/>
    <s v="58011"/>
    <s v="27"/>
    <s v="///"/>
    <s v=""/>
    <s v=""/>
    <s v="56///"/>
    <s v=""/>
    <s v=""/>
    <s v="272"/>
    <s v=""/>
    <s v="32997"/>
    <s v="00000"/>
    <s v="/////"/>
    <s v="0260"/>
    <s v="0092"/>
    <s v=""/>
    <x v="19"/>
    <s v="43063 32997 00000 10260 20092 40088 333 10272 58011 ="/>
    <m/>
    <s v="asd"/>
    <s v="28/05/2012 2:30:12 PM"/>
    <n v="2012"/>
    <x v="0"/>
    <x v="19"/>
    <n v="9.1999999999999993"/>
    <n v="27.2"/>
    <s v=""/>
  </r>
  <r>
    <s v="21/01/2012"/>
    <s v="43063"/>
    <x v="1"/>
    <s v="13"/>
    <s v="11"/>
    <s v="10153"/>
    <s v="70500"/>
    <s v="58007"/>
    <s v="///"/>
    <s v="9"/>
    <s v=""/>
    <s v=""/>
    <s v="56///"/>
    <s v=""/>
    <s v=""/>
    <s v=""/>
    <s v="087"/>
    <s v="31996"/>
    <s v="00000"/>
    <s v="/////"/>
    <s v="0126"/>
    <s v="0111"/>
    <s v=""/>
    <x v="20"/>
    <s v="43063 31996 00000 10126 20111 40153 70500 333 20087 58007 555 00000 ="/>
    <n v="87"/>
    <s v="asd"/>
    <s v="28/05/2012 2:30:12 PM"/>
    <n v="2012"/>
    <x v="0"/>
    <x v="20"/>
    <n v="11.1"/>
    <s v=""/>
    <n v="8.6999999999999993"/>
  </r>
  <r>
    <s v="21/01/2012"/>
    <s v="43063"/>
    <x v="0"/>
    <s v="28"/>
    <s v="9"/>
    <s v="10077"/>
    <s v="7////"/>
    <s v="59003"/>
    <s v="30"/>
    <s v="///"/>
    <s v=""/>
    <s v=""/>
    <s v="56///"/>
    <s v=""/>
    <s v=""/>
    <s v="296"/>
    <s v=""/>
    <s v="32997"/>
    <s v="00000"/>
    <s v="/////"/>
    <s v="0284"/>
    <s v="0090"/>
    <s v=""/>
    <x v="20"/>
    <s v="43063 32997 00000 10284 20090 40077 333 10296 59003 ="/>
    <m/>
    <s v="asd"/>
    <s v="28/05/2012 2:30:12 PM"/>
    <n v="2012"/>
    <x v="0"/>
    <x v="20"/>
    <n v="9"/>
    <n v="29.6"/>
    <s v=""/>
  </r>
  <r>
    <s v="22/01/2012"/>
    <s v="43063"/>
    <x v="1"/>
    <s v="14"/>
    <s v="13"/>
    <s v="10152"/>
    <s v="70500"/>
    <s v="58001"/>
    <s v="///"/>
    <s v="11"/>
    <s v=""/>
    <s v=""/>
    <s v="56///"/>
    <s v=""/>
    <s v=""/>
    <s v=""/>
    <s v="112"/>
    <s v="31996"/>
    <s v="00000"/>
    <s v="/////"/>
    <s v="0140"/>
    <s v="0128"/>
    <s v=""/>
    <x v="21"/>
    <s v="43063 31996 00000 10140 20128 40152 70500 333 20112 58001 555 00000 ="/>
    <n v="112"/>
    <s v="asd"/>
    <s v="28/05/2012 2:30:12 PM"/>
    <n v="2012"/>
    <x v="0"/>
    <x v="21"/>
    <n v="12.8"/>
    <s v=""/>
    <n v="11.2"/>
  </r>
  <r>
    <s v="22/01/2012"/>
    <s v="43063"/>
    <x v="0"/>
    <s v="26"/>
    <s v="13"/>
    <s v="10102"/>
    <s v="7////"/>
    <s v="58016"/>
    <s v="29"/>
    <s v="///"/>
    <s v=""/>
    <s v=""/>
    <s v="56///"/>
    <s v=""/>
    <s v=""/>
    <s v="290"/>
    <s v=""/>
    <s v="32597"/>
    <s v="22703"/>
    <s v="82500"/>
    <s v="0256"/>
    <s v="0135"/>
    <s v=""/>
    <x v="21"/>
    <s v="43063 32597 22703 10256 20135 40102 82500 333 10290 58016 ="/>
    <m/>
    <s v="asd"/>
    <s v="28/05/2012 2:30:12 PM"/>
    <n v="2012"/>
    <x v="0"/>
    <x v="21"/>
    <n v="13.5"/>
    <n v="29"/>
    <s v=""/>
  </r>
  <r>
    <s v="23/01/2012"/>
    <s v="43063"/>
    <x v="1"/>
    <s v="16"/>
    <s v="15"/>
    <s v="10162"/>
    <s v="70500"/>
    <s v="58011"/>
    <s v="///"/>
    <s v="14"/>
    <s v=""/>
    <s v=""/>
    <s v="56///"/>
    <s v=""/>
    <s v=""/>
    <s v=""/>
    <s v="138"/>
    <s v="31996"/>
    <s v="00000"/>
    <s v="/////"/>
    <s v="0160"/>
    <s v="0147"/>
    <s v=""/>
    <x v="22"/>
    <s v="43063 31996 00000 10160 20147 40162 70500 333 20138 58011 555 00000 ="/>
    <n v="138"/>
    <s v="asd"/>
    <s v="28/05/2012 2:30:12 PM"/>
    <n v="2012"/>
    <x v="0"/>
    <x v="22"/>
    <n v="14.7"/>
    <s v=""/>
    <n v="13.8"/>
  </r>
  <r>
    <s v="23/01/2012"/>
    <s v="43063"/>
    <x v="0"/>
    <s v="29"/>
    <s v="12"/>
    <s v="10086"/>
    <s v="7////"/>
    <s v="59009"/>
    <s v="30"/>
    <s v="///"/>
    <s v=""/>
    <s v=""/>
    <s v="56///"/>
    <s v=""/>
    <s v=""/>
    <s v="300"/>
    <s v=""/>
    <s v="32597"/>
    <s v="50000"/>
    <s v="85800"/>
    <s v="0286"/>
    <s v="0121"/>
    <s v=""/>
    <x v="22"/>
    <s v="43063 32597 50000 10286 20121 40086 85800 333 10300 59009 ="/>
    <m/>
    <s v="asd"/>
    <s v="28/05/2012 2:30:12 PM"/>
    <n v="2012"/>
    <x v="0"/>
    <x v="22"/>
    <n v="12.1"/>
    <n v="30"/>
    <s v=""/>
  </r>
  <r>
    <s v="24/01/2012"/>
    <s v="43063"/>
    <x v="1"/>
    <s v="16"/>
    <s v="15"/>
    <s v="10154"/>
    <s v="70500"/>
    <s v="59006"/>
    <s v="///"/>
    <s v="14"/>
    <s v=""/>
    <s v=""/>
    <s v="56///"/>
    <s v=""/>
    <s v=""/>
    <s v=""/>
    <s v="138"/>
    <s v="31596"/>
    <s v="20000"/>
    <s v="82500"/>
    <s v="0156"/>
    <s v="0146"/>
    <s v=""/>
    <x v="23"/>
    <s v="43063 31596 20000 10156 20146 40154 70500 82500 333 20138 59006 555 00000 ="/>
    <n v="138"/>
    <s v="asd"/>
    <s v="28/05/2012 2:30:12 PM"/>
    <n v="2012"/>
    <x v="0"/>
    <x v="23"/>
    <n v="14.6"/>
    <s v=""/>
    <n v="13.8"/>
  </r>
  <r>
    <s v="24/01/2012"/>
    <s v="43063"/>
    <x v="0"/>
    <s v="29"/>
    <s v="12"/>
    <s v="10083"/>
    <s v="7////"/>
    <s v="59003"/>
    <s v="30"/>
    <s v="///"/>
    <s v=""/>
    <s v=""/>
    <s v="56///"/>
    <s v=""/>
    <s v=""/>
    <s v="296"/>
    <s v=""/>
    <s v="32597"/>
    <s v="42702"/>
    <s v="84800"/>
    <s v="0286"/>
    <s v="0117"/>
    <s v=""/>
    <x v="23"/>
    <s v="43063 32597 42702 10286 20117 40083 84800 333 10296 59003 ="/>
    <m/>
    <s v="asd"/>
    <s v="28/05/2012 2:30:12 PM"/>
    <n v="2012"/>
    <x v="0"/>
    <x v="23"/>
    <n v="11.7"/>
    <n v="29.6"/>
    <s v=""/>
  </r>
  <r>
    <s v="25/01/2012"/>
    <s v="43063"/>
    <x v="1"/>
    <s v="16"/>
    <s v="14"/>
    <s v="10138"/>
    <s v="70511"/>
    <s v="59014"/>
    <s v="///"/>
    <s v="13"/>
    <s v=""/>
    <s v=""/>
    <s v="56///"/>
    <s v=""/>
    <s v=""/>
    <s v=""/>
    <s v="135"/>
    <s v="31996"/>
    <s v="10000"/>
    <s v="80001"/>
    <s v="0160"/>
    <s v="0143"/>
    <s v=""/>
    <x v="24"/>
    <s v="43063 31996 10000 10160 20143 40138 70511 80001 333 20135 59014 555 00000 ="/>
    <n v="135"/>
    <s v="asd"/>
    <s v="28/05/2012 2:30:12 PM"/>
    <n v="2012"/>
    <x v="0"/>
    <x v="24"/>
    <n v="14.3"/>
    <s v=""/>
    <n v="13.5"/>
  </r>
  <r>
    <s v="25/01/2012"/>
    <s v="43063"/>
    <x v="0"/>
    <s v="27"/>
    <s v="13"/>
    <s v="10087"/>
    <s v="7////"/>
    <s v="58000"/>
    <s v="31"/>
    <s v="///"/>
    <s v=""/>
    <s v=""/>
    <s v="56///"/>
    <s v=""/>
    <s v=""/>
    <s v="306"/>
    <s v=""/>
    <s v="32597"/>
    <s v="22703"/>
    <s v="81501"/>
    <s v="0266"/>
    <s v="0132"/>
    <s v=""/>
    <x v="24"/>
    <s v="43063 32597 22703 10266 20132 40087 81501 333 10306 58000 ="/>
    <m/>
    <s v="asd"/>
    <s v="28/05/2012 2:30:12 PM"/>
    <n v="2012"/>
    <x v="0"/>
    <x v="24"/>
    <n v="13.2"/>
    <n v="30.6"/>
    <s v=""/>
  </r>
  <r>
    <s v="26/01/2012"/>
    <s v="43063"/>
    <x v="1"/>
    <s v="16"/>
    <s v="13"/>
    <s v="10153"/>
    <s v="70511"/>
    <s v="58014"/>
    <s v="///"/>
    <s v="12"/>
    <s v=""/>
    <s v=""/>
    <s v="56///"/>
    <s v=""/>
    <s v=""/>
    <s v=""/>
    <s v="118"/>
    <s v="31596"/>
    <s v="20000"/>
    <s v="82500"/>
    <s v="0156"/>
    <s v="0125"/>
    <s v=""/>
    <x v="25"/>
    <s v="43063 31596 20000 10156 20125 40153 70511 82500 333 20118 58014 555 00000 ="/>
    <n v="118"/>
    <s v="asd"/>
    <s v="28/05/2012 2:30:12 PM"/>
    <n v="2012"/>
    <x v="0"/>
    <x v="25"/>
    <n v="12.5"/>
    <s v=""/>
    <n v="11.8"/>
  </r>
  <r>
    <s v="26/01/2012"/>
    <s v="43063"/>
    <x v="0"/>
    <s v="27"/>
    <s v="11"/>
    <s v="10096"/>
    <s v="7////"/>
    <s v="58008"/>
    <s v="29"/>
    <s v="///"/>
    <s v=""/>
    <s v=""/>
    <s v="56///"/>
    <s v=""/>
    <s v=""/>
    <s v="290"/>
    <s v=""/>
    <s v="32597"/>
    <s v="43202"/>
    <s v="81531"/>
    <s v="0268"/>
    <s v="0109"/>
    <s v=""/>
    <x v="25"/>
    <s v="43063 32597 43202 10268 20109 40096 81531 333 10290 58008 ="/>
    <m/>
    <s v="asd"/>
    <s v="28/05/2012 2:30:12 PM"/>
    <n v="2012"/>
    <x v="0"/>
    <x v="25"/>
    <n v="10.9"/>
    <n v="29"/>
    <s v=""/>
  </r>
  <r>
    <s v="27/01/2012"/>
    <s v="43063"/>
    <x v="0"/>
    <s v="28"/>
    <s v="8"/>
    <s v="10082"/>
    <s v="7////"/>
    <s v="59018"/>
    <s v="31"/>
    <s v="///"/>
    <s v=""/>
    <s v=""/>
    <s v="56///"/>
    <s v=""/>
    <s v=""/>
    <s v="307"/>
    <s v=""/>
    <s v="32997"/>
    <s v="02704"/>
    <s v="/////"/>
    <s v="0276"/>
    <s v="0077"/>
    <s v=""/>
    <x v="26"/>
    <s v="43063 32997 02704 10276 20077 40082 333 10307 59018 ="/>
    <m/>
    <s v="asd"/>
    <s v="28/05/2012 2:30:12 PM"/>
    <n v="2012"/>
    <x v="0"/>
    <x v="26"/>
    <n v="7.7"/>
    <n v="30.7"/>
    <s v=""/>
  </r>
  <r>
    <s v="27/01/2012"/>
    <s v="43063"/>
    <x v="1"/>
    <s v="13"/>
    <s v="12"/>
    <s v="10151"/>
    <s v="70500"/>
    <s v="59006"/>
    <s v="///"/>
    <s v="11"/>
    <s v=""/>
    <s v=""/>
    <s v="56///"/>
    <s v=""/>
    <s v=""/>
    <s v=""/>
    <s v="109"/>
    <s v="31996"/>
    <s v="00000"/>
    <s v="/////"/>
    <s v="0134"/>
    <s v="0123"/>
    <s v=""/>
    <x v="26"/>
    <s v="43063 31996 00000 10134 20123 40151 70500 333 20109 59006 555@@ 00000 ="/>
    <n v="109"/>
    <s v="asd"/>
    <s v="28/05/2012 2:30:12 PM"/>
    <n v="2012"/>
    <x v="0"/>
    <x v="26"/>
    <n v="12.3"/>
    <s v=""/>
    <n v="10.9"/>
  </r>
  <r>
    <s v="28/01/2012"/>
    <s v="43063"/>
    <x v="0"/>
    <s v="27"/>
    <s v="6"/>
    <s v="10083"/>
    <s v="7////"/>
    <s v="59001"/>
    <s v="30"/>
    <s v="///"/>
    <s v=""/>
    <s v=""/>
    <s v="56///"/>
    <s v=""/>
    <s v=""/>
    <s v="297"/>
    <s v=""/>
    <s v="32997"/>
    <s v="02702"/>
    <s v="/////"/>
    <s v="0266"/>
    <s v="0060"/>
    <s v=""/>
    <x v="27"/>
    <s v="43063 32997 02702 10266 20060 40083 333 10297 59001 ="/>
    <m/>
    <s v="asd"/>
    <s v="28/05/2012 2:30:12 PM"/>
    <n v="2012"/>
    <x v="0"/>
    <x v="27"/>
    <n v="6"/>
    <n v="29.7"/>
    <s v=""/>
  </r>
  <r>
    <s v="28/01/2012"/>
    <s v="43063"/>
    <x v="1"/>
    <s v="15"/>
    <s v="12"/>
    <s v="10142"/>
    <s v="70500"/>
    <s v="59006"/>
    <s v="///"/>
    <s v="11"/>
    <s v=""/>
    <s v=""/>
    <s v="56///"/>
    <s v=""/>
    <s v=""/>
    <s v=""/>
    <s v="108"/>
    <s v="31996"/>
    <s v="00000"/>
    <s v="/////"/>
    <s v="0146"/>
    <s v="0121"/>
    <s v=""/>
    <x v="27"/>
    <s v="43063 31996 00000 10146 20121 40142 70500 333 20108 59006 555 00000 ="/>
    <n v="108"/>
    <s v="asd"/>
    <s v="28/05/2012 2:30:12 PM"/>
    <n v="2012"/>
    <x v="0"/>
    <x v="27"/>
    <n v="12.1"/>
    <s v=""/>
    <n v="10.8"/>
  </r>
  <r>
    <s v="29/01/2012"/>
    <s v="43063"/>
    <x v="0"/>
    <s v="27"/>
    <s v="2"/>
    <s v="10085"/>
    <s v="7////"/>
    <s v="58001"/>
    <s v="29"/>
    <s v="///"/>
    <s v=""/>
    <s v=""/>
    <s v="56///"/>
    <s v=""/>
    <s v=""/>
    <s v="286"/>
    <s v=""/>
    <s v="32597"/>
    <s v="22701"/>
    <s v="81530"/>
    <s v="0265"/>
    <s v="0017"/>
    <s v=""/>
    <x v="28"/>
    <s v="43063 32597 22701 10265 20017 40085 81530 333 10286 58001 ="/>
    <m/>
    <s v="asd"/>
    <s v="28/05/2012 2:30:12 PM"/>
    <n v="2012"/>
    <x v="0"/>
    <x v="28"/>
    <n v="1.7"/>
    <n v="28.6"/>
    <s v=""/>
  </r>
  <r>
    <s v="29/01/2012"/>
    <s v="43063"/>
    <x v="1"/>
    <s v="13"/>
    <s v="09"/>
    <s v="10147"/>
    <s v="70500"/>
    <s v="58002"/>
    <s v="///"/>
    <s v="9"/>
    <s v=""/>
    <s v=""/>
    <s v="56///"/>
    <s v=""/>
    <s v=""/>
    <s v=""/>
    <s v="092"/>
    <s v="31996"/>
    <s v="00000"/>
    <s v="/////"/>
    <s v="0132"/>
    <s v="0095"/>
    <s v=""/>
    <x v="28"/>
    <s v="43063 31996 00000 10132 20095 40147 70500 333 20092 58002 555 00000 ="/>
    <n v="92"/>
    <s v="asd"/>
    <s v="28/05/2012 2:30:12 PM"/>
    <n v="2012"/>
    <x v="0"/>
    <x v="28"/>
    <n v="9.5"/>
    <s v=""/>
    <n v="9.1999999999999993"/>
  </r>
  <r>
    <s v="30/01/2012"/>
    <s v="43063"/>
    <x v="0"/>
    <s v="28"/>
    <s v="13"/>
    <s v="10086"/>
    <s v="7////"/>
    <s v="58003"/>
    <s v="30"/>
    <s v="///"/>
    <s v=""/>
    <s v=""/>
    <s v="56///"/>
    <s v=""/>
    <s v=""/>
    <s v="299"/>
    <s v=""/>
    <s v="32597"/>
    <s v="30000"/>
    <s v="82501"/>
    <s v="0280"/>
    <s v="0134"/>
    <s v=""/>
    <x v="29"/>
    <s v="43063 32597 30000 10280 20134 40086 82501 333 10299 58003 ="/>
    <m/>
    <s v="asd"/>
    <s v="28/05/2012 2:30:12 PM"/>
    <n v="2012"/>
    <x v="0"/>
    <x v="29"/>
    <n v="13.4"/>
    <n v="29.9"/>
    <s v=""/>
  </r>
  <r>
    <s v="30/01/2012"/>
    <s v="43063"/>
    <x v="1"/>
    <s v="14"/>
    <s v="9"/>
    <s v="10148"/>
    <s v="70500"/>
    <s v="58001"/>
    <s v="///"/>
    <s v="9"/>
    <s v=""/>
    <s v=""/>
    <s v="56///"/>
    <s v=""/>
    <s v=""/>
    <s v=""/>
    <s v="087"/>
    <s v="31996"/>
    <s v="00000"/>
    <s v="/////"/>
    <s v="0136"/>
    <s v="0091"/>
    <s v=""/>
    <x v="29"/>
    <s v="43063 31996 00000 10136 20091 40148 70500 333 20087 58001 555 00000 ="/>
    <n v="87"/>
    <s v="asd"/>
    <s v="28/05/2012 2:30:12 PM"/>
    <n v="2012"/>
    <x v="0"/>
    <x v="29"/>
    <n v="9.1"/>
    <s v=""/>
    <n v="8.6999999999999993"/>
  </r>
  <r>
    <s v="31/01/2012"/>
    <s v="43063"/>
    <x v="0"/>
    <s v="29"/>
    <s v="12"/>
    <s v="10106"/>
    <s v="7////"/>
    <s v="58021"/>
    <s v="31"/>
    <s v="///"/>
    <s v=""/>
    <s v=""/>
    <s v="56///"/>
    <s v=""/>
    <s v=""/>
    <s v="309"/>
    <s v=""/>
    <s v="32997"/>
    <s v="00000"/>
    <s v="/////"/>
    <s v="0290"/>
    <s v="0118"/>
    <s v=""/>
    <x v="30"/>
    <s v="43063 32997 00000 10290 20118 40106 333 10309 58021 ="/>
    <m/>
    <s v="asd"/>
    <s v="28/05/2012 2:30:12 PM"/>
    <n v="2012"/>
    <x v="0"/>
    <x v="30"/>
    <n v="11.8"/>
    <n v="30.9"/>
    <s v=""/>
  </r>
  <r>
    <s v="31/01/2012"/>
    <s v="43063"/>
    <x v="1"/>
    <s v="15"/>
    <s v="12"/>
    <s v="10164"/>
    <s v="70500"/>
    <s v="58017"/>
    <s v="///"/>
    <s v="12"/>
    <s v=""/>
    <s v=""/>
    <s v="56///"/>
    <s v=""/>
    <s v=""/>
    <s v=""/>
    <s v="124"/>
    <s v="31996"/>
    <s v="00000"/>
    <s v="/////"/>
    <s v="0148"/>
    <s v="0123"/>
    <s v=""/>
    <x v="30"/>
    <s v="43063 31996 00000 10148 20123 40164 70500 333 20124 58017 555 00000 ="/>
    <n v="124"/>
    <s v="asd"/>
    <s v="28/05/2012 2:30:12 PM"/>
    <n v="2012"/>
    <x v="0"/>
    <x v="30"/>
    <n v="12.3"/>
    <s v=""/>
    <n v="12.4"/>
  </r>
  <r>
    <s v="01/02/2012"/>
    <s v="43063"/>
    <x v="0"/>
    <s v="28"/>
    <s v="9"/>
    <s v="10108"/>
    <s v="7////"/>
    <s v="58002"/>
    <s v="30"/>
    <s v="///"/>
    <s v=""/>
    <s v=""/>
    <s v="56///"/>
    <s v=""/>
    <s v=""/>
    <s v="300"/>
    <s v=""/>
    <s v="32997"/>
    <s v="01101"/>
    <s v="/////"/>
    <s v="0284"/>
    <s v="0085"/>
    <s v=""/>
    <x v="31"/>
    <s v="43063 32997 01101 10284 20085 40108 333 10300 58002 ="/>
    <m/>
    <s v="asd"/>
    <s v="28/05/2012 2:30:12 PM"/>
    <n v="2012"/>
    <x v="1"/>
    <x v="0"/>
    <n v="8.5"/>
    <n v="30"/>
    <s v=""/>
  </r>
  <r>
    <s v="01/02/2012"/>
    <s v="43063"/>
    <x v="1"/>
    <s v="15"/>
    <s v="13"/>
    <s v="10177"/>
    <s v="70500"/>
    <s v="58014"/>
    <s v="///"/>
    <s v="13"/>
    <s v=""/>
    <s v=""/>
    <s v="56///"/>
    <s v=""/>
    <s v=""/>
    <s v=""/>
    <s v="131"/>
    <s v="32996"/>
    <s v="00000"/>
    <s v="/////"/>
    <s v="0152"/>
    <s v="0135"/>
    <s v=""/>
    <x v="31"/>
    <s v="43063 32996 00000 10152 20135 40177 70500 333 20131 58014 555 00000 ="/>
    <n v="131"/>
    <s v="asd"/>
    <s v="28/05/2012 2:30:12 PM"/>
    <n v="2012"/>
    <x v="1"/>
    <x v="0"/>
    <n v="13.5"/>
    <s v=""/>
    <n v="13.1"/>
  </r>
  <r>
    <s v="02/02/2012"/>
    <s v="43063"/>
    <x v="0"/>
    <s v="29"/>
    <s v="9"/>
    <s v="10114"/>
    <s v="7////"/>
    <s v="58006"/>
    <s v="30"/>
    <s v="///"/>
    <s v=""/>
    <s v=""/>
    <s v="56///"/>
    <s v=""/>
    <s v=""/>
    <s v="301"/>
    <s v=""/>
    <s v="32997"/>
    <s v="00503"/>
    <s v="/////"/>
    <s v="0288"/>
    <s v="0086"/>
    <s v=""/>
    <x v="32"/>
    <s v="43063 32997 00503 10288 20086 40114 333 10301 58006 ="/>
    <m/>
    <s v="asd"/>
    <s v="28/05/2012 2:30:12 PM"/>
    <n v="2012"/>
    <x v="1"/>
    <x v="1"/>
    <n v="8.6"/>
    <n v="30.1"/>
    <s v=""/>
  </r>
  <r>
    <s v="02/02/2012"/>
    <s v="43063"/>
    <x v="1"/>
    <s v="15"/>
    <s v="13"/>
    <s v="10180"/>
    <s v="70500"/>
    <s v="58003"/>
    <s v="///"/>
    <s v="13"/>
    <s v=""/>
    <s v=""/>
    <s v="56///"/>
    <s v=""/>
    <s v=""/>
    <s v=""/>
    <s v="127"/>
    <s v="31996"/>
    <s v="00000"/>
    <s v="/////"/>
    <s v="0152"/>
    <s v="0135"/>
    <s v=""/>
    <x v="32"/>
    <s v="43063 31996 00000 10152 20135 40180 70500 333 20127 58003 555 00000 ="/>
    <n v="127"/>
    <s v="asd"/>
    <s v="28/05/2012 2:30:12 PM"/>
    <n v="2012"/>
    <x v="1"/>
    <x v="1"/>
    <n v="13.5"/>
    <s v=""/>
    <n v="12.7"/>
  </r>
  <r>
    <s v="03/02/2012"/>
    <s v="43063"/>
    <x v="1"/>
    <s v="15"/>
    <s v="12"/>
    <s v="10184"/>
    <s v="70500"/>
    <s v="58002"/>
    <s v="///"/>
    <s v="12"/>
    <s v=""/>
    <s v=""/>
    <s v="56///"/>
    <s v=""/>
    <s v=""/>
    <s v=""/>
    <s v="118"/>
    <s v="31996"/>
    <s v="00000"/>
    <s v="/////"/>
    <s v="0148"/>
    <s v="0123"/>
    <s v=""/>
    <x v="33"/>
    <s v="43063 31996 00000 10148 20123 40184 70500 333 20118 58002 555 00000 ="/>
    <n v="118"/>
    <s v="asd"/>
    <s v="28/05/2012 2:30:12 PM"/>
    <n v="2012"/>
    <x v="1"/>
    <x v="2"/>
    <n v="12.3"/>
    <s v=""/>
    <n v="11.8"/>
  </r>
  <r>
    <s v="03/02/2012"/>
    <s v="43063"/>
    <x v="0"/>
    <s v="29"/>
    <s v="10"/>
    <s v="10106"/>
    <s v="7////"/>
    <s v="59008"/>
    <s v="31"/>
    <s v="///"/>
    <s v=""/>
    <s v=""/>
    <s v="56///"/>
    <s v=""/>
    <s v=""/>
    <s v="305"/>
    <s v=""/>
    <s v="32997"/>
    <s v="00505"/>
    <s v="/////"/>
    <s v="0288"/>
    <s v="0096"/>
    <s v=""/>
    <x v="33"/>
    <s v="43063 32997 00505 10288 20096 40106 333 10305 59008 ="/>
    <m/>
    <s v="asd"/>
    <s v="28/05/2012 2:30:12 PM"/>
    <n v="2012"/>
    <x v="1"/>
    <x v="2"/>
    <n v="9.6"/>
    <n v="30.5"/>
    <s v=""/>
  </r>
  <r>
    <s v="04/02/2012"/>
    <s v="43063"/>
    <x v="1"/>
    <s v="15"/>
    <s v="14"/>
    <s v="10164"/>
    <s v="70500"/>
    <s v="59016"/>
    <s v="///"/>
    <s v="13"/>
    <s v=""/>
    <s v=""/>
    <s v="56///"/>
    <s v=""/>
    <s v=""/>
    <s v=""/>
    <s v="130"/>
    <s v="32996"/>
    <s v="00000"/>
    <s v="/////"/>
    <s v="0154"/>
    <s v="0137"/>
    <s v=""/>
    <x v="34"/>
    <s v="43063 32996 00000 10154 20137 40164 70500 333 20130 59016 555 00000 ="/>
    <n v="130"/>
    <s v="asd"/>
    <s v="28/05/2012 2:30:12 PM"/>
    <n v="2012"/>
    <x v="1"/>
    <x v="3"/>
    <n v="13.7"/>
    <s v=""/>
    <n v="13"/>
  </r>
  <r>
    <s v="04/02/2012"/>
    <s v="43063"/>
    <x v="0"/>
    <s v="30"/>
    <s v="12"/>
    <s v="10084"/>
    <s v="7////"/>
    <s v="59016"/>
    <s v="32"/>
    <s v="///"/>
    <s v=""/>
    <s v=""/>
    <s v="56///"/>
    <s v=""/>
    <s v=""/>
    <s v="317"/>
    <s v=""/>
    <s v="32997"/>
    <s v="03201"/>
    <s v="/////"/>
    <s v="0304"/>
    <s v="0120"/>
    <s v=""/>
    <x v="34"/>
    <s v="43063 32997 03201 10304 20120 40084 333 10317 59016 ="/>
    <m/>
    <s v="asd"/>
    <s v="28/05/2012 2:30:12 PM"/>
    <n v="2012"/>
    <x v="1"/>
    <x v="3"/>
    <n v="12"/>
    <n v="31.7"/>
    <s v=""/>
  </r>
  <r>
    <s v="05/02/2012"/>
    <s v="43063"/>
    <x v="1"/>
    <s v="16"/>
    <s v="13"/>
    <s v="10162"/>
    <s v="70500"/>
    <s v="59002"/>
    <s v="///"/>
    <s v="13"/>
    <s v=""/>
    <s v=""/>
    <s v="56///"/>
    <s v=""/>
    <s v=""/>
    <s v=""/>
    <s v="133"/>
    <s v="31996"/>
    <s v="00000"/>
    <s v="/////"/>
    <s v="0156"/>
    <s v="0132"/>
    <s v=""/>
    <x v="35"/>
    <s v="43063 31996 00000 10156 20132 40162 70500 333 20133 59002 555 00000 ="/>
    <n v="133"/>
    <s v="asd"/>
    <s v="28/05/2012 2:30:12 PM"/>
    <n v="2012"/>
    <x v="1"/>
    <x v="4"/>
    <n v="13.2"/>
    <s v=""/>
    <n v="13.3"/>
  </r>
  <r>
    <s v="05/02/2012"/>
    <s v="43063"/>
    <x v="0"/>
    <s v="30"/>
    <s v="10"/>
    <s v="10086"/>
    <s v="7////"/>
    <s v="58002"/>
    <s v="32"/>
    <s v="///"/>
    <s v=""/>
    <s v=""/>
    <s v="56///"/>
    <s v=""/>
    <s v=""/>
    <s v="319"/>
    <s v=""/>
    <s v="32997"/>
    <s v="00000"/>
    <s v="/////"/>
    <s v="0302"/>
    <s v="0103"/>
    <s v=""/>
    <x v="35"/>
    <s v="43063 32997 00000 10302 20103 40086 333 10319 58002 ="/>
    <m/>
    <s v="asd"/>
    <s v="28/05/2012 2:30:12 PM"/>
    <n v="2012"/>
    <x v="1"/>
    <x v="4"/>
    <n v="10.3"/>
    <n v="31.9"/>
    <s v=""/>
  </r>
  <r>
    <s v="06/02/2012"/>
    <s v="43063"/>
    <x v="1"/>
    <s v="17"/>
    <s v="14"/>
    <s v="10150"/>
    <s v="70500"/>
    <s v="59010"/>
    <s v="///"/>
    <s v="13"/>
    <s v=""/>
    <s v=""/>
    <s v="56///"/>
    <s v=""/>
    <s v=""/>
    <s v=""/>
    <s v="135"/>
    <s v="31996"/>
    <s v="00000"/>
    <s v="/////"/>
    <s v="0170"/>
    <s v="0143"/>
    <s v=""/>
    <x v="36"/>
    <s v="43063 31996 00000 10170 20143 40150 70500 333 20135 59010 555 00000 ="/>
    <n v="135"/>
    <s v="asd"/>
    <s v="28/05/2012 2:30:12 PM"/>
    <n v="2012"/>
    <x v="1"/>
    <x v="5"/>
    <n v="14.3"/>
    <s v=""/>
    <n v="13.5"/>
  </r>
  <r>
    <s v="06/02/2012"/>
    <s v="43063"/>
    <x v="0"/>
    <s v="30"/>
    <s v="12"/>
    <s v="10080"/>
    <s v="7////"/>
    <s v="59009"/>
    <s v="33"/>
    <s v="///"/>
    <s v=""/>
    <s v=""/>
    <s v="56///"/>
    <s v=""/>
    <s v=""/>
    <s v="328"/>
    <s v=""/>
    <s v="32597"/>
    <s v="32704"/>
    <s v="83500"/>
    <s v="0300"/>
    <s v="0119"/>
    <s v=""/>
    <x v="36"/>
    <s v="43063 32597 32704 10300 20119 40080 83500 333 10328 59009 ="/>
    <m/>
    <s v="asd"/>
    <s v="28/05/2012 2:30:12 PM"/>
    <n v="2012"/>
    <x v="1"/>
    <x v="5"/>
    <n v="11.9"/>
    <n v="32.799999999999997"/>
    <s v=""/>
  </r>
  <r>
    <s v="07/02/2012"/>
    <s v="43063"/>
    <x v="1"/>
    <s v="17"/>
    <s v="14"/>
    <s v="10139"/>
    <s v="70500"/>
    <s v="59010"/>
    <s v="///"/>
    <s v="13"/>
    <s v=""/>
    <s v=""/>
    <s v="56///"/>
    <s v=""/>
    <s v=""/>
    <s v=""/>
    <s v="132"/>
    <s v="31996"/>
    <s v="00000"/>
    <s v="/////"/>
    <s v="0168"/>
    <s v="0141"/>
    <s v=""/>
    <x v="37"/>
    <s v="43063 31996 00000 10168 20141 40139 70500 333 20132 59010 555 00000 ="/>
    <n v="132"/>
    <s v="asd"/>
    <s v="28/05/2012 2:30:12 PM"/>
    <n v="2012"/>
    <x v="1"/>
    <x v="6"/>
    <n v="14.1"/>
    <s v=""/>
    <n v="13.2"/>
  </r>
  <r>
    <s v="07/02/2012"/>
    <s v="43063"/>
    <x v="0"/>
    <s v="28"/>
    <s v="10"/>
    <s v="10078"/>
    <s v="7////"/>
    <s v="59002"/>
    <s v="32"/>
    <s v="///"/>
    <s v=""/>
    <s v=""/>
    <s v="56///"/>
    <s v=""/>
    <s v=""/>
    <s v="318"/>
    <s v=""/>
    <s v="32997"/>
    <s v="52704"/>
    <s v="80001"/>
    <s v="0282"/>
    <s v="0096"/>
    <s v=""/>
    <x v="37"/>
    <s v="43063 32997 52704 10282 20096 40078 80001 333 10318 59002 ="/>
    <m/>
    <s v="asd"/>
    <s v="28/05/2012 2:30:12 PM"/>
    <n v="2012"/>
    <x v="1"/>
    <x v="6"/>
    <n v="9.6"/>
    <n v="31.8"/>
    <s v=""/>
  </r>
  <r>
    <s v="08/02/2012"/>
    <s v="43063"/>
    <x v="1"/>
    <s v="16"/>
    <s v="10"/>
    <s v="10140"/>
    <s v="70522"/>
    <s v="59001"/>
    <s v="///"/>
    <s v="11"/>
    <s v=""/>
    <s v=""/>
    <s v="56///"/>
    <s v=""/>
    <s v=""/>
    <s v=""/>
    <s v="107"/>
    <s v="31996"/>
    <s v="50000"/>
    <s v="80001"/>
    <s v="0156"/>
    <s v="0102"/>
    <s v=""/>
    <x v="38"/>
    <s v="43063 31996 50000 10156 20102 40140 70522 80001 333 20107 59001 555 00000 ="/>
    <n v="107"/>
    <s v="asd"/>
    <s v="28/05/2012 2:30:12 PM"/>
    <n v="2012"/>
    <x v="1"/>
    <x v="7"/>
    <n v="10.199999999999999"/>
    <s v=""/>
    <n v="10.7"/>
  </r>
  <r>
    <s v="08/02/2012"/>
    <s v="43063"/>
    <x v="0"/>
    <s v="25"/>
    <s v="-5"/>
    <s v="10095"/>
    <s v="7////"/>
    <s v="58007"/>
    <s v="29"/>
    <s v="///"/>
    <s v=""/>
    <s v=""/>
    <s v="56///"/>
    <s v=""/>
    <s v=""/>
    <s v="293"/>
    <s v=""/>
    <s v="32997"/>
    <s v="63201"/>
    <s v="80001"/>
    <s v="0250"/>
    <s v="1046"/>
    <s v=""/>
    <x v="38"/>
    <s v="43063 32997 63201 10250 21046 40095 80001 333 10293 58007 ="/>
    <m/>
    <s v="asd"/>
    <s v="28/05/2012 2:30:12 PM"/>
    <n v="2012"/>
    <x v="1"/>
    <x v="7"/>
    <n v="104.6"/>
    <n v="29.3"/>
    <s v=""/>
  </r>
  <r>
    <s v="09/02/2012"/>
    <s v="43063"/>
    <x v="1"/>
    <s v="10"/>
    <s v="5"/>
    <s v="10161"/>
    <s v="70510"/>
    <s v="58007"/>
    <s v="///"/>
    <s v="5"/>
    <s v=""/>
    <s v=""/>
    <s v="56///"/>
    <s v=""/>
    <s v=""/>
    <s v=""/>
    <s v="046"/>
    <s v="31996"/>
    <s v="40000"/>
    <s v="80001"/>
    <s v="0098"/>
    <s v="0052"/>
    <s v=""/>
    <x v="39"/>
    <s v="43063 31996 40000 10098 20052 40161 70510 80001 333 20046 58007 555 00000 ="/>
    <n v="46"/>
    <s v="asd"/>
    <s v="28/05/2012 2:30:12 PM"/>
    <n v="2012"/>
    <x v="1"/>
    <x v="8"/>
    <n v="5.2"/>
    <s v=""/>
    <n v="4.5999999999999996"/>
  </r>
  <r>
    <s v="09/02/2012"/>
    <s v="43063"/>
    <x v="0"/>
    <s v="27"/>
    <s v="-5"/>
    <s v="10077"/>
    <s v="7////"/>
    <s v="59010"/>
    <s v="29"/>
    <s v="///"/>
    <s v=""/>
    <s v=""/>
    <s v="56///"/>
    <s v=""/>
    <s v=""/>
    <s v="289"/>
    <s v=""/>
    <s v="32997"/>
    <s v="20502"/>
    <s v="80001"/>
    <s v="0274"/>
    <s v="1054"/>
    <s v=""/>
    <x v="39"/>
    <s v="43063 32997 20502 10274 21054 39466 40077 80001 333 10289 59010 82070 ="/>
    <m/>
    <s v="asd"/>
    <s v="28/05/2012 2:30:12 PM"/>
    <n v="2012"/>
    <x v="1"/>
    <x v="8"/>
    <n v="105.4"/>
    <n v="28.9"/>
    <s v=""/>
  </r>
  <r>
    <s v="10/02/2012"/>
    <s v="43063"/>
    <x v="1"/>
    <s v="12"/>
    <s v="4"/>
    <s v="10151"/>
    <s v="70511"/>
    <s v="59003"/>
    <s v="///"/>
    <s v="7"/>
    <s v=""/>
    <s v=""/>
    <s v="56///"/>
    <s v=""/>
    <s v=""/>
    <s v=""/>
    <s v="066"/>
    <s v="31996"/>
    <s v="30000"/>
    <s v="80001"/>
    <s v="0124"/>
    <s v="0040"/>
    <s v=""/>
    <x v="40"/>
    <s v="43063 31996 30000 10124 20040 40151 70511 80001 333 20066 59003 555 00000 ="/>
    <n v="66"/>
    <s v="asd"/>
    <s v="28/05/2012 2:30:12 PM"/>
    <n v="2012"/>
    <x v="1"/>
    <x v="9"/>
    <n v="4"/>
    <s v=""/>
    <n v="6.6"/>
  </r>
  <r>
    <s v="10/02/2012"/>
    <s v="43063"/>
    <x v="0"/>
    <s v="29"/>
    <s v="3"/>
    <s v="10074"/>
    <s v="7////"/>
    <s v="59001"/>
    <s v="30"/>
    <s v="///"/>
    <s v=""/>
    <s v=""/>
    <s v="56///"/>
    <s v=""/>
    <s v=""/>
    <s v="298"/>
    <s v=""/>
    <s v="32997"/>
    <s v="10501"/>
    <s v="80001"/>
    <s v="0288"/>
    <s v="0033"/>
    <s v=""/>
    <x v="40"/>
    <s v="43063 32997 10501 10288 20033 40074 80001 333 10298 59001 ="/>
    <m/>
    <s v="asd"/>
    <s v="28/05/2012 2:30:12 PM"/>
    <n v="2012"/>
    <x v="1"/>
    <x v="9"/>
    <n v="3.3"/>
    <n v="29.8"/>
    <s v=""/>
  </r>
  <r>
    <s v="11/02/2012"/>
    <s v="43063"/>
    <x v="1"/>
    <s v="12"/>
    <s v="8"/>
    <s v="10161"/>
    <s v="70500"/>
    <s v="58008"/>
    <s v="///"/>
    <s v="9"/>
    <s v=""/>
    <s v=""/>
    <s v="56///"/>
    <s v=""/>
    <s v=""/>
    <s v=""/>
    <s v="093"/>
    <s v="31996"/>
    <s v="00000"/>
    <s v="/////"/>
    <s v="0124"/>
    <s v="0082"/>
    <s v=""/>
    <x v="41"/>
    <s v="43063 31996 00000 10124 20082 40161 70500 333 20093 58008 555 00000 ="/>
    <n v="93"/>
    <s v="asd"/>
    <s v="28/05/2012 2:30:12 PM"/>
    <n v="2012"/>
    <x v="1"/>
    <x v="10"/>
    <n v="8.1999999999999993"/>
    <s v=""/>
    <n v="9.3000000000000007"/>
  </r>
  <r>
    <s v="11/02/2012"/>
    <s v="43063"/>
    <x v="0"/>
    <s v="30"/>
    <s v="6"/>
    <s v="10065"/>
    <s v="7////"/>
    <s v="59005"/>
    <s v="32"/>
    <s v="///"/>
    <s v=""/>
    <s v=""/>
    <s v="56///"/>
    <s v=""/>
    <s v=""/>
    <s v="320"/>
    <s v=""/>
    <s v="32997"/>
    <s v="02904"/>
    <s v="/////"/>
    <s v="0304"/>
    <s v="0064"/>
    <s v=""/>
    <x v="41"/>
    <s v="43063 32997 02904 10304 20064 40065 333 10320 59005 ="/>
    <m/>
    <s v="asd"/>
    <s v="28/05/2012 2:30:12 PM"/>
    <n v="2012"/>
    <x v="1"/>
    <x v="10"/>
    <n v="6.4"/>
    <n v="32"/>
    <s v=""/>
  </r>
  <r>
    <s v="12/02/2012"/>
    <s v="43063"/>
    <x v="1"/>
    <s v="15"/>
    <s v="12"/>
    <s v="10139"/>
    <s v="70500"/>
    <s v="59003"/>
    <s v="///"/>
    <s v="11"/>
    <s v=""/>
    <s v=""/>
    <s v="56///"/>
    <s v=""/>
    <s v=""/>
    <s v=""/>
    <s v="114"/>
    <s v="31996"/>
    <s v="00000"/>
    <s v="/////"/>
    <s v="0152"/>
    <s v="0117"/>
    <s v=""/>
    <x v="42"/>
    <s v="43063 31996 00000 10152 20117 40139 70500 333 20114 59003 555 00000 ="/>
    <n v="114"/>
    <s v="asd"/>
    <s v="28/05/2012 2:30:12 PM"/>
    <n v="2012"/>
    <x v="1"/>
    <x v="11"/>
    <n v="11.7"/>
    <s v=""/>
    <n v="11.4"/>
  </r>
  <r>
    <s v="12/02/2012"/>
    <s v="43063"/>
    <x v="0"/>
    <s v="31"/>
    <s v="4"/>
    <s v="10064"/>
    <s v="7////"/>
    <s v="59001"/>
    <s v="34"/>
    <s v="///"/>
    <s v=""/>
    <s v=""/>
    <s v="56///"/>
    <s v=""/>
    <s v=""/>
    <s v="340"/>
    <s v=""/>
    <s v="32997"/>
    <s v="02703"/>
    <s v="/////"/>
    <s v="0310"/>
    <s v="0038"/>
    <s v=""/>
    <x v="42"/>
    <s v="43063 32997 02703 10310 20038 40064 333 10340 59001 ="/>
    <m/>
    <s v="asd"/>
    <s v="28/05/2012 2:30:12 PM"/>
    <n v="2012"/>
    <x v="1"/>
    <x v="11"/>
    <n v="3.8"/>
    <n v="34"/>
    <s v=""/>
  </r>
  <r>
    <s v="13/02/2012"/>
    <s v="43063"/>
    <x v="1"/>
    <s v="18"/>
    <s v="12"/>
    <s v="10141"/>
    <s v="70500"/>
    <s v="58006"/>
    <s v="///"/>
    <s v="12"/>
    <s v=""/>
    <s v=""/>
    <s v="56///"/>
    <s v=""/>
    <s v=""/>
    <s v=""/>
    <s v="119"/>
    <s v="32996"/>
    <s v="00000"/>
    <s v="/////"/>
    <s v="0178"/>
    <s v="0123"/>
    <s v=""/>
    <x v="43"/>
    <s v="43063 32996 00000 10178 20123 40141 70500 333 20119 58006 555 00000 ="/>
    <n v="119"/>
    <s v="asd"/>
    <s v="28/05/2012 2:30:12 PM"/>
    <n v="2012"/>
    <x v="1"/>
    <x v="12"/>
    <n v="12.3"/>
    <s v=""/>
    <n v="11.9"/>
  </r>
  <r>
    <s v="13/02/2012"/>
    <s v="43063"/>
    <x v="0"/>
    <s v="31"/>
    <s v="05"/>
    <s v="10070"/>
    <s v="7////"/>
    <s v="58008"/>
    <s v="34"/>
    <s v="///"/>
    <s v=""/>
    <s v=""/>
    <s v="56///"/>
    <s v=""/>
    <s v=""/>
    <s v="344"/>
    <s v=""/>
    <s v="32997"/>
    <s v="02902"/>
    <s v="/////"/>
    <s v="0312"/>
    <s v="0055"/>
    <s v=""/>
    <x v="43"/>
    <s v="43063 32997 02902 10312 20055 40070 333 10344 58008 ="/>
    <m/>
    <s v="asd"/>
    <s v="28/05/2012 2:30:12 PM"/>
    <n v="2012"/>
    <x v="1"/>
    <x v="12"/>
    <n v="5.5"/>
    <n v="34.4"/>
    <s v=""/>
  </r>
  <r>
    <s v="14/02/2012"/>
    <s v="43063"/>
    <x v="1"/>
    <s v="16"/>
    <s v="13"/>
    <s v="10155"/>
    <s v="70500"/>
    <s v="58009"/>
    <s v="///"/>
    <s v="11"/>
    <s v=""/>
    <s v=""/>
    <s v="56///"/>
    <s v=""/>
    <s v=""/>
    <s v=""/>
    <s v="115"/>
    <s v="31996"/>
    <s v="00000"/>
    <s v="/////"/>
    <s v="0156"/>
    <s v="0128"/>
    <s v=""/>
    <x v="44"/>
    <s v="43063 31996 00000 10156 20128 40155 70500 333 20115 58009 555 00000 ="/>
    <n v="115"/>
    <s v="asd"/>
    <s v="28/05/2012 2:30:12 PM"/>
    <n v="2012"/>
    <x v="1"/>
    <x v="13"/>
    <n v="12.8"/>
    <s v=""/>
    <n v="11.5"/>
  </r>
  <r>
    <s v="14/02/2012"/>
    <s v="43063"/>
    <x v="0"/>
    <s v="31"/>
    <s v="7"/>
    <s v="10073"/>
    <s v="7////"/>
    <s v="58003"/>
    <s v="34"/>
    <s v="///"/>
    <s v=""/>
    <s v=""/>
    <s v="56///"/>
    <s v=""/>
    <s v=""/>
    <s v="336"/>
    <s v=""/>
    <s v="32997"/>
    <s v="02704"/>
    <s v="/////"/>
    <s v="0312"/>
    <s v="0067"/>
    <s v=""/>
    <x v="44"/>
    <s v="43063 32997 02704 10312 20067 40073 333 10336 58003 ="/>
    <m/>
    <s v="asd"/>
    <s v="28/05/2012 2:30:12 PM"/>
    <n v="2012"/>
    <x v="1"/>
    <x v="13"/>
    <n v="6.7"/>
    <n v="33.6"/>
    <s v=""/>
  </r>
  <r>
    <s v="15/02/2012"/>
    <s v="43063"/>
    <x v="0"/>
    <s v="29"/>
    <s v="2"/>
    <s v="10078"/>
    <s v="7////"/>
    <s v="59001"/>
    <s v="32"/>
    <s v="///"/>
    <s v=""/>
    <s v=""/>
    <s v="56///"/>
    <s v=""/>
    <s v=""/>
    <s v="319"/>
    <s v=""/>
    <s v="32997"/>
    <s v="02706"/>
    <s v="/////"/>
    <s v="0285"/>
    <s v="0023"/>
    <s v=""/>
    <x v="45"/>
    <s v="43063 32997 02706 10285 20023 40078 333 10319 59001 ="/>
    <m/>
    <s v="asd"/>
    <s v="28/05/2012 2:30:12 PM"/>
    <n v="2012"/>
    <x v="1"/>
    <x v="14"/>
    <n v="2.2999999999999998"/>
    <n v="31.9"/>
    <s v=""/>
  </r>
  <r>
    <s v="15/02/2012"/>
    <s v="43063"/>
    <x v="1"/>
    <s v="17"/>
    <s v="14"/>
    <s v="10138"/>
    <s v="70522"/>
    <s v="59014"/>
    <s v="///"/>
    <s v="14"/>
    <s v=""/>
    <s v=""/>
    <s v="56///"/>
    <s v=""/>
    <s v=""/>
    <s v=""/>
    <s v="142"/>
    <s v="31596"/>
    <s v="50000"/>
    <s v="82531"/>
    <s v="0170"/>
    <s v="0143"/>
    <s v=""/>
    <x v="45"/>
    <s v="43063 31596 50000 10170 20143 40138 70522 82531 333 20142 59014 555 00000 ="/>
    <n v="142"/>
    <s v="asd"/>
    <s v="28/05/2012 2:30:12 PM"/>
    <n v="2012"/>
    <x v="1"/>
    <x v="14"/>
    <n v="14.3"/>
    <s v=""/>
    <n v="14.2"/>
  </r>
  <r>
    <s v="16/02/2012"/>
    <s v="43063"/>
    <x v="1"/>
    <s v="15"/>
    <s v="7"/>
    <s v="10133"/>
    <s v="70500"/>
    <s v="59009"/>
    <s v="///"/>
    <s v="10"/>
    <s v=""/>
    <s v=""/>
    <s v="56///"/>
    <s v=""/>
    <s v=""/>
    <s v=""/>
    <s v="098"/>
    <s v="31996"/>
    <s v="00000"/>
    <s v="/////"/>
    <s v="0147"/>
    <s v="0067"/>
    <s v=""/>
    <x v="46"/>
    <s v="43063 31996 00000 10147 20067 40133 70500 333 20098 59009 555 00000 ="/>
    <n v="98"/>
    <s v="asd"/>
    <s v="28/05/2012 2:30:12 PM"/>
    <n v="2012"/>
    <x v="1"/>
    <x v="15"/>
    <n v="6.7"/>
    <s v=""/>
    <n v="9.8000000000000007"/>
  </r>
  <r>
    <s v="16/02/2012"/>
    <s v="43063"/>
    <x v="0"/>
    <s v="28"/>
    <s v="0"/>
    <s v="10073"/>
    <s v="7////"/>
    <s v="59007"/>
    <s v="31"/>
    <s v="///"/>
    <s v=""/>
    <s v=""/>
    <s v="56///"/>
    <s v=""/>
    <s v=""/>
    <s v="309"/>
    <s v=""/>
    <s v="32997"/>
    <s v="02906"/>
    <s v="/////"/>
    <s v="0276"/>
    <s v="0000"/>
    <s v=""/>
    <x v="46"/>
    <s v="43063 32997 02906 10276 20000 40073 333 10309 59007 ="/>
    <m/>
    <s v="asd"/>
    <s v="28/05/2012 2:30:12 PM"/>
    <n v="2012"/>
    <x v="1"/>
    <x v="15"/>
    <n v="0"/>
    <n v="30.9"/>
    <s v=""/>
  </r>
  <r>
    <s v="17/02/2012"/>
    <s v="43063"/>
    <x v="0"/>
    <s v="31"/>
    <s v="5"/>
    <s v="10063"/>
    <s v="7////"/>
    <s v="59004"/>
    <s v="32"/>
    <s v="///"/>
    <s v=""/>
    <s v=""/>
    <s v="56///"/>
    <s v=""/>
    <s v=""/>
    <s v="322"/>
    <s v=""/>
    <s v="32997"/>
    <s v="00000"/>
    <s v="/////"/>
    <s v="0308"/>
    <s v="0047"/>
    <s v=""/>
    <x v="47"/>
    <s v="43063 32997 00000 10308 20047 40063 333 10322 59004 ="/>
    <m/>
    <s v="asd"/>
    <s v="28/05/2012 2:30:12 PM"/>
    <n v="2012"/>
    <x v="1"/>
    <x v="16"/>
    <n v="4.7"/>
    <n v="32.200000000000003"/>
    <s v=""/>
  </r>
  <r>
    <s v="17/02/2012"/>
    <s v="43063"/>
    <x v="1"/>
    <s v="15"/>
    <s v="9"/>
    <s v="10136"/>
    <s v="70500"/>
    <s v="58005"/>
    <s v="///"/>
    <s v="9"/>
    <s v=""/>
    <s v=""/>
    <s v="56///"/>
    <s v=""/>
    <s v=""/>
    <s v=""/>
    <s v="090"/>
    <s v="31996"/>
    <s v="00000"/>
    <s v="/////"/>
    <s v="0154"/>
    <s v="0091"/>
    <s v=""/>
    <x v="47"/>
    <s v="43063 31996 00000 10154 20091 40136 70500 333 20090 58005 555 00000 ="/>
    <n v="90"/>
    <s v="asd"/>
    <s v="28/05/2012 2:30:12 PM"/>
    <n v="2012"/>
    <x v="1"/>
    <x v="16"/>
    <n v="9.1"/>
    <s v=""/>
    <n v="9"/>
  </r>
  <r>
    <s v="18/02/2012"/>
    <s v="43063"/>
    <x v="1"/>
    <s v="17"/>
    <s v="12"/>
    <s v="10145"/>
    <s v="70500"/>
    <s v="58011"/>
    <s v="///"/>
    <s v="12"/>
    <s v=""/>
    <s v=""/>
    <s v="56///"/>
    <s v=""/>
    <s v=""/>
    <s v=""/>
    <s v="122"/>
    <s v="31996"/>
    <s v="00000"/>
    <s v="/////"/>
    <s v="0168"/>
    <s v="0121"/>
    <s v=""/>
    <x v="48"/>
    <s v="43063 31996 00000 10168 20121 40145 70500 333 20122 58011 555 00000 ="/>
    <n v="122"/>
    <s v="asd"/>
    <s v="28/05/2012 2:30:12 PM"/>
    <n v="2012"/>
    <x v="1"/>
    <x v="17"/>
    <n v="12.1"/>
    <s v=""/>
    <n v="12.2"/>
  </r>
  <r>
    <s v="18/02/2012"/>
    <s v="43063"/>
    <x v="0"/>
    <s v="32"/>
    <s v="11"/>
    <s v="10077"/>
    <s v="7////"/>
    <s v="58017"/>
    <s v="34"/>
    <s v="///"/>
    <s v=""/>
    <s v=""/>
    <s v="56///"/>
    <s v=""/>
    <s v=""/>
    <s v="340"/>
    <s v=""/>
    <s v="32597"/>
    <s v="20000"/>
    <s v="82500"/>
    <s v="0322"/>
    <s v="0110"/>
    <s v=""/>
    <x v="48"/>
    <s v="43063 32597 20000 10322 20110 40077 82500 333 10340 58017 ="/>
    <m/>
    <s v="asd"/>
    <s v="28/05/2012 2:30:12 PM"/>
    <n v="2012"/>
    <x v="1"/>
    <x v="17"/>
    <n v="11"/>
    <n v="34"/>
    <s v=""/>
  </r>
  <r>
    <s v="19/02/2012"/>
    <s v="43063"/>
    <x v="1"/>
    <s v="20"/>
    <s v="14"/>
    <s v="10152"/>
    <s v="70500"/>
    <s v="58012"/>
    <s v="///"/>
    <s v="15"/>
    <s v=""/>
    <s v=""/>
    <s v="56///"/>
    <s v=""/>
    <s v=""/>
    <s v=""/>
    <s v="148"/>
    <s v="31996"/>
    <s v="00000"/>
    <s v="/////"/>
    <s v="0196"/>
    <s v="0143"/>
    <s v=""/>
    <x v="49"/>
    <s v="43063 31996 00000 10196 20143 40152 70500 333 20148 58012 555 00000 ="/>
    <n v="148"/>
    <s v="asd"/>
    <s v="28/05/2012 2:30:12 PM"/>
    <n v="2012"/>
    <x v="1"/>
    <x v="18"/>
    <n v="14.3"/>
    <s v=""/>
    <n v="14.8"/>
  </r>
  <r>
    <s v="19/02/2012"/>
    <s v="43063"/>
    <x v="0"/>
    <s v="33"/>
    <s v="9"/>
    <s v="10078"/>
    <s v="7////"/>
    <s v="58001"/>
    <s v="35"/>
    <s v="///"/>
    <s v=""/>
    <s v=""/>
    <s v="56///"/>
    <s v=""/>
    <s v=""/>
    <s v="351"/>
    <s v=""/>
    <s v="32997"/>
    <s v="00901"/>
    <s v="/////"/>
    <s v="0330"/>
    <s v="0088"/>
    <s v=""/>
    <x v="49"/>
    <s v="43063 32997 00901 10330 20088 40078 333 10351 58001 ="/>
    <m/>
    <s v="asd"/>
    <s v="28/05/2012 2:30:12 PM"/>
    <n v="2012"/>
    <x v="1"/>
    <x v="18"/>
    <n v="8.8000000000000007"/>
    <n v="35.1"/>
    <s v=""/>
  </r>
  <r>
    <s v="20/02/2012"/>
    <s v="43063"/>
    <x v="1"/>
    <s v="18"/>
    <s v="15"/>
    <s v="10155"/>
    <s v="70500"/>
    <s v="58006"/>
    <s v="///"/>
    <s v="15"/>
    <s v=""/>
    <s v=""/>
    <s v="56///"/>
    <s v=""/>
    <s v=""/>
    <s v=""/>
    <s v="146"/>
    <s v="31996"/>
    <s v="00000"/>
    <s v="/////"/>
    <s v="0184"/>
    <s v="0148"/>
    <s v=""/>
    <x v="50"/>
    <s v="43063 31996 00000 10184 20148 40155 70500 333 20146 58006 555 00000 ="/>
    <n v="146"/>
    <s v="asd"/>
    <s v="28/05/2012 2:30:12 PM"/>
    <n v="2012"/>
    <x v="1"/>
    <x v="19"/>
    <n v="14.8"/>
    <s v=""/>
    <n v="14.6"/>
  </r>
  <r>
    <s v="20/02/2012"/>
    <s v="43063"/>
    <x v="0"/>
    <s v="33"/>
    <s v="7"/>
    <s v="10064"/>
    <s v="7////"/>
    <s v="59011"/>
    <s v="35"/>
    <s v="///"/>
    <s v=""/>
    <s v=""/>
    <s v="56///"/>
    <s v=""/>
    <s v=""/>
    <s v="345"/>
    <s v=""/>
    <s v="32997"/>
    <s v="00901"/>
    <s v="/////"/>
    <s v="0334"/>
    <s v="0067"/>
    <s v=""/>
    <x v="50"/>
    <s v="43063 32997 00901 10334 20067 40064 333 10345 59011 ="/>
    <m/>
    <s v="asd"/>
    <s v="28/05/2012 2:30:12 PM"/>
    <n v="2012"/>
    <x v="1"/>
    <x v="19"/>
    <n v="6.7"/>
    <n v="34.5"/>
    <s v=""/>
  </r>
  <r>
    <s v="21/02/2012"/>
    <s v="43063"/>
    <x v="1"/>
    <s v="19"/>
    <s v="13"/>
    <s v="10133"/>
    <s v="70500"/>
    <s v="59020"/>
    <s v="///"/>
    <s v="13"/>
    <s v=""/>
    <s v=""/>
    <s v="56///"/>
    <s v=""/>
    <s v=""/>
    <s v=""/>
    <s v="131"/>
    <s v="31996"/>
    <s v="00000"/>
    <s v="/////"/>
    <s v="0186"/>
    <s v="0128"/>
    <s v=""/>
    <x v="51"/>
    <s v="43063 31996 00000 10186 20128 40133 70500 333 20131 59020 555 00000 ="/>
    <n v="131"/>
    <s v="asd"/>
    <s v="28/05/2012 2:30:12 PM"/>
    <n v="2012"/>
    <x v="1"/>
    <x v="20"/>
    <n v="12.8"/>
    <s v=""/>
    <n v="13.1"/>
  </r>
  <r>
    <s v="21/02/2012"/>
    <s v="43063"/>
    <x v="0"/>
    <s v="33"/>
    <s v="3"/>
    <s v="10060"/>
    <s v="7////"/>
    <s v="59004"/>
    <s v="35"/>
    <s v="///"/>
    <s v=""/>
    <s v=""/>
    <s v="56///"/>
    <s v=""/>
    <s v=""/>
    <s v="354"/>
    <s v=""/>
    <s v="32997"/>
    <s v="00901"/>
    <s v="/////"/>
    <s v="0334"/>
    <s v="0027"/>
    <s v=""/>
    <x v="51"/>
    <s v="43063 32997 00901 10334 20027 40060 333 10354 59004 ="/>
    <m/>
    <s v="asd"/>
    <s v="28/05/2012 2:30:12 PM"/>
    <n v="2012"/>
    <x v="1"/>
    <x v="20"/>
    <n v="2.7"/>
    <n v="35.4"/>
    <s v=""/>
  </r>
  <r>
    <s v="22/02/2012"/>
    <s v="43063"/>
    <x v="1"/>
    <s v="19"/>
    <s v="12"/>
    <s v="10123"/>
    <s v="70500"/>
    <s v="59010"/>
    <s v="///"/>
    <s v="13"/>
    <s v=""/>
    <s v=""/>
    <s v="56///"/>
    <s v=""/>
    <s v=""/>
    <s v=""/>
    <s v="128"/>
    <s v="31996"/>
    <s v="00000"/>
    <s v="/////"/>
    <s v="0186"/>
    <s v="0117"/>
    <s v=""/>
    <x v="52"/>
    <s v="43063 31996 00000 10186 20117 40123 70500 333 20128 59010 555 00000 ="/>
    <n v="128"/>
    <s v="asd"/>
    <s v="28/05/2012 2:30:12 PM"/>
    <n v="2012"/>
    <x v="1"/>
    <x v="21"/>
    <n v="11.7"/>
    <s v=""/>
    <n v="12.8"/>
  </r>
  <r>
    <s v="22/02/2012"/>
    <s v="43063"/>
    <x v="0"/>
    <s v="34"/>
    <s v="3"/>
    <s v="10055"/>
    <s v="7////"/>
    <s v="59005"/>
    <s v="36"/>
    <s v="///"/>
    <s v=""/>
    <s v=""/>
    <s v="56///"/>
    <s v=""/>
    <s v=""/>
    <s v="360"/>
    <s v=""/>
    <s v="32996"/>
    <s v="21401"/>
    <s v="80001"/>
    <s v="0340"/>
    <s v="0026"/>
    <s v=""/>
    <x v="52"/>
    <s v="43063 32996 21401 10340 20026 40055 80001 333 10360 59005 ="/>
    <m/>
    <s v="asd"/>
    <s v="28/05/2012 2:30:12 PM"/>
    <n v="2012"/>
    <x v="1"/>
    <x v="21"/>
    <n v="2.6"/>
    <n v="36"/>
    <s v=""/>
  </r>
  <r>
    <s v="23/02/2012"/>
    <s v="43063"/>
    <x v="1"/>
    <s v="19"/>
    <s v="13"/>
    <s v="10131"/>
    <s v="70500"/>
    <s v="58008"/>
    <s v="///"/>
    <s v="13"/>
    <s v=""/>
    <s v=""/>
    <s v="56///"/>
    <s v=""/>
    <s v=""/>
    <s v=""/>
    <s v="129"/>
    <s v="31996"/>
    <s v="00000"/>
    <s v="/////"/>
    <s v="0188"/>
    <s v="0127"/>
    <s v=""/>
    <x v="53"/>
    <s v="43063 31996 00000 10188 20127 40131 70500 333 20129 58008 555 00000 ="/>
    <n v="129"/>
    <s v="asd"/>
    <s v="28/05/2012 2:30:12 PM"/>
    <n v="2012"/>
    <x v="1"/>
    <x v="22"/>
    <n v="12.7"/>
    <s v=""/>
    <n v="12.9"/>
  </r>
  <r>
    <s v="23/02/2012"/>
    <s v="43063"/>
    <x v="0"/>
    <s v="33"/>
    <s v="4"/>
    <s v="10051"/>
    <s v="7////"/>
    <s v="59004"/>
    <s v="35"/>
    <s v="///"/>
    <s v=""/>
    <s v=""/>
    <s v="56///"/>
    <s v=""/>
    <s v=""/>
    <s v="350"/>
    <s v=""/>
    <s v="32997"/>
    <s v="00000"/>
    <s v="/////"/>
    <s v="0332"/>
    <s v="0044"/>
    <s v=""/>
    <x v="53"/>
    <s v="43063 32997 00000 10332 20044 40051 333 10350 59004 ="/>
    <m/>
    <s v="asd"/>
    <s v="28/05/2012 2:30:12 PM"/>
    <n v="2012"/>
    <x v="1"/>
    <x v="22"/>
    <n v="4.4000000000000004"/>
    <n v="35"/>
    <s v=""/>
  </r>
  <r>
    <s v="24/02/2012"/>
    <s v="43063"/>
    <x v="1"/>
    <s v="19"/>
    <s v="13"/>
    <s v="10126"/>
    <s v="70500"/>
    <s v="59005"/>
    <s v="///"/>
    <s v="14"/>
    <s v=""/>
    <s v=""/>
    <s v="56///"/>
    <s v=""/>
    <s v=""/>
    <s v=""/>
    <s v="140"/>
    <s v="31996"/>
    <s v="00000"/>
    <s v="/////"/>
    <s v="0190"/>
    <s v="0129"/>
    <s v=""/>
    <x v="54"/>
    <s v="43063 31996 00000 10190 20129 40126 70500 333 20140 59005 555 00000 ="/>
    <n v="140"/>
    <s v="asd"/>
    <s v="28/05/2012 2:30:12 PM"/>
    <n v="2012"/>
    <x v="1"/>
    <x v="23"/>
    <n v="12.9"/>
    <s v=""/>
    <n v="14"/>
  </r>
  <r>
    <s v="24/02/2012"/>
    <s v="43063"/>
    <x v="0"/>
    <s v="33"/>
    <s v="7"/>
    <s v="10042"/>
    <s v="7////"/>
    <s v="59008"/>
    <s v="35"/>
    <s v="///"/>
    <s v=""/>
    <s v=""/>
    <s v="56///"/>
    <s v=""/>
    <s v=""/>
    <s v="352"/>
    <s v=""/>
    <s v="32997"/>
    <s v="02901"/>
    <s v="/////"/>
    <s v="0334"/>
    <s v="0073"/>
    <s v=""/>
    <x v="54"/>
    <s v="43063 32997 02901 10334 20073 40042 333 10352 59008 ="/>
    <m/>
    <s v="asd"/>
    <s v="28/05/2012 2:30:12 PM"/>
    <n v="2012"/>
    <x v="1"/>
    <x v="23"/>
    <n v="7.3"/>
    <n v="35.200000000000003"/>
    <s v=""/>
  </r>
  <r>
    <s v="25/02/2012"/>
    <s v="43063"/>
    <x v="0"/>
    <s v="33"/>
    <s v="6"/>
    <s v="10038"/>
    <s v="7////"/>
    <s v="59004"/>
    <s v="35"/>
    <s v="///"/>
    <s v=""/>
    <s v=""/>
    <s v="56///"/>
    <s v=""/>
    <s v=""/>
    <s v="351"/>
    <s v=""/>
    <s v="32997"/>
    <s v="00000"/>
    <s v="/////"/>
    <s v="0334"/>
    <s v="0061"/>
    <s v=""/>
    <x v="55"/>
    <s v="43063 32997 00000 10334 20061 40038 333 10351 59004 ="/>
    <m/>
    <s v="asd"/>
    <s v="28/05/2012 2:30:12 PM"/>
    <n v="2012"/>
    <x v="1"/>
    <x v="24"/>
    <n v="6.1"/>
    <n v="35.1"/>
    <s v=""/>
  </r>
  <r>
    <s v="25/02/2012"/>
    <s v="43063"/>
    <x v="1"/>
    <s v="19"/>
    <s v="11"/>
    <s v="10105"/>
    <s v="70500"/>
    <s v="59018"/>
    <s v="///"/>
    <s v="13"/>
    <s v=""/>
    <s v=""/>
    <s v="56///"/>
    <s v=""/>
    <s v=""/>
    <s v=""/>
    <s v="130"/>
    <s v="31996"/>
    <s v="00000"/>
    <s v="/////"/>
    <s v="0192"/>
    <s v="0112"/>
    <s v=""/>
    <x v="55"/>
    <s v="43063 31996 00000 10192 20112 40105 70500 333 20130 59018 555 00000 ="/>
    <n v="130"/>
    <s v="asd"/>
    <s v="28/05/2012 2:30:12 PM"/>
    <n v="2012"/>
    <x v="1"/>
    <x v="24"/>
    <n v="11.2"/>
    <s v=""/>
    <n v="13"/>
  </r>
  <r>
    <s v="26/02/2012"/>
    <s v="43063"/>
    <x v="1"/>
    <s v="20"/>
    <s v="11"/>
    <s v="10115"/>
    <s v="70500"/>
    <s v="58010"/>
    <s v="///"/>
    <s v="13"/>
    <s v=""/>
    <s v=""/>
    <s v="56///"/>
    <s v=""/>
    <s v=""/>
    <s v=""/>
    <s v="125"/>
    <s v="31996"/>
    <s v="00000"/>
    <s v="/////"/>
    <s v="0196"/>
    <s v="0108"/>
    <s v=""/>
    <x v="56"/>
    <s v="43063 31996 00000 10196 20108 40115 70500 333 20125 58010 555 00000 ="/>
    <n v="125"/>
    <s v="asd"/>
    <s v="28/05/2012 2:30:12 PM"/>
    <n v="2012"/>
    <x v="1"/>
    <x v="25"/>
    <n v="10.8"/>
    <s v=""/>
    <n v="12.5"/>
  </r>
  <r>
    <s v="26/02/2012"/>
    <s v="43063"/>
    <x v="0"/>
    <s v="34"/>
    <s v="7"/>
    <s v="10036"/>
    <s v="7////"/>
    <s v="59002"/>
    <s v="36"/>
    <s v="///"/>
    <s v=""/>
    <s v=""/>
    <s v="56///"/>
    <s v=""/>
    <s v=""/>
    <s v="359"/>
    <s v=""/>
    <s v="32997"/>
    <s v="00000"/>
    <s v="/////"/>
    <s v="0340"/>
    <s v="0072"/>
    <s v=""/>
    <x v="56"/>
    <s v="43063 32997 00000 10340 20072 40036 333 10359 59002 ="/>
    <m/>
    <s v="asd"/>
    <s v="28/05/2012 2:30:12 PM"/>
    <n v="2012"/>
    <x v="1"/>
    <x v="25"/>
    <n v="7.2"/>
    <n v="35.9"/>
    <s v=""/>
  </r>
  <r>
    <s v="27/02/2012"/>
    <s v="43063"/>
    <x v="1"/>
    <s v="19"/>
    <s v="13"/>
    <s v="10117"/>
    <s v="70500"/>
    <s v="58000"/>
    <s v="///"/>
    <s v="13"/>
    <s v=""/>
    <s v=""/>
    <s v="56///"/>
    <s v=""/>
    <s v=""/>
    <s v=""/>
    <s v="135"/>
    <s v="31996"/>
    <s v="00000"/>
    <s v="/////"/>
    <s v="0188"/>
    <s v="0127"/>
    <s v=""/>
    <x v="57"/>
    <s v="43063 31996 00000 10188 20127 40117 70500 333 20135 58000 555 00000 ="/>
    <n v="135"/>
    <s v="asd"/>
    <s v="28/05/2012 2:30:12 PM"/>
    <n v="2012"/>
    <x v="1"/>
    <x v="26"/>
    <n v="12.7"/>
    <s v=""/>
    <n v="13.5"/>
  </r>
  <r>
    <s v="27/02/2012"/>
    <s v="43063"/>
    <x v="0"/>
    <s v="34"/>
    <s v="7"/>
    <s v="10038"/>
    <s v="7////"/>
    <s v="58004"/>
    <s v="37"/>
    <s v="///"/>
    <s v=""/>
    <s v=""/>
    <s v="56///"/>
    <s v=""/>
    <s v=""/>
    <s v="367"/>
    <s v=""/>
    <s v="32997"/>
    <s v="00000"/>
    <s v="/////"/>
    <s v="0344"/>
    <s v="0068"/>
    <s v=""/>
    <x v="57"/>
    <s v="43063 32997 00000 10344 20068 40038 333 10367 58004 ="/>
    <m/>
    <s v="asd"/>
    <s v="28/05/2012 2:30:12 PM"/>
    <n v="2012"/>
    <x v="1"/>
    <x v="26"/>
    <n v="6.8"/>
    <n v="36.700000000000003"/>
    <s v=""/>
  </r>
  <r>
    <s v="28/02/2012"/>
    <s v="43063"/>
    <x v="0"/>
    <s v="32"/>
    <s v="1"/>
    <s v="10033"/>
    <s v="7////"/>
    <s v="59009"/>
    <s v="35"/>
    <s v="///"/>
    <s v=""/>
    <s v=""/>
    <s v="56///"/>
    <s v=""/>
    <s v=""/>
    <s v="347"/>
    <s v=""/>
    <s v="32997"/>
    <s v="02706"/>
    <s v="/////"/>
    <s v="0324"/>
    <s v="0011"/>
    <s v=""/>
    <x v="58"/>
    <s v="43063 32997 02706 10324 20011 40033 333 10347 59009 ="/>
    <m/>
    <s v="asd"/>
    <s v="28/05/2012 2:30:12 PM"/>
    <n v="2012"/>
    <x v="1"/>
    <x v="27"/>
    <n v="1.1000000000000001"/>
    <n v="34.700000000000003"/>
    <s v=""/>
  </r>
  <r>
    <s v="28/02/2012"/>
    <s v="43063"/>
    <x v="1"/>
    <s v="18"/>
    <s v="10"/>
    <s v="10105"/>
    <s v="70500"/>
    <s v="59014"/>
    <s v="///"/>
    <s v="13"/>
    <s v=""/>
    <s v=""/>
    <s v="56///"/>
    <s v=""/>
    <s v=""/>
    <s v=""/>
    <s v="133"/>
    <s v="31996"/>
    <s v="00000"/>
    <s v="/////"/>
    <s v="0180"/>
    <s v="0101"/>
    <s v=""/>
    <x v="58"/>
    <s v="43063 31996 00000 10180 20101 40105 70500 333 20133 59014 555 00000 ="/>
    <n v="133"/>
    <s v="asd"/>
    <s v="28/05/2012 2:30:12 PM"/>
    <n v="2012"/>
    <x v="1"/>
    <x v="27"/>
    <n v="10.1"/>
    <s v=""/>
    <n v="13.3"/>
  </r>
  <r>
    <s v="29/02/2012"/>
    <s v="43063"/>
    <x v="1"/>
    <s v="20"/>
    <s v="6"/>
    <s v="10089"/>
    <s v="70500"/>
    <s v="59011"/>
    <s v="///"/>
    <s v="10"/>
    <s v=""/>
    <s v=""/>
    <s v="56///"/>
    <s v=""/>
    <s v=""/>
    <s v=""/>
    <s v="098"/>
    <s v="31996"/>
    <s v="00000"/>
    <s v="/////"/>
    <s v="0196"/>
    <s v="0063"/>
    <s v=""/>
    <x v="59"/>
    <s v="43063 31996 00000 10196 20063 40089 70500 333 20098 59011 555 00000 ="/>
    <n v="98"/>
    <s v="asd"/>
    <s v="28/05/2012 2:30:12 PM"/>
    <n v="2012"/>
    <x v="1"/>
    <x v="28"/>
    <n v="6.3"/>
    <s v=""/>
    <n v="9.8000000000000007"/>
  </r>
  <r>
    <s v="29/02/2012"/>
    <s v="43063"/>
    <x v="0"/>
    <s v="31"/>
    <s v="5"/>
    <s v="10039"/>
    <s v="7////"/>
    <s v="58002"/>
    <s v="34"/>
    <s v="///"/>
    <s v=""/>
    <s v=""/>
    <s v="56///"/>
    <s v=""/>
    <s v=""/>
    <s v="336"/>
    <s v=""/>
    <s v="32997"/>
    <s v="02702"/>
    <s v="/////"/>
    <s v="0310"/>
    <s v="0045"/>
    <s v=""/>
    <x v="59"/>
    <s v="43063 32997 02702 10310 20045 40039 333 10336 58002 ="/>
    <m/>
    <s v="Prakash"/>
    <s v="08/06/2012 5:50:40 PM"/>
    <n v="2012"/>
    <x v="1"/>
    <x v="28"/>
    <n v="4.5"/>
    <n v="33.6"/>
    <s v=""/>
  </r>
  <r>
    <s v="01/03/2012"/>
    <s v="43063"/>
    <x v="1"/>
    <s v="17"/>
    <s v="11"/>
    <s v="10115"/>
    <s v="70500"/>
    <s v="58018"/>
    <s v="///"/>
    <s v="10"/>
    <s v=""/>
    <s v=""/>
    <s v="56///"/>
    <s v=""/>
    <s v=""/>
    <s v=""/>
    <s v="098"/>
    <s v="31996"/>
    <s v="00000"/>
    <s v="/////"/>
    <s v="0166"/>
    <s v="0109"/>
    <s v=""/>
    <x v="60"/>
    <s v="43063 31996 00000 10166 20109 40115 70500 333 20098 58018 555 00000 ="/>
    <n v="98"/>
    <s v="Prakash"/>
    <s v="08/06/2012 5:50:40 PM"/>
    <n v="2012"/>
    <x v="2"/>
    <x v="0"/>
    <n v="10.9"/>
    <s v=""/>
    <n v="9.8000000000000007"/>
  </r>
  <r>
    <s v="01/03/2012"/>
    <s v="43063"/>
    <x v="0"/>
    <s v="30"/>
    <s v="1"/>
    <s v="10050"/>
    <s v="7////"/>
    <s v="58011"/>
    <s v="33"/>
    <s v="///"/>
    <s v=""/>
    <s v=""/>
    <s v="56///"/>
    <s v=""/>
    <s v=""/>
    <s v="327"/>
    <s v=""/>
    <s v="32997"/>
    <s v="02704"/>
    <s v="/////"/>
    <s v="0304"/>
    <s v="0011"/>
    <s v=""/>
    <x v="60"/>
    <s v="43063 32997 02704 10304 20011 40050 333 10327 58011 ="/>
    <m/>
    <s v="Prakash"/>
    <s v="08/06/2012 5:50:40 PM"/>
    <n v="2012"/>
    <x v="2"/>
    <x v="0"/>
    <n v="1.1000000000000001"/>
    <n v="32.700000000000003"/>
    <s v=""/>
  </r>
  <r>
    <s v="02/03/2012"/>
    <s v="43063"/>
    <x v="0"/>
    <s v="30"/>
    <s v="4"/>
    <s v="10045"/>
    <s v="7////"/>
    <s v="59007"/>
    <s v="32"/>
    <s v="///"/>
    <s v=""/>
    <s v=""/>
    <s v="56///"/>
    <s v=""/>
    <s v=""/>
    <s v="322"/>
    <s v=""/>
    <s v="32997"/>
    <s v="02705"/>
    <s v="/////"/>
    <s v="0296"/>
    <s v="0043"/>
    <s v=""/>
    <x v="61"/>
    <s v="43063 32997 02705 10296 20043 40045 333 10322 59007 ="/>
    <m/>
    <s v="Prakash"/>
    <s v="08/06/2012 5:50:40 PM"/>
    <n v="2012"/>
    <x v="2"/>
    <x v="1"/>
    <n v="4.3"/>
    <n v="32.200000000000003"/>
    <s v=""/>
  </r>
  <r>
    <s v="02/03/2012"/>
    <s v="43063"/>
    <x v="1"/>
    <s v="17"/>
    <s v="8"/>
    <s v="10100"/>
    <s v="70500"/>
    <s v="59011"/>
    <s v="///"/>
    <s v="9"/>
    <s v=""/>
    <s v=""/>
    <s v="56///"/>
    <s v=""/>
    <s v=""/>
    <s v=""/>
    <s v="088"/>
    <s v="31996"/>
    <s v="00000"/>
    <s v="/////"/>
    <s v="0172"/>
    <s v="0078"/>
    <s v=""/>
    <x v="61"/>
    <s v="43063 31996 00000 10172 20078 40100 70500 333 20088 59011 555 00000 ="/>
    <n v="88"/>
    <s v="Prakash"/>
    <s v="08/06/2012 5:50:40 PM"/>
    <n v="2012"/>
    <x v="2"/>
    <x v="1"/>
    <n v="7.8"/>
    <s v=""/>
    <n v="8.8000000000000007"/>
  </r>
  <r>
    <s v="03/03/2012"/>
    <s v="43063"/>
    <x v="0"/>
    <s v="33"/>
    <s v="9"/>
    <s v="10039"/>
    <s v="7////"/>
    <s v="58000"/>
    <s v="34"/>
    <s v="///"/>
    <s v=""/>
    <s v=""/>
    <s v="56///"/>
    <s v=""/>
    <s v=""/>
    <s v="336"/>
    <s v=""/>
    <s v="32997"/>
    <s v="02701"/>
    <s v="/////"/>
    <s v="0326"/>
    <s v="0086"/>
    <s v=""/>
    <x v="62"/>
    <s v="43063 32997 02701 10326 20086 40039 333 10336 58000 ="/>
    <m/>
    <s v="Prakash"/>
    <s v="08/06/2012 5:50:40 PM"/>
    <n v="2012"/>
    <x v="2"/>
    <x v="2"/>
    <n v="8.6"/>
    <n v="33.6"/>
    <s v=""/>
  </r>
  <r>
    <s v="03/03/2012"/>
    <s v="43063"/>
    <x v="1"/>
    <s v="20"/>
    <s v="14"/>
    <s v="10006"/>
    <s v="70500"/>
    <s v="58009"/>
    <s v="///"/>
    <s v="12"/>
    <s v=""/>
    <s v=""/>
    <s v="56///"/>
    <s v=""/>
    <s v=""/>
    <s v=""/>
    <s v="122"/>
    <s v="31996"/>
    <s v="00000"/>
    <s v="/////"/>
    <s v="0196"/>
    <s v="0136"/>
    <s v=""/>
    <x v="62"/>
    <s v="43063 31996 00000 10196 20136 40006 70500 333 20122 58009 555 00000 ="/>
    <n v="122"/>
    <s v="Prakash"/>
    <s v="08/06/2012 5:50:40 PM"/>
    <n v="2012"/>
    <x v="2"/>
    <x v="2"/>
    <n v="13.6"/>
    <s v=""/>
    <n v="12.2"/>
  </r>
  <r>
    <s v="04/03/2012"/>
    <s v="43063"/>
    <x v="0"/>
    <s v="34"/>
    <s v="3"/>
    <s v="10052"/>
    <s v="7////"/>
    <s v="58014"/>
    <s v="35"/>
    <s v="///"/>
    <s v=""/>
    <s v=""/>
    <s v="56///"/>
    <s v=""/>
    <s v=""/>
    <s v="350"/>
    <s v=""/>
    <s v="32996"/>
    <s v="00901"/>
    <s v="/////"/>
    <s v="0338"/>
    <s v="0029"/>
    <s v=""/>
    <x v="63"/>
    <s v="43063 32996 00901 10338 20029 40052 333 10350 58014 ="/>
    <m/>
    <s v="Prakash"/>
    <s v="08/06/2012 5:50:40 PM"/>
    <n v="2012"/>
    <x v="2"/>
    <x v="3"/>
    <n v="2.9"/>
    <n v="35"/>
    <s v=""/>
  </r>
  <r>
    <s v="04/03/2012"/>
    <s v="43063"/>
    <x v="1"/>
    <s v="21"/>
    <s v="14"/>
    <s v="10119"/>
    <s v="70500"/>
    <s v="58014"/>
    <s v="///"/>
    <s v="13"/>
    <s v=""/>
    <s v=""/>
    <s v="56///"/>
    <s v=""/>
    <s v=""/>
    <s v=""/>
    <s v="133"/>
    <s v="31996"/>
    <s v="00000"/>
    <s v="/////"/>
    <s v="0210"/>
    <s v="0144"/>
    <s v=""/>
    <x v="63"/>
    <s v="43063 31996 00000 10210 20144 40119 70500 333 20133 58014 555 00000 ="/>
    <n v="133"/>
    <s v="Prakash"/>
    <s v="08/06/2012 5:50:40 PM"/>
    <n v="2012"/>
    <x v="2"/>
    <x v="3"/>
    <n v="14.4"/>
    <s v=""/>
    <n v="13.3"/>
  </r>
  <r>
    <s v="05/03/2012"/>
    <s v="43063"/>
    <x v="1"/>
    <s v="21"/>
    <s v="12"/>
    <s v="10112"/>
    <s v="70511"/>
    <s v="59007"/>
    <s v="///"/>
    <s v="13"/>
    <s v=""/>
    <s v=""/>
    <s v="56///"/>
    <s v=""/>
    <s v=""/>
    <s v=""/>
    <s v="133"/>
    <s v="21996"/>
    <s v="20000"/>
    <s v="80001"/>
    <s v="0206"/>
    <s v="0117"/>
    <s v=""/>
    <x v="64"/>
    <s v="43063 21996 20000 10206 20117 40112 70511 80001 333 20133 59007 555 00000 ="/>
    <n v="133"/>
    <s v="Prakash"/>
    <s v="08/06/2012 5:50:40 PM"/>
    <n v="2012"/>
    <x v="2"/>
    <x v="4"/>
    <n v="11.7"/>
    <s v=""/>
    <n v="13.3"/>
  </r>
  <r>
    <s v="05/03/2012"/>
    <s v="43063"/>
    <x v="0"/>
    <s v="35"/>
    <s v="9"/>
    <s v="10042"/>
    <s v="7////"/>
    <s v="59007"/>
    <s v="37"/>
    <s v="///"/>
    <s v=""/>
    <s v=""/>
    <s v="56///"/>
    <s v=""/>
    <s v=""/>
    <s v="365"/>
    <s v=""/>
    <s v="32997"/>
    <s v="20000"/>
    <s v="80001"/>
    <s v="0350"/>
    <s v="0085"/>
    <s v=""/>
    <x v="64"/>
    <s v="43063 32997 20000 10350 20085 40042 80001 333 10365 59007 ="/>
    <m/>
    <s v="Prakash"/>
    <s v="08/06/2012 5:50:40 PM"/>
    <n v="2012"/>
    <x v="2"/>
    <x v="4"/>
    <n v="8.5"/>
    <n v="36.5"/>
    <s v=""/>
  </r>
  <r>
    <s v="06/03/2012"/>
    <s v="43063"/>
    <x v="0"/>
    <s v="32"/>
    <s v="5"/>
    <s v="10055"/>
    <s v="7////"/>
    <s v="58006"/>
    <s v="35"/>
    <s v="///"/>
    <s v=""/>
    <s v=""/>
    <s v="56///"/>
    <s v=""/>
    <s v=""/>
    <s v="349"/>
    <s v=""/>
    <s v="32997"/>
    <s v="02702"/>
    <s v="/////"/>
    <s v="0318"/>
    <s v="0048"/>
    <s v=""/>
    <x v="65"/>
    <s v="43063 32997 02702 10318 20048 40055 333 10349 58006 ="/>
    <m/>
    <s v="Prakash"/>
    <s v="08/06/2012 5:50:40 PM"/>
    <n v="2012"/>
    <x v="2"/>
    <x v="5"/>
    <n v="4.8"/>
    <n v="34.9"/>
    <s v=""/>
  </r>
  <r>
    <s v="06/03/2012"/>
    <s v="43063"/>
    <x v="1"/>
    <s v="22"/>
    <s v="11"/>
    <s v="10107"/>
    <s v="70500"/>
    <s v="58000"/>
    <s v="///"/>
    <s v="14"/>
    <s v=""/>
    <s v=""/>
    <s v="56///"/>
    <s v=""/>
    <s v=""/>
    <s v=""/>
    <s v="137"/>
    <s v="31996"/>
    <s v="20000"/>
    <s v="80001"/>
    <s v="0224"/>
    <s v="0106"/>
    <s v=""/>
    <x v="65"/>
    <s v="43063 31996 20000 10224 20106 40107 70500 80001 333 20137 58000 555 00000 ="/>
    <n v="137"/>
    <s v="Prakash"/>
    <s v="08/06/2012 5:50:40 PM"/>
    <n v="2012"/>
    <x v="2"/>
    <x v="5"/>
    <n v="10.6"/>
    <s v=""/>
    <n v="13.7"/>
  </r>
  <r>
    <s v="07/03/2012"/>
    <s v="43063"/>
    <x v="0"/>
    <s v="30"/>
    <s v="-1"/>
    <s v="10038"/>
    <s v="7////"/>
    <s v="59018"/>
    <s v="33"/>
    <s v="///"/>
    <s v=""/>
    <s v=""/>
    <s v="56///"/>
    <s v=""/>
    <s v=""/>
    <s v="335"/>
    <s v=""/>
    <s v="32997"/>
    <s v="02703"/>
    <s v="/////"/>
    <s v="0304"/>
    <s v="1005"/>
    <s v=""/>
    <x v="66"/>
    <s v="43063 32997 02703 10304 21005 40038 333 10335 59018 ="/>
    <m/>
    <s v="Prakash"/>
    <s v="08/06/2012 5:50:40 PM"/>
    <n v="2012"/>
    <x v="2"/>
    <x v="6"/>
    <n v="100.5"/>
    <n v="33.5"/>
    <s v=""/>
  </r>
  <r>
    <s v="07/03/2012"/>
    <s v="43063"/>
    <x v="1"/>
    <s v="19"/>
    <s v="8"/>
    <s v="10099"/>
    <s v="70500"/>
    <s v="59016"/>
    <s v="///"/>
    <s v="10"/>
    <s v=""/>
    <s v=""/>
    <s v="56///"/>
    <s v=""/>
    <s v=""/>
    <s v=""/>
    <s v="103"/>
    <s v="31996"/>
    <s v="02701"/>
    <s v="/////"/>
    <s v="0190"/>
    <s v="0079"/>
    <s v=""/>
    <x v="66"/>
    <s v="43063 31996 02701 10190 20079 40099 70500 333 20103 59016 555 00000 ="/>
    <n v="103"/>
    <s v="Prakash"/>
    <s v="08/06/2012 5:50:40 PM"/>
    <n v="2012"/>
    <x v="2"/>
    <x v="6"/>
    <n v="7.9"/>
    <s v=""/>
    <n v="10.3"/>
  </r>
  <r>
    <s v="08/03/2012"/>
    <s v="43063"/>
    <x v="1"/>
    <s v="18"/>
    <s v="8"/>
    <s v="10110"/>
    <s v="7////"/>
    <s v="58008"/>
    <s v="///"/>
    <s v="10"/>
    <s v=""/>
    <s v=""/>
    <s v="56///"/>
    <s v=""/>
    <s v=""/>
    <s v=""/>
    <s v="101"/>
    <s v="32997"/>
    <s v="22701"/>
    <s v="80001"/>
    <s v="0178"/>
    <s v="0077"/>
    <s v=""/>
    <x v="67"/>
    <s v="43063 32997 22701 10178 20077 40110 80001 333 20101 58008 555 00000 ="/>
    <n v="101"/>
    <s v="Prakash"/>
    <s v="08/06/2012 5:50:40 PM"/>
    <n v="2012"/>
    <x v="2"/>
    <x v="7"/>
    <n v="7.7"/>
    <s v=""/>
    <n v="10.1"/>
  </r>
  <r>
    <s v="08/03/2012"/>
    <s v="43063"/>
    <x v="0"/>
    <s v="29"/>
    <s v="3"/>
    <s v="10054"/>
    <s v="7////"/>
    <s v="58012"/>
    <s v="31"/>
    <s v="///"/>
    <s v=""/>
    <s v=""/>
    <s v="56///"/>
    <s v=""/>
    <s v=""/>
    <s v="310"/>
    <s v=""/>
    <s v="32997"/>
    <s v="32705"/>
    <s v="80001"/>
    <s v="0290"/>
    <s v="0031"/>
    <s v=""/>
    <x v="67"/>
    <s v="43063 32997 32705 10290 20031 40054 80001 333 10310 58012 ="/>
    <m/>
    <s v="Prakash"/>
    <s v="08/06/2012 5:50:40 PM"/>
    <n v="2012"/>
    <x v="2"/>
    <x v="7"/>
    <n v="3.1"/>
    <n v="31"/>
    <s v=""/>
  </r>
  <r>
    <s v="09/03/2012"/>
    <s v="43063"/>
    <x v="0"/>
    <s v="30"/>
    <s v="2"/>
    <s v="10040"/>
    <s v="7////"/>
    <s v="59012"/>
    <s v="31"/>
    <s v="///"/>
    <s v=""/>
    <s v=""/>
    <s v="56///"/>
    <s v=""/>
    <s v=""/>
    <s v="309"/>
    <s v=""/>
    <s v="32997"/>
    <s v="22702"/>
    <s v="80001"/>
    <s v="0300"/>
    <s v="0024"/>
    <s v=""/>
    <x v="68"/>
    <s v="43063 32997 22702 10300 20024 40040 80001 333 10309 59012 ="/>
    <m/>
    <s v="Prakash"/>
    <s v="08/06/2012 5:50:40 PM"/>
    <n v="2012"/>
    <x v="2"/>
    <x v="8"/>
    <n v="2.4"/>
    <n v="30.9"/>
    <s v=""/>
  </r>
  <r>
    <s v="09/03/2012"/>
    <s v="43063"/>
    <x v="1"/>
    <s v="19"/>
    <s v="12"/>
    <s v="10116"/>
    <s v="7////"/>
    <s v="58008"/>
    <s v="///"/>
    <s v="11"/>
    <s v=""/>
    <s v=""/>
    <s v="56///"/>
    <s v=""/>
    <s v=""/>
    <s v=""/>
    <s v="106"/>
    <s v="32997"/>
    <s v="00000"/>
    <s v="/////"/>
    <s v="0186"/>
    <s v="0120"/>
    <s v=""/>
    <x v="68"/>
    <s v="43063 32997 00000 10186 20120 40116 333 20106 58008 555 00000 ="/>
    <n v="106"/>
    <s v="Prakash"/>
    <s v="08/06/2012 5:50:40 PM"/>
    <n v="2012"/>
    <x v="2"/>
    <x v="8"/>
    <n v="12"/>
    <s v=""/>
    <n v="10.6"/>
  </r>
  <r>
    <s v="10/03/2012"/>
    <s v="43063"/>
    <x v="1"/>
    <s v="19"/>
    <s v="10"/>
    <s v="10106"/>
    <s v="7////"/>
    <s v="59008"/>
    <s v="///"/>
    <s v="10"/>
    <s v=""/>
    <s v=""/>
    <s v="56///"/>
    <s v=""/>
    <s v=""/>
    <s v=""/>
    <s v="101"/>
    <s v="32997"/>
    <s v="00000"/>
    <s v="/////"/>
    <s v="0192"/>
    <s v="0103"/>
    <s v=""/>
    <x v="69"/>
    <s v="43063 32997 00000 10192 20103 40106 333 20101 59008 555 00000 ="/>
    <n v="101"/>
    <s v="Prakash"/>
    <s v="08/06/2012 5:50:40 PM"/>
    <n v="2012"/>
    <x v="2"/>
    <x v="9"/>
    <n v="10.3"/>
    <s v=""/>
    <n v="10.1"/>
  </r>
  <r>
    <s v="10/03/2012"/>
    <s v="43063"/>
    <x v="0"/>
    <s v="32"/>
    <s v="1"/>
    <s v="10038"/>
    <s v="7////"/>
    <s v="58002"/>
    <s v="33"/>
    <s v="///"/>
    <s v=""/>
    <s v=""/>
    <s v="56///"/>
    <s v=""/>
    <s v=""/>
    <s v="329"/>
    <s v=""/>
    <s v="32997"/>
    <s v="00201"/>
    <s v="/////"/>
    <s v="0318"/>
    <s v="0012"/>
    <s v=""/>
    <x v="69"/>
    <s v="43063 32997 00201 10318 20012 40038 333 10329 58002 ="/>
    <m/>
    <s v="Prakash"/>
    <s v="08/06/2012 5:50:40 PM"/>
    <n v="2012"/>
    <x v="2"/>
    <x v="9"/>
    <n v="1.2"/>
    <n v="32.9"/>
    <s v=""/>
  </r>
  <r>
    <s v="11/03/2012"/>
    <s v="43063"/>
    <x v="1"/>
    <s v="21"/>
    <s v="9"/>
    <s v="10101"/>
    <s v="70500"/>
    <s v="59003"/>
    <s v="///"/>
    <s v="12"/>
    <s v=""/>
    <s v=""/>
    <s v="56///"/>
    <s v=""/>
    <s v=""/>
    <s v=""/>
    <s v="123"/>
    <s v="31996"/>
    <s v="01801"/>
    <s v="/////"/>
    <s v="0210"/>
    <s v="0087"/>
    <s v=""/>
    <x v="70"/>
    <s v="43063 31996 01801 10210 20087 40101 70500 333 20123 59003 555 00000 ="/>
    <n v="123"/>
    <s v="Prakash"/>
    <s v="08/06/2012 5:50:40 PM"/>
    <n v="2012"/>
    <x v="2"/>
    <x v="10"/>
    <n v="8.6999999999999993"/>
    <s v=""/>
    <n v="12.3"/>
  </r>
  <r>
    <s v="11/03/2012"/>
    <s v="43063"/>
    <x v="0"/>
    <s v="32"/>
    <s v="5"/>
    <s v="10038"/>
    <s v="7////"/>
    <s v="58000"/>
    <s v="35"/>
    <s v="///"/>
    <s v=""/>
    <s v=""/>
    <s v="56///"/>
    <s v=""/>
    <s v=""/>
    <s v="351"/>
    <s v=""/>
    <s v="32997"/>
    <s v="22902"/>
    <s v="80001"/>
    <s v="0318"/>
    <s v="0054"/>
    <s v=""/>
    <x v="70"/>
    <s v="43063 32997 22902 10318 20054 40038 80001 333 10351 58000 ="/>
    <m/>
    <s v="Prakash"/>
    <s v="08/06/2012 5:50:40 PM"/>
    <n v="2012"/>
    <x v="2"/>
    <x v="10"/>
    <n v="5.4"/>
    <n v="35.1"/>
    <s v=""/>
  </r>
  <r>
    <s v="12/03/2012"/>
    <s v="43063"/>
    <x v="0"/>
    <s v="31"/>
    <s v="05"/>
    <s v="10080"/>
    <s v="7////"/>
    <s v="58040"/>
    <s v="35"/>
    <s v="///"/>
    <s v=""/>
    <s v=""/>
    <s v="56///"/>
    <s v=""/>
    <s v=""/>
    <s v="352"/>
    <s v=""/>
    <s v="32997"/>
    <s v="02906"/>
    <s v="/////"/>
    <s v="0312"/>
    <s v="0055"/>
    <s v=""/>
    <x v="71"/>
    <s v="43063 32997 02906 10312 20055 40080 333 10352 58040 ="/>
    <m/>
    <s v="Prakash"/>
    <s v="08/06/2012 5:50:40 PM"/>
    <n v="2012"/>
    <x v="2"/>
    <x v="11"/>
    <n v="5.5"/>
    <n v="35.200000000000003"/>
    <s v=""/>
  </r>
  <r>
    <s v="12/03/2012"/>
    <s v="43063"/>
    <x v="1"/>
    <s v="21"/>
    <s v="4"/>
    <s v="10132"/>
    <s v="7////"/>
    <s v="58032"/>
    <s v="///"/>
    <s v="14"/>
    <s v=""/>
    <s v=""/>
    <s v="56///"/>
    <s v=""/>
    <s v=""/>
    <s v=""/>
    <s v="143"/>
    <s v="32596"/>
    <s v="40000"/>
    <s v="84500"/>
    <s v="0212"/>
    <s v="0044"/>
    <s v=""/>
    <x v="71"/>
    <s v="43063 32596 40000 10212 20044 40132 84500 333 20143 58032 555 00000 ="/>
    <n v="143"/>
    <s v="Prakash"/>
    <s v="08/06/2012 5:50:40 PM"/>
    <n v="2012"/>
    <x v="2"/>
    <x v="11"/>
    <n v="4.4000000000000004"/>
    <s v=""/>
    <n v="14.3"/>
  </r>
  <r>
    <s v="13/03/2012"/>
    <s v="43063"/>
    <x v="1"/>
    <s v="22"/>
    <s v="11"/>
    <s v="10141"/>
    <s v="70500"/>
    <s v="58010"/>
    <s v="///"/>
    <s v="13"/>
    <s v=""/>
    <s v=""/>
    <s v="56///"/>
    <s v=""/>
    <s v=""/>
    <s v=""/>
    <s v="128"/>
    <s v="31996"/>
    <s v="00000"/>
    <s v="/////"/>
    <s v="0224"/>
    <s v="0106"/>
    <s v=""/>
    <x v="72"/>
    <s v="43063 31996 00000 10224 20106 40141 70500 333 20128 58010 555 00000 ="/>
    <n v="128"/>
    <s v="Prakash"/>
    <s v="08/06/2012 5:50:40 PM"/>
    <n v="2012"/>
    <x v="2"/>
    <x v="12"/>
    <n v="10.6"/>
    <s v=""/>
    <n v="12.8"/>
  </r>
  <r>
    <s v="13/03/2012"/>
    <s v="43063"/>
    <x v="0"/>
    <s v="33"/>
    <s v="3"/>
    <s v="10080"/>
    <s v="7////"/>
    <s v="58004"/>
    <s v="34"/>
    <s v="///"/>
    <s v=""/>
    <s v=""/>
    <s v="56///"/>
    <s v=""/>
    <s v=""/>
    <s v="341"/>
    <s v=""/>
    <s v="32997"/>
    <s v="00903"/>
    <s v="/////"/>
    <s v="0334"/>
    <s v="0027"/>
    <s v=""/>
    <x v="72"/>
    <s v="43063 32997 00903 10334 20027 40080 333 10341 58004 ="/>
    <m/>
    <s v="Prakash"/>
    <s v="08/06/2012 5:50:40 PM"/>
    <n v="2012"/>
    <x v="2"/>
    <x v="12"/>
    <n v="2.7"/>
    <n v="34.1"/>
    <s v=""/>
  </r>
  <r>
    <s v="14/03/2012"/>
    <s v="43063"/>
    <x v="1"/>
    <s v="22"/>
    <s v="10"/>
    <s v="10160"/>
    <s v="7////"/>
    <s v="58016"/>
    <s v="///"/>
    <s v="13"/>
    <s v=""/>
    <s v=""/>
    <s v="56///"/>
    <s v=""/>
    <s v=""/>
    <s v=""/>
    <s v="129"/>
    <s v="32997"/>
    <s v="00000"/>
    <s v="/////"/>
    <s v="0216"/>
    <s v="0100"/>
    <s v=""/>
    <x v="73"/>
    <s v="43063 32997 00000 10216 20100 40160 333 20129 58016 555 00000 ="/>
    <n v="129"/>
    <s v="Prakash"/>
    <s v="08/06/2012 5:50:40 PM"/>
    <n v="2012"/>
    <x v="2"/>
    <x v="13"/>
    <n v="10"/>
    <s v=""/>
    <n v="12.9"/>
  </r>
  <r>
    <s v="14/03/2012"/>
    <s v="43063"/>
    <x v="0"/>
    <s v="34"/>
    <s v="5"/>
    <s v="10084"/>
    <s v="7////"/>
    <s v="58004"/>
    <s v="35"/>
    <s v="///"/>
    <s v=""/>
    <s v=""/>
    <s v="56///"/>
    <s v=""/>
    <s v=""/>
    <s v="351"/>
    <s v=""/>
    <s v="32997"/>
    <s v="03201"/>
    <s v="/////"/>
    <s v="0340"/>
    <s v="0054"/>
    <s v=""/>
    <x v="73"/>
    <s v="43063 32997 03201 10340 20054 40084 333 10351 58004 ="/>
    <m/>
    <s v="Prakash"/>
    <s v="08/06/2012 5:50:40 PM"/>
    <n v="2012"/>
    <x v="2"/>
    <x v="13"/>
    <n v="5.4"/>
    <n v="35.1"/>
    <s v=""/>
  </r>
  <r>
    <s v="15/03/2012"/>
    <s v="43063"/>
    <x v="0"/>
    <s v="35"/>
    <s v="5"/>
    <s v="10063"/>
    <s v="7////"/>
    <s v="59016"/>
    <s v="37"/>
    <s v="///"/>
    <s v=""/>
    <s v=""/>
    <s v="56///"/>
    <s v=""/>
    <s v=""/>
    <s v="369"/>
    <s v=""/>
    <s v="32997"/>
    <s v="00000"/>
    <s v="/////"/>
    <s v="0352"/>
    <s v="0053"/>
    <s v=""/>
    <x v="74"/>
    <s v="43063 32997 00000 10352 20053 40063 333 10369 59016 ="/>
    <m/>
    <s v="Prakash"/>
    <s v="08/06/2012 5:50:40 PM"/>
    <n v="2012"/>
    <x v="2"/>
    <x v="14"/>
    <n v="5.3"/>
    <n v="36.9"/>
    <s v=""/>
  </r>
  <r>
    <s v="15/03/2012"/>
    <s v="43063"/>
    <x v="1"/>
    <s v="24"/>
    <s v="10"/>
    <s v="10144"/>
    <s v="70500"/>
    <s v="59011"/>
    <s v="///"/>
    <s v="13"/>
    <s v=""/>
    <s v=""/>
    <s v="56///"/>
    <s v=""/>
    <s v=""/>
    <s v=""/>
    <s v="135"/>
    <s v="31996"/>
    <s v="00000"/>
    <s v="/////"/>
    <s v="0238"/>
    <s v="0103"/>
    <s v=""/>
    <x v="74"/>
    <s v="43063 31996 00000 10238 20103 40144 70500 333 20135 59011 555 00000 ="/>
    <n v="135"/>
    <s v="Prakash"/>
    <s v="08/06/2012 5:50:40 PM"/>
    <n v="2012"/>
    <x v="2"/>
    <x v="14"/>
    <n v="10.3"/>
    <s v=""/>
    <n v="13.5"/>
  </r>
  <r>
    <s v="16/03/2012"/>
    <s v="43063"/>
    <x v="1"/>
    <s v="23"/>
    <s v="12"/>
    <s v="10144"/>
    <s v="70500"/>
    <s v="58000"/>
    <s v="///"/>
    <s v="14"/>
    <s v=""/>
    <s v=""/>
    <s v="56///"/>
    <s v=""/>
    <s v=""/>
    <s v=""/>
    <s v="144"/>
    <s v="31996"/>
    <s v="00000"/>
    <s v="/////"/>
    <s v="0232"/>
    <s v="0116"/>
    <s v=""/>
    <x v="75"/>
    <s v="43063 31996 00000 10232 20116 40144 70500 333 20144 58000 555 00000 ="/>
    <n v="144"/>
    <s v="Prakash"/>
    <s v="08/06/2012 5:50:40 PM"/>
    <n v="2012"/>
    <x v="2"/>
    <x v="15"/>
    <n v="11.6"/>
    <s v=""/>
    <n v="14.4"/>
  </r>
  <r>
    <s v="16/03/2012"/>
    <s v="43063"/>
    <x v="0"/>
    <s v="36"/>
    <s v="9"/>
    <s v="10071"/>
    <s v="7////"/>
    <s v="59007"/>
    <s v="37"/>
    <s v="///"/>
    <s v=""/>
    <s v=""/>
    <s v="56///"/>
    <s v=""/>
    <s v=""/>
    <s v="372"/>
    <s v=""/>
    <s v="32997"/>
    <s v="00000"/>
    <s v="/////"/>
    <s v="0356"/>
    <s v="0090"/>
    <s v=""/>
    <x v="75"/>
    <s v="43063 32997 00000 10356 20090 40071 333 10372 59007 ="/>
    <m/>
    <s v="Prakash"/>
    <s v="08/06/2012 5:50:40 PM"/>
    <n v="2012"/>
    <x v="2"/>
    <x v="15"/>
    <n v="9"/>
    <n v="37.200000000000003"/>
    <s v=""/>
  </r>
  <r>
    <s v="17/03/2012"/>
    <s v="43063"/>
    <x v="0"/>
    <s v="35"/>
    <s v="6"/>
    <s v="10062"/>
    <s v="7////"/>
    <s v="59008"/>
    <s v="38"/>
    <s v="///"/>
    <s v=""/>
    <s v=""/>
    <s v="56///"/>
    <s v=""/>
    <s v=""/>
    <s v="381"/>
    <s v=""/>
    <s v="32997"/>
    <s v="02905"/>
    <s v="/////"/>
    <s v="0352"/>
    <s v="0059"/>
    <s v=""/>
    <x v="76"/>
    <s v="43063 32997 02905 10352 20059 40062 333 10381 59008 ="/>
    <m/>
    <s v="Prakash"/>
    <s v="08/06/2012 5:50:40 PM"/>
    <n v="2012"/>
    <x v="2"/>
    <x v="16"/>
    <n v="5.9"/>
    <n v="38.1"/>
    <s v=""/>
  </r>
  <r>
    <s v="17/03/2012"/>
    <s v="43063"/>
    <x v="1"/>
    <s v="24"/>
    <s v="11"/>
    <s v="10125"/>
    <s v="70500"/>
    <s v="59017"/>
    <s v="///"/>
    <s v="15"/>
    <s v=""/>
    <s v=""/>
    <s v="56///"/>
    <s v=""/>
    <s v=""/>
    <s v=""/>
    <s v="148"/>
    <s v="31996"/>
    <s v="00000"/>
    <s v="/////"/>
    <s v="0240"/>
    <s v="0105"/>
    <s v=""/>
    <x v="76"/>
    <s v="43063 31996 00000 10240 20105 40125 70500 333 20148 59017 555 00000 ="/>
    <n v="148"/>
    <s v="Prakash"/>
    <s v="08/06/2012 5:50:40 PM"/>
    <n v="2012"/>
    <x v="2"/>
    <x v="16"/>
    <n v="10.5"/>
    <s v=""/>
    <n v="14.8"/>
  </r>
  <r>
    <s v="18/03/2012"/>
    <s v="43063"/>
    <x v="1"/>
    <s v="24"/>
    <s v="10"/>
    <s v="10129"/>
    <s v="7////"/>
    <s v="58004"/>
    <s v="///"/>
    <s v="15"/>
    <s v=""/>
    <s v=""/>
    <s v="56///"/>
    <s v=""/>
    <s v=""/>
    <s v=""/>
    <s v="148"/>
    <s v="32997"/>
    <s v="00000"/>
    <s v="/////"/>
    <s v="0238"/>
    <s v="0098"/>
    <s v=""/>
    <x v="77"/>
    <s v="43063 32997 00000 10238 20098 40129 333 20148 58004 555 00000 ="/>
    <n v="148"/>
    <s v="Prakash"/>
    <s v="08/06/2012 5:50:40 PM"/>
    <n v="2012"/>
    <x v="2"/>
    <x v="17"/>
    <n v="9.8000000000000007"/>
    <s v=""/>
    <n v="14.8"/>
  </r>
  <r>
    <s v="18/03/2012"/>
    <s v="43063"/>
    <x v="0"/>
    <s v="35"/>
    <s v="6"/>
    <s v="10067"/>
    <s v="7////"/>
    <s v="58003"/>
    <s v="38"/>
    <s v="///"/>
    <s v=""/>
    <s v=""/>
    <s v="56///"/>
    <s v=""/>
    <s v=""/>
    <s v="378"/>
    <s v=""/>
    <s v="32997"/>
    <s v="02903"/>
    <s v="/////"/>
    <s v="0352"/>
    <s v="0059"/>
    <s v=""/>
    <x v="77"/>
    <s v="43063 32997 02903 10352 20059 40067 333 10378 58003 ="/>
    <m/>
    <s v="Prakash"/>
    <s v="08/06/2012 5:50:40 PM"/>
    <n v="2012"/>
    <x v="2"/>
    <x v="17"/>
    <n v="5.9"/>
    <n v="37.799999999999997"/>
    <s v=""/>
  </r>
  <r>
    <s v="19/03/2012"/>
    <s v="43063"/>
    <x v="0"/>
    <s v="35"/>
    <s v="4"/>
    <s v="10062"/>
    <s v="7////"/>
    <s v="59003"/>
    <s v="38"/>
    <s v="///"/>
    <s v=""/>
    <s v=""/>
    <s v="56///"/>
    <s v=""/>
    <s v=""/>
    <s v="381"/>
    <s v=""/>
    <s v="32997"/>
    <s v="02703"/>
    <s v="/////"/>
    <s v="0354"/>
    <s v="0036"/>
    <s v=""/>
    <x v="78"/>
    <s v="43063 32997 02703 10354 20036 40062 333 10381 59003 ="/>
    <m/>
    <s v="Prakash"/>
    <s v="08/06/2012 5:50:40 PM"/>
    <n v="2012"/>
    <x v="2"/>
    <x v="18"/>
    <n v="3.6"/>
    <n v="38.1"/>
    <s v=""/>
  </r>
  <r>
    <s v="19/03/2012"/>
    <s v="43063"/>
    <x v="1"/>
    <s v="24"/>
    <s v="09"/>
    <s v="10137"/>
    <s v="70540"/>
    <s v="58008"/>
    <s v="///"/>
    <s v="14"/>
    <s v=""/>
    <s v=""/>
    <s v="56///"/>
    <s v=""/>
    <s v=""/>
    <s v=""/>
    <s v="143"/>
    <s v="31996"/>
    <s v="00000"/>
    <s v="/////"/>
    <s v="0244"/>
    <s v="0095"/>
    <s v=""/>
    <x v="78"/>
    <s v="43063 31996 00000 10244 20095 40137 70540 333 20143 58008 555 00000 ="/>
    <n v="143"/>
    <s v="Prakash"/>
    <s v="08/06/2012 5:50:40 PM"/>
    <n v="2012"/>
    <x v="2"/>
    <x v="18"/>
    <n v="9.5"/>
    <s v=""/>
    <n v="14.3"/>
  </r>
  <r>
    <s v="20/03/2012"/>
    <s v="43063"/>
    <x v="1"/>
    <s v="25"/>
    <s v="10"/>
    <s v="10124"/>
    <s v="70500"/>
    <s v="59012"/>
    <s v="///"/>
    <s v="15"/>
    <s v=""/>
    <s v=""/>
    <s v="56///"/>
    <s v=""/>
    <s v=""/>
    <s v=""/>
    <s v="146"/>
    <s v="31996"/>
    <s v="00000"/>
    <s v="/////"/>
    <s v="0248"/>
    <s v="0103"/>
    <s v=""/>
    <x v="79"/>
    <s v="43063 31996 00000 10248 20103 40124 70500 333 20146 59012 555 00000 ="/>
    <n v="146"/>
    <s v="Prakash"/>
    <s v="08/06/2012 5:50:40 PM"/>
    <n v="2012"/>
    <x v="2"/>
    <x v="19"/>
    <n v="10.3"/>
    <s v=""/>
    <n v="14.6"/>
  </r>
  <r>
    <s v="20/03/2012"/>
    <s v="43063"/>
    <x v="0"/>
    <s v="36"/>
    <s v="4"/>
    <s v="10056"/>
    <s v="7////"/>
    <s v="59006"/>
    <s v="39"/>
    <s v="///"/>
    <s v=""/>
    <s v=""/>
    <s v="56///"/>
    <s v=""/>
    <s v=""/>
    <s v="391"/>
    <s v=""/>
    <s v="32997"/>
    <s v="02902"/>
    <s v="/////"/>
    <s v="0358"/>
    <s v="0038"/>
    <s v=""/>
    <x v="79"/>
    <s v="43063 32997 02902 10358 20038 40056 333 10391 59006 ="/>
    <m/>
    <s v="Prakash"/>
    <s v="08/06/2012 5:50:40 PM"/>
    <n v="2012"/>
    <x v="2"/>
    <x v="19"/>
    <n v="3.8"/>
    <n v="39.1"/>
    <s v=""/>
  </r>
  <r>
    <s v="21/03/2012"/>
    <s v="43063"/>
    <x v="0"/>
    <s v="36"/>
    <s v="6"/>
    <s v="10046"/>
    <s v="7////"/>
    <s v="59010"/>
    <s v="38"/>
    <s v="///"/>
    <s v=""/>
    <s v=""/>
    <s v="56///"/>
    <s v=""/>
    <s v=""/>
    <s v="384"/>
    <s v=""/>
    <s v="32997"/>
    <s v="02703"/>
    <s v="/////"/>
    <s v="0360"/>
    <s v="0056"/>
    <s v=""/>
    <x v="80"/>
    <s v="43063 32997 02703 10360 20056 40046 333 10384 59010 ="/>
    <m/>
    <s v="Prakash"/>
    <s v="08/06/2012 5:50:40 PM"/>
    <n v="2012"/>
    <x v="2"/>
    <x v="20"/>
    <n v="5.6"/>
    <n v="38.4"/>
    <s v=""/>
  </r>
  <r>
    <s v="21/03/2012"/>
    <s v="43063"/>
    <x v="1"/>
    <s v="26"/>
    <s v="13"/>
    <s v="10113"/>
    <s v="70500"/>
    <s v="59008"/>
    <s v="///"/>
    <s v="16"/>
    <s v=""/>
    <s v=""/>
    <s v="56///"/>
    <s v=""/>
    <s v=""/>
    <s v=""/>
    <s v="158"/>
    <s v="31996"/>
    <s v="00000"/>
    <s v="/////"/>
    <s v="0256"/>
    <s v="0135"/>
    <s v=""/>
    <x v="80"/>
    <s v="43063 31996 00000 10256 20135 40113 70500 333 20158 59008 555 00000 ="/>
    <n v="158"/>
    <s v="Prakash"/>
    <s v="08/06/2012 5:50:40 PM"/>
    <n v="2012"/>
    <x v="2"/>
    <x v="20"/>
    <n v="13.5"/>
    <s v=""/>
    <n v="15.8"/>
  </r>
  <r>
    <s v="22/03/2012"/>
    <s v="43063"/>
    <x v="0"/>
    <s v="37"/>
    <s v="8"/>
    <s v="10049"/>
    <s v="7////"/>
    <s v="58005"/>
    <s v="38"/>
    <s v="///"/>
    <s v=""/>
    <s v=""/>
    <s v="56///"/>
    <s v=""/>
    <s v=""/>
    <s v="380"/>
    <s v=""/>
    <s v="32997"/>
    <s v="00701"/>
    <s v="/////"/>
    <s v="0370"/>
    <s v="0083"/>
    <s v=""/>
    <x v="81"/>
    <s v="43063 32997 00701 10370 20083 39456 40049 333 10380 58005 ="/>
    <m/>
    <s v="Prakash"/>
    <s v="08/06/2012 5:50:40 PM"/>
    <n v="2012"/>
    <x v="2"/>
    <x v="21"/>
    <n v="8.3000000000000007"/>
    <n v="38"/>
    <s v=""/>
  </r>
  <r>
    <s v="22/03/2012"/>
    <s v="43063"/>
    <x v="1"/>
    <s v="24"/>
    <s v="12"/>
    <s v="10122"/>
    <s v="70500"/>
    <s v="58005"/>
    <s v="///"/>
    <s v="16"/>
    <s v=""/>
    <s v=""/>
    <s v="56///"/>
    <s v=""/>
    <s v=""/>
    <s v=""/>
    <s v="163"/>
    <s v="31996"/>
    <s v="00000"/>
    <s v="/////"/>
    <s v="0238"/>
    <s v="0116"/>
    <s v=""/>
    <x v="81"/>
    <s v="43063 31996 00000 10238 20116 40122 70500 333 20163 58005 555 00000 ="/>
    <n v="163"/>
    <s v="Prakash"/>
    <s v="08/06/2012 5:50:40 PM"/>
    <n v="2012"/>
    <x v="2"/>
    <x v="21"/>
    <n v="11.6"/>
    <s v=""/>
    <n v="16.3"/>
  </r>
  <r>
    <s v="23/03/2012"/>
    <s v="43063"/>
    <x v="1"/>
    <s v="26"/>
    <s v="13"/>
    <s v="10128"/>
    <s v="70500"/>
    <s v="58009"/>
    <s v="///"/>
    <s v="16"/>
    <s v=""/>
    <s v=""/>
    <s v="56///"/>
    <s v=""/>
    <s v=""/>
    <s v=""/>
    <s v="164"/>
    <s v="31996"/>
    <s v="00000"/>
    <s v="/////"/>
    <s v="0256"/>
    <s v="0135"/>
    <s v=""/>
    <x v="82"/>
    <s v="43063 31996 00000 10256 20135 40128 70500 333 20164 58009 555 00000 ="/>
    <n v="164"/>
    <s v="Prakash"/>
    <s v="08/06/2012 5:50:40 PM"/>
    <n v="2012"/>
    <x v="2"/>
    <x v="22"/>
    <n v="13.5"/>
    <s v=""/>
    <n v="16.399999999999999"/>
  </r>
  <r>
    <s v="23/03/2012"/>
    <s v="43063"/>
    <x v="0"/>
    <s v="37"/>
    <s v="5"/>
    <s v="10060"/>
    <s v="7////"/>
    <s v="58011"/>
    <s v="38"/>
    <s v="///"/>
    <s v=""/>
    <s v=""/>
    <s v="56///"/>
    <s v=""/>
    <s v=""/>
    <s v="384"/>
    <s v=""/>
    <s v="32996"/>
    <s v="02001"/>
    <s v="/////"/>
    <s v="0370"/>
    <s v="0051"/>
    <s v=""/>
    <x v="82"/>
    <s v="43063 32996 02001 10370 20051 39467 40060 333 10384 58011 ="/>
    <m/>
    <s v="Prakash"/>
    <s v="08/06/2012 5:50:40 PM"/>
    <n v="2012"/>
    <x v="2"/>
    <x v="22"/>
    <n v="5.0999999999999996"/>
    <n v="38.4"/>
    <s v=""/>
  </r>
  <r>
    <s v="24/03/2012"/>
    <s v="43063"/>
    <x v="0"/>
    <s v="37"/>
    <s v="9"/>
    <s v="10061"/>
    <s v="7////"/>
    <s v="58001"/>
    <s v="38"/>
    <s v="///"/>
    <s v=""/>
    <s v=""/>
    <s v="56///"/>
    <s v=""/>
    <s v=""/>
    <s v="384"/>
    <s v=""/>
    <s v="32997"/>
    <s v="00000"/>
    <s v="/////"/>
    <s v="0370"/>
    <s v="0094"/>
    <s v=""/>
    <x v="83"/>
    <s v="43063 32997 00000 10370 20094 40061 333 10384 58001 ="/>
    <m/>
    <s v="Prakash"/>
    <s v="08/06/2012 5:50:40 PM"/>
    <n v="2012"/>
    <x v="2"/>
    <x v="23"/>
    <n v="9.4"/>
    <n v="38.4"/>
    <s v=""/>
  </r>
  <r>
    <s v="24/03/2012"/>
    <s v="43063"/>
    <x v="1"/>
    <s v="25"/>
    <s v="13"/>
    <s v="10140"/>
    <s v="70500"/>
    <s v="58018"/>
    <s v="///"/>
    <s v="16"/>
    <s v=""/>
    <s v=""/>
    <s v="56///"/>
    <s v=""/>
    <s v=""/>
    <s v=""/>
    <s v="160"/>
    <s v="31996"/>
    <s v="00000"/>
    <s v="/////"/>
    <s v="0250"/>
    <s v="0131"/>
    <s v=""/>
    <x v="83"/>
    <s v="43063 31996 00000 10250 20131 40140 70500 333 20160 58018 555 00000 ="/>
    <n v="160"/>
    <s v="Prakash"/>
    <s v="08/06/2012 5:50:40 PM"/>
    <n v="2012"/>
    <x v="2"/>
    <x v="23"/>
    <n v="13.1"/>
    <s v=""/>
    <n v="16"/>
  </r>
  <r>
    <s v="25/03/2012"/>
    <s v="43063"/>
    <x v="0"/>
    <s v="37"/>
    <s v="-0"/>
    <s v="10057"/>
    <s v="7////"/>
    <s v="59004"/>
    <s v="39"/>
    <s v="///"/>
    <s v=""/>
    <s v=""/>
    <s v="56///"/>
    <s v=""/>
    <s v=""/>
    <s v="387"/>
    <s v=""/>
    <s v="32997"/>
    <s v="01401"/>
    <s v="/////"/>
    <s v="0370"/>
    <s v="1003"/>
    <s v=""/>
    <x v="84"/>
    <s v="43063 32997 01401 10370 21003 40057 333 10387 59004 ="/>
    <m/>
    <s v="Prakash"/>
    <s v="08/06/2012 5:50:40 PM"/>
    <n v="2012"/>
    <x v="2"/>
    <x v="24"/>
    <n v="100.3"/>
    <n v="38.700000000000003"/>
    <s v=""/>
  </r>
  <r>
    <s v="25/03/2012"/>
    <s v="43063"/>
    <x v="1"/>
    <s v="25"/>
    <s v="11"/>
    <s v="10131"/>
    <s v="70500"/>
    <s v="59008"/>
    <s v="///"/>
    <s v="15"/>
    <s v=""/>
    <s v=""/>
    <s v="56///"/>
    <s v=""/>
    <s v=""/>
    <s v=""/>
    <s v="153"/>
    <s v="31996"/>
    <s v="00000"/>
    <s v="/////"/>
    <s v="0250"/>
    <s v="0115"/>
    <s v=""/>
    <x v="84"/>
    <s v="43063 31996 00000 10250 20115 40131 70500 333 20153 59008 555 00000 ="/>
    <n v="153"/>
    <s v="Prakash"/>
    <s v="08/06/2012 5:50:40 PM"/>
    <n v="2012"/>
    <x v="2"/>
    <x v="24"/>
    <n v="11.5"/>
    <s v=""/>
    <n v="15.3"/>
  </r>
  <r>
    <s v="26/03/2012"/>
    <s v="43063"/>
    <x v="1"/>
    <s v="25"/>
    <s v="12"/>
    <s v="10126"/>
    <s v="70500"/>
    <s v="59002"/>
    <s v="///"/>
    <s v="16"/>
    <s v=""/>
    <s v=""/>
    <s v="56///"/>
    <s v=""/>
    <s v=""/>
    <s v=""/>
    <s v="157"/>
    <s v="31996"/>
    <s v="20000"/>
    <s v="80001"/>
    <s v="0252"/>
    <s v="0122"/>
    <s v=""/>
    <x v="85"/>
    <s v="43063 31996 20000 10252 20122 40126 70500 80001 333 20157 59002 555 00000 ="/>
    <n v="157"/>
    <s v="Prakash"/>
    <s v="08/06/2012 5:50:40 PM"/>
    <n v="2012"/>
    <x v="2"/>
    <x v="25"/>
    <n v="12.2"/>
    <s v=""/>
    <n v="15.7"/>
  </r>
  <r>
    <s v="26/03/2012"/>
    <s v="43063"/>
    <x v="0"/>
    <s v="36"/>
    <s v="-1"/>
    <s v="10059"/>
    <s v="7////"/>
    <s v="58000"/>
    <s v="39"/>
    <s v="///"/>
    <s v=""/>
    <s v=""/>
    <s v="56///"/>
    <s v=""/>
    <s v=""/>
    <s v="386"/>
    <s v=""/>
    <s v="32997"/>
    <s v="51103"/>
    <s v="80001"/>
    <s v="0359"/>
    <s v="1011"/>
    <s v=""/>
    <x v="85"/>
    <s v="43063 32997 51103 10359 21011 40059 80001 333 10386 58000 ="/>
    <m/>
    <s v="Prakash"/>
    <s v="08/06/2012 5:50:40 PM"/>
    <n v="2012"/>
    <x v="2"/>
    <x v="25"/>
    <n v="101.1"/>
    <n v="38.6"/>
    <s v=""/>
  </r>
  <r>
    <s v="27/03/2012"/>
    <s v="43063"/>
    <x v="1"/>
    <s v="25"/>
    <s v="13"/>
    <s v="10127"/>
    <s v="70540"/>
    <s v="58001"/>
    <s v="///"/>
    <s v="17"/>
    <s v=""/>
    <s v=""/>
    <s v="56///"/>
    <s v=""/>
    <s v=""/>
    <s v=""/>
    <s v="167"/>
    <s v="31996"/>
    <s v="00000"/>
    <s v="/////"/>
    <s v="0251"/>
    <s v="0128"/>
    <s v=""/>
    <x v="86"/>
    <s v="43063 31996 00000 10251 20128 40127 70540 333 20167 58001 ="/>
    <n v="167"/>
    <s v="Prakash"/>
    <s v="08/06/2012 5:50:40 PM"/>
    <n v="2012"/>
    <x v="2"/>
    <x v="26"/>
    <n v="12.8"/>
    <s v=""/>
    <n v="16.7"/>
  </r>
  <r>
    <s v="27/03/2012"/>
    <s v="43063"/>
    <x v="0"/>
    <s v="35"/>
    <s v="11"/>
    <s v="10065"/>
    <s v="7////"/>
    <s v="58004"/>
    <s v="39"/>
    <s v="///"/>
    <s v=""/>
    <s v=""/>
    <s v="56///"/>
    <s v=""/>
    <s v=""/>
    <s v="388"/>
    <s v=""/>
    <s v="32997"/>
    <s v="32703"/>
    <s v="80001"/>
    <s v="0348"/>
    <s v="0113"/>
    <s v=""/>
    <x v="86"/>
    <s v="43063 32997 32703 10348 20113 40065 80001 333 10388 58004 ="/>
    <m/>
    <s v="Prakash"/>
    <s v="08/06/2012 5:50:40 PM"/>
    <n v="2012"/>
    <x v="2"/>
    <x v="26"/>
    <n v="11.3"/>
    <n v="38.799999999999997"/>
    <s v=""/>
  </r>
  <r>
    <s v="28/03/2012"/>
    <s v="43063"/>
    <x v="0"/>
    <s v="36"/>
    <s v="11"/>
    <s v="10077"/>
    <s v="7////"/>
    <s v="58013"/>
    <s v="39"/>
    <s v="///"/>
    <s v=""/>
    <s v=""/>
    <s v="56///"/>
    <s v=""/>
    <s v=""/>
    <s v="387"/>
    <s v=""/>
    <s v="32997"/>
    <s v="02704"/>
    <s v="/////"/>
    <s v="0356"/>
    <s v="0106"/>
    <s v=""/>
    <x v="87"/>
    <s v="43063 32997 02704 10356 20106 40077 333 10387 58013 ="/>
    <m/>
    <s v="Prakash"/>
    <s v="08/06/2012 5:50:40 PM"/>
    <n v="2012"/>
    <x v="2"/>
    <x v="27"/>
    <n v="10.6"/>
    <n v="38.700000000000003"/>
    <s v=""/>
  </r>
  <r>
    <s v="28/03/2012"/>
    <s v="43063"/>
    <x v="1"/>
    <s v="24"/>
    <s v="17"/>
    <s v="10143"/>
    <s v="70522"/>
    <s v="58010"/>
    <s v="///"/>
    <s v="19"/>
    <s v=""/>
    <s v=""/>
    <s v="56///"/>
    <s v=""/>
    <s v=""/>
    <s v=""/>
    <s v="186"/>
    <s v="31996"/>
    <s v="50000"/>
    <s v="80001"/>
    <s v="0240"/>
    <s v="0168"/>
    <s v=""/>
    <x v="87"/>
    <s v="43063 31996 50000 10240 20168 40143 70522 80001 333 20186 58010 555 00000 ="/>
    <n v="186"/>
    <s v="Prakash"/>
    <s v="08/06/2012 5:50:40 PM"/>
    <n v="2012"/>
    <x v="2"/>
    <x v="27"/>
    <n v="16.8"/>
    <s v=""/>
    <n v="18.600000000000001"/>
  </r>
  <r>
    <s v="29/03/2012"/>
    <s v="43063"/>
    <x v="0"/>
    <s v="35"/>
    <s v="15"/>
    <s v="10071"/>
    <s v="7////"/>
    <s v="59009"/>
    <s v="39"/>
    <s v="///"/>
    <s v=""/>
    <s v=""/>
    <s v="56///"/>
    <s v=""/>
    <s v=""/>
    <s v="387"/>
    <s v=""/>
    <s v="32997"/>
    <s v="02704"/>
    <s v="/////"/>
    <s v="0348"/>
    <s v="0145"/>
    <s v=""/>
    <x v="88"/>
    <s v="43063 32997 02704 10348 20145 40071 333 10387 59009 ="/>
    <m/>
    <s v="Prakash"/>
    <s v="08/06/2012 5:50:40 PM"/>
    <n v="2012"/>
    <x v="2"/>
    <x v="28"/>
    <n v="14.5"/>
    <n v="38.700000000000003"/>
    <s v=""/>
  </r>
  <r>
    <s v="29/03/2012"/>
    <s v="43063"/>
    <x v="1"/>
    <s v="26"/>
    <s v="17"/>
    <s v="10136"/>
    <s v="70500"/>
    <s v="59002"/>
    <s v="///"/>
    <s v="20"/>
    <s v=""/>
    <s v=""/>
    <s v="56///"/>
    <s v=""/>
    <s v=""/>
    <s v=""/>
    <s v="197"/>
    <s v="31996"/>
    <s v="00000"/>
    <s v="/////"/>
    <s v="0260"/>
    <s v="0167"/>
    <s v=""/>
    <x v="88"/>
    <s v="43063 31996 00000 10260 20167 40136 70500 333 20197 59002 555 00000 ="/>
    <n v="197"/>
    <s v="Prakash"/>
    <s v="08/06/2012 5:50:40 PM"/>
    <n v="2012"/>
    <x v="2"/>
    <x v="28"/>
    <n v="16.7"/>
    <s v=""/>
    <n v="19.7"/>
  </r>
  <r>
    <s v="30/03/2012"/>
    <s v="43063"/>
    <x v="1"/>
    <s v="26"/>
    <s v="13"/>
    <s v="10118"/>
    <s v="7////"/>
    <s v="59015"/>
    <s v="///"/>
    <s v="19"/>
    <s v=""/>
    <s v=""/>
    <s v="56///"/>
    <s v=""/>
    <s v=""/>
    <s v=""/>
    <s v="188"/>
    <s v="32997"/>
    <s v="00000"/>
    <s v="/////"/>
    <s v="0264"/>
    <s v="0133"/>
    <s v=""/>
    <x v="89"/>
    <s v="43063 32997 00000 10264 20133 40118 333 20188 59015 555 00000 ="/>
    <n v="188"/>
    <s v="Prakash"/>
    <s v="08/06/2012 5:50:40 PM"/>
    <n v="2012"/>
    <x v="2"/>
    <x v="29"/>
    <n v="13.3"/>
    <s v=""/>
    <n v="18.8"/>
  </r>
  <r>
    <s v="30/03/2012"/>
    <s v="43063"/>
    <x v="0"/>
    <s v="34"/>
    <s v="12"/>
    <s v="10062"/>
    <s v="7////"/>
    <s v="59007"/>
    <s v="37"/>
    <s v="///"/>
    <s v=""/>
    <s v=""/>
    <s v="56///"/>
    <s v=""/>
    <s v=""/>
    <s v="366"/>
    <s v=""/>
    <s v="32997"/>
    <s v="02904"/>
    <s v="/////"/>
    <s v="0341"/>
    <s v="0123"/>
    <s v=""/>
    <x v="89"/>
    <s v="43063 32997 02904 10341 20123 40062 333 10366 59007 ="/>
    <m/>
    <s v="Prakash"/>
    <s v="08/06/2012 5:50:40 PM"/>
    <n v="2012"/>
    <x v="2"/>
    <x v="29"/>
    <n v="12.3"/>
    <n v="36.6"/>
    <s v=""/>
  </r>
  <r>
    <s v="31/03/2012"/>
    <s v="43063"/>
    <x v="1"/>
    <s v="25"/>
    <s v="17"/>
    <s v="10126"/>
    <s v="70540"/>
    <s v="58003"/>
    <s v="///"/>
    <s v="18"/>
    <s v=""/>
    <s v=""/>
    <s v="56///"/>
    <s v=""/>
    <s v=""/>
    <s v=""/>
    <s v="180"/>
    <s v="31996"/>
    <s v="00000"/>
    <s v="/////"/>
    <s v="0246"/>
    <s v="0168"/>
    <s v=""/>
    <x v="90"/>
    <s v="43063 31996 00000 10246 20168 40126 70540 333 20180 58003 555 00000 ="/>
    <n v="180"/>
    <s v="Prakash"/>
    <s v="08/06/2012 5:50:40 PM"/>
    <n v="2012"/>
    <x v="2"/>
    <x v="30"/>
    <n v="16.8"/>
    <s v=""/>
    <n v="18"/>
  </r>
  <r>
    <s v="31/03/2012"/>
    <s v="43063"/>
    <x v="0"/>
    <s v="37"/>
    <s v="03"/>
    <s v="10047"/>
    <s v="7////"/>
    <s v="59011"/>
    <s v="38"/>
    <s v="///"/>
    <s v=""/>
    <s v=""/>
    <s v="56///"/>
    <s v=""/>
    <s v=""/>
    <s v="379"/>
    <s v=""/>
    <s v="32597"/>
    <s v="10000"/>
    <s v="81500"/>
    <s v="0366"/>
    <s v="0035"/>
    <s v=""/>
    <x v="90"/>
    <s v="43063 32597 10000 10366 20035 39454 40047 81500 333 10379 59011 81626 ="/>
    <m/>
    <s v="Prakash"/>
    <s v="13/07/2012 3:27:19 PM"/>
    <n v="2012"/>
    <x v="2"/>
    <x v="30"/>
    <n v="3.5"/>
    <n v="37.9"/>
    <s v=""/>
  </r>
  <r>
    <s v="01/04/2012"/>
    <s v="43063"/>
    <x v="0"/>
    <s v="37"/>
    <s v="9"/>
    <s v="10047"/>
    <s v="7////"/>
    <s v="58000"/>
    <s v="39"/>
    <s v="///"/>
    <s v=""/>
    <s v=""/>
    <s v="56///"/>
    <s v=""/>
    <s v=""/>
    <s v="385"/>
    <s v=""/>
    <s v="32597"/>
    <s v="21101"/>
    <s v="81501"/>
    <s v="0370"/>
    <s v="0088"/>
    <s v=""/>
    <x v="91"/>
    <s v="43063 32597 21101 10370 20088 40047 81501 333 10385 58000 ="/>
    <m/>
    <s v="Prakash"/>
    <s v="13/07/2012 3:27:19 PM"/>
    <n v="2012"/>
    <x v="3"/>
    <x v="0"/>
    <n v="8.8000000000000007"/>
    <n v="38.5"/>
    <s v=""/>
  </r>
  <r>
    <s v="01/04/2012"/>
    <s v="43063"/>
    <x v="1"/>
    <s v="27"/>
    <s v="16"/>
    <s v="10113"/>
    <s v="70500"/>
    <s v="59008"/>
    <s v="///"/>
    <s v="20"/>
    <s v=""/>
    <s v=""/>
    <s v="56///"/>
    <s v=""/>
    <s v=""/>
    <s v=""/>
    <s v="197"/>
    <s v="31996"/>
    <s v="00000"/>
    <s v="/////"/>
    <s v="0268"/>
    <s v="0162"/>
    <s v=""/>
    <x v="91"/>
    <s v="43063 31996 00000 10268 20162 40113 70500 333 20197 59008 555 00000 10000 ="/>
    <n v="197"/>
    <s v="Prakash"/>
    <s v="13/07/2012 3:27:19 PM"/>
    <n v="2012"/>
    <x v="3"/>
    <x v="0"/>
    <n v="16.2"/>
    <s v=""/>
    <n v="19.7"/>
  </r>
  <r>
    <s v="02/04/2012"/>
    <s v="43063"/>
    <x v="0"/>
    <s v="34"/>
    <s v="26"/>
    <s v="10061"/>
    <s v="7////"/>
    <s v="58008"/>
    <s v="39"/>
    <s v="///"/>
    <s v=""/>
    <s v=""/>
    <s v="56///"/>
    <s v=""/>
    <s v=""/>
    <s v="388"/>
    <s v=""/>
    <s v="32597"/>
    <s v="42703"/>
    <s v="83801"/>
    <s v="0340"/>
    <s v="0263"/>
    <s v=""/>
    <x v="92"/>
    <s v="43063 32597 42703 10340 20263 40061 83801 333 10388 58008 ="/>
    <m/>
    <s v="Prakash"/>
    <s v="13/07/2012 3:27:19 PM"/>
    <n v="2012"/>
    <x v="3"/>
    <x v="1"/>
    <n v="26.3"/>
    <n v="38.799999999999997"/>
    <s v=""/>
  </r>
  <r>
    <s v="02/04/2012"/>
    <s v="43063"/>
    <x v="1"/>
    <s v="27"/>
    <s v="15"/>
    <s v="10115"/>
    <s v="70500"/>
    <s v="58004"/>
    <s v="///"/>
    <s v="20"/>
    <s v=""/>
    <s v=""/>
    <s v="56///"/>
    <s v=""/>
    <s v=""/>
    <s v=""/>
    <s v="200"/>
    <s v="31996"/>
    <s v="00000"/>
    <s v="/////"/>
    <s v="0274"/>
    <s v="0154"/>
    <s v=""/>
    <x v="92"/>
    <s v="43063 31996 00000 10274 20154 40115 70500 333 20200 58004 555 00000 10000 ="/>
    <n v="200"/>
    <s v="Prakash"/>
    <s v="13/07/2012 3:27:19 PM"/>
    <n v="2012"/>
    <x v="3"/>
    <x v="1"/>
    <n v="15.4"/>
    <s v=""/>
    <n v="20"/>
  </r>
  <r>
    <s v="03/04/2012"/>
    <s v="43063"/>
    <x v="0"/>
    <s v="35"/>
    <s v="15"/>
    <s v="10077"/>
    <s v="7////"/>
    <s v="58016"/>
    <s v="39"/>
    <s v="///"/>
    <s v=""/>
    <s v=""/>
    <s v="56///"/>
    <s v=""/>
    <s v=""/>
    <s v="388"/>
    <s v=""/>
    <s v="32597"/>
    <s v="42504"/>
    <s v="84800"/>
    <s v="0346"/>
    <s v="0151"/>
    <s v=""/>
    <x v="93"/>
    <s v="43063 32597 42504 10346 20151 40077 84800 333 10388 58016 ="/>
    <m/>
    <s v="Prakash"/>
    <s v="13/07/2012 3:27:19 PM"/>
    <n v="2012"/>
    <x v="3"/>
    <x v="2"/>
    <n v="15.1"/>
    <n v="38.799999999999997"/>
    <s v=""/>
  </r>
  <r>
    <s v="03/04/2012"/>
    <s v="43063"/>
    <x v="1"/>
    <s v="27"/>
    <s v="18"/>
    <s v="10137"/>
    <s v="70500"/>
    <s v="58021"/>
    <s v="///"/>
    <s v="22"/>
    <s v=""/>
    <s v=""/>
    <s v="56///"/>
    <s v=""/>
    <s v=""/>
    <s v=""/>
    <s v="223"/>
    <s v="31996"/>
    <s v="10000"/>
    <s v="80001"/>
    <s v="0275"/>
    <s v="0183"/>
    <s v=""/>
    <x v="93"/>
    <s v="43063 31996 10000 10275 20183 40137 70500 80001 333 20223 58021 555 00000 10000 ="/>
    <n v="223"/>
    <s v="Prakash"/>
    <s v="13/07/2012 3:27:19 PM"/>
    <n v="2012"/>
    <x v="3"/>
    <x v="2"/>
    <n v="18.3"/>
    <s v=""/>
    <n v="22.3"/>
  </r>
  <r>
    <s v="04/04/2012"/>
    <s v="43063"/>
    <x v="1"/>
    <s v="25"/>
    <s v="17"/>
    <s v="10140"/>
    <s v="70542"/>
    <s v="59004"/>
    <s v="///"/>
    <s v="21"/>
    <s v=""/>
    <s v=""/>
    <s v="56///"/>
    <s v=""/>
    <s v=""/>
    <s v=""/>
    <s v="207"/>
    <s v="32596"/>
    <s v="30000"/>
    <s v="81501"/>
    <s v="0250"/>
    <s v="0169"/>
    <s v=""/>
    <x v="94"/>
    <s v="43063 32596 30000 10250 20169 40140 70542 81501 333 20207 59004 555 00000 10000 ="/>
    <n v="207"/>
    <s v="Prakash"/>
    <s v="13/07/2012 3:27:19 PM"/>
    <n v="2012"/>
    <x v="3"/>
    <x v="3"/>
    <n v="16.899999999999999"/>
    <s v=""/>
    <n v="20.7"/>
  </r>
  <r>
    <s v="04/04/2012"/>
    <s v="43063"/>
    <x v="0"/>
    <s v="35"/>
    <s v="13"/>
    <s v="10057"/>
    <s v="7////"/>
    <s v="59016"/>
    <s v="39"/>
    <s v="///"/>
    <s v=""/>
    <s v=""/>
    <s v="56///"/>
    <s v=""/>
    <s v=""/>
    <s v="388"/>
    <s v=""/>
    <s v="32597"/>
    <s v="22903"/>
    <s v="82800"/>
    <s v="0352"/>
    <s v="0134"/>
    <s v=""/>
    <x v="94"/>
    <s v="43063 32597 22903 10352 20134 40057 82800 333 10388 59016 ="/>
    <m/>
    <s v="Prakash"/>
    <s v="13/07/2012 3:27:19 PM"/>
    <n v="2012"/>
    <x v="3"/>
    <x v="3"/>
    <n v="13.4"/>
    <n v="38.799999999999997"/>
    <s v=""/>
  </r>
  <r>
    <s v="05/04/2012"/>
    <s v="43063"/>
    <x v="0"/>
    <s v="35"/>
    <s v="10"/>
    <s v="10047"/>
    <s v="7////"/>
    <s v="59010"/>
    <s v="38"/>
    <s v="///"/>
    <s v=""/>
    <s v=""/>
    <s v="56///"/>
    <s v=""/>
    <s v=""/>
    <s v="382"/>
    <s v=""/>
    <s v="32597"/>
    <s v="12903"/>
    <s v="81500"/>
    <s v="0352"/>
    <s v="0100"/>
    <s v=""/>
    <x v="95"/>
    <s v="43063 32597 12903 10352 20100 40047 81500 333 10382 59010 ="/>
    <m/>
    <s v="Prakash"/>
    <s v="13/07/2012 3:27:19 PM"/>
    <n v="2012"/>
    <x v="3"/>
    <x v="4"/>
    <n v="10"/>
    <n v="38.200000000000003"/>
    <s v=""/>
  </r>
  <r>
    <s v="05/04/2012"/>
    <s v="43063"/>
    <x v="1"/>
    <s v="27"/>
    <s v="18"/>
    <s v="10115"/>
    <s v="7////"/>
    <s v="59017"/>
    <s v="///"/>
    <s v="22"/>
    <s v=""/>
    <s v=""/>
    <s v="56///"/>
    <s v=""/>
    <s v=""/>
    <s v=""/>
    <s v="221"/>
    <s v="32997"/>
    <s v="00000"/>
    <s v="/////"/>
    <s v="0272"/>
    <s v="0177"/>
    <s v=""/>
    <x v="95"/>
    <s v="43063 32997 00000 10272 20177 40115 333 20221 59017 555 00000 10000 ="/>
    <n v="221"/>
    <s v="Prakash"/>
    <s v="13/07/2012 3:27:19 PM"/>
    <n v="2012"/>
    <x v="3"/>
    <x v="4"/>
    <n v="17.7"/>
    <s v=""/>
    <n v="22.1"/>
  </r>
  <r>
    <s v="06/04/2012"/>
    <s v="43063"/>
    <x v="1"/>
    <s v="28"/>
    <s v="9"/>
    <s v="10101"/>
    <s v="7////"/>
    <s v="59013"/>
    <s v="///"/>
    <s v="18"/>
    <s v=""/>
    <s v=""/>
    <s v="56///"/>
    <s v=""/>
    <s v=""/>
    <s v=""/>
    <s v="184"/>
    <s v="32997"/>
    <s v="02703"/>
    <s v="/////"/>
    <s v="0280"/>
    <s v="0093"/>
    <s v=""/>
    <x v="96"/>
    <s v="43063 32997 02703 10280 20093 40101 333 20184 59013 555 00000 10000 ="/>
    <n v="184"/>
    <s v="Prakash"/>
    <s v="13/07/2012 3:27:19 PM"/>
    <n v="2012"/>
    <x v="3"/>
    <x v="5"/>
    <n v="9.3000000000000007"/>
    <s v=""/>
    <n v="18.399999999999999"/>
  </r>
  <r>
    <s v="06/04/2012"/>
    <s v="43063"/>
    <x v="0"/>
    <s v="35"/>
    <s v="9"/>
    <s v="10044"/>
    <s v="7////"/>
    <s v="59004"/>
    <s v="37"/>
    <s v="///"/>
    <s v=""/>
    <s v=""/>
    <s v="56///"/>
    <s v=""/>
    <s v=""/>
    <s v="371"/>
    <s v=""/>
    <s v="32997"/>
    <s v="02704"/>
    <s v="/////"/>
    <s v="0350"/>
    <s v="0085"/>
    <s v=""/>
    <x v="96"/>
    <s v="43063 32997 02704 10350 20085 40044 333 10371 59004 ="/>
    <m/>
    <s v="Prakash"/>
    <s v="13/07/2012 3:27:19 PM"/>
    <n v="2012"/>
    <x v="3"/>
    <x v="5"/>
    <n v="8.5"/>
    <n v="37.1"/>
    <s v=""/>
  </r>
  <r>
    <s v="07/04/2012"/>
    <s v="43063"/>
    <x v="1"/>
    <s v="27"/>
    <s v="8"/>
    <s v="10092"/>
    <s v="7////"/>
    <s v="59011"/>
    <s v="///"/>
    <s v="17"/>
    <s v=""/>
    <s v=""/>
    <s v="56///"/>
    <s v=""/>
    <s v=""/>
    <s v=""/>
    <s v="173"/>
    <s v="32997"/>
    <s v="00000"/>
    <s v="/////"/>
    <s v="0266"/>
    <s v="0076"/>
    <s v=""/>
    <x v="97"/>
    <s v="43063 32997 00000 10266 20076 40092 333 20173 59011 555 00000 10000 ="/>
    <n v="173"/>
    <s v="Prakash"/>
    <s v="13/07/2012 3:27:19 PM"/>
    <n v="2012"/>
    <x v="3"/>
    <x v="6"/>
    <n v="7.6"/>
    <s v=""/>
    <n v="17.3"/>
  </r>
  <r>
    <s v="07/04/2012"/>
    <s v="43063"/>
    <x v="0"/>
    <s v="36"/>
    <s v="9"/>
    <s v="10034"/>
    <s v="7////"/>
    <s v="59008"/>
    <s v="39"/>
    <s v="///"/>
    <s v=""/>
    <s v=""/>
    <s v="56///"/>
    <s v=""/>
    <s v=""/>
    <s v="390"/>
    <s v=""/>
    <s v="32597"/>
    <s v="12706"/>
    <s v="81500"/>
    <s v="0360"/>
    <s v="0092"/>
    <s v=""/>
    <x v="97"/>
    <s v="43063 32597 12706 10360 20092 40034 81500 333 10390 59008 ="/>
    <m/>
    <s v="Prakash"/>
    <s v="13/07/2012 3:27:19 PM"/>
    <n v="2012"/>
    <x v="3"/>
    <x v="6"/>
    <n v="9.1999999999999993"/>
    <n v="39"/>
    <s v=""/>
  </r>
  <r>
    <s v="08/04/2012"/>
    <s v="43063"/>
    <x v="1"/>
    <s v="28"/>
    <s v="12"/>
    <s v="10087"/>
    <s v="7////"/>
    <s v="59003"/>
    <s v="///"/>
    <s v="18"/>
    <s v=""/>
    <s v=""/>
    <s v="56///"/>
    <s v=""/>
    <s v=""/>
    <s v=""/>
    <s v="179"/>
    <s v="32997"/>
    <s v="00000"/>
    <s v="/////"/>
    <s v="0280"/>
    <s v="0121"/>
    <s v=""/>
    <x v="98"/>
    <s v="43063 32997 00000 10280 20121 40087 333 20179 59003 555 00000 10000 ="/>
    <n v="179"/>
    <s v="Prakash"/>
    <s v="13/07/2012 3:27:19 PM"/>
    <n v="2012"/>
    <x v="3"/>
    <x v="7"/>
    <n v="12.1"/>
    <s v=""/>
    <n v="17.899999999999999"/>
  </r>
  <r>
    <s v="08/04/2012"/>
    <s v="43063"/>
    <x v="0"/>
    <s v="37"/>
    <s v="13"/>
    <s v="10025"/>
    <s v="7////"/>
    <s v="59007"/>
    <s v="40"/>
    <s v="///"/>
    <s v=""/>
    <s v=""/>
    <s v="56///"/>
    <s v=""/>
    <s v=""/>
    <s v="399"/>
    <s v=""/>
    <s v="32597"/>
    <s v="22703"/>
    <s v="82500"/>
    <s v="0370"/>
    <s v="0130"/>
    <s v=""/>
    <x v="98"/>
    <s v="43063 32597 22703 10370 20130 40025 82500 333 10399 59007 ="/>
    <m/>
    <s v="Prakash"/>
    <s v="13/07/2012 3:27:19 PM"/>
    <n v="2012"/>
    <x v="3"/>
    <x v="7"/>
    <n v="13"/>
    <n v="39.9"/>
    <s v=""/>
  </r>
  <r>
    <s v="09/04/2012"/>
    <s v="43063"/>
    <x v="0"/>
    <s v="36"/>
    <s v="13"/>
    <s v="10042"/>
    <s v="7////"/>
    <s v="58015"/>
    <s v="39"/>
    <s v="///"/>
    <s v=""/>
    <s v=""/>
    <s v="56///"/>
    <s v=""/>
    <s v=""/>
    <s v="389"/>
    <s v=""/>
    <s v="32997"/>
    <s v="62903"/>
    <s v="80001"/>
    <s v="0356"/>
    <s v="0126"/>
    <s v=""/>
    <x v="99"/>
    <s v="43063 32997 62903 10356 20126 40042 80001 333 10389 58015 ="/>
    <m/>
    <s v="Prakash"/>
    <s v="13/07/2012 3:27:19 PM"/>
    <n v="2012"/>
    <x v="3"/>
    <x v="8"/>
    <n v="12.6"/>
    <n v="38.9"/>
    <s v=""/>
  </r>
  <r>
    <s v="09/04/2012"/>
    <s v="43063"/>
    <x v="1"/>
    <s v="27"/>
    <s v="13"/>
    <s v="10091"/>
    <s v="7////"/>
    <s v="58004"/>
    <s v="///"/>
    <s v="20"/>
    <s v=""/>
    <s v=""/>
    <s v="56///"/>
    <s v=""/>
    <s v=""/>
    <s v=""/>
    <s v="200"/>
    <s v="32997"/>
    <s v="52701"/>
    <s v="80001"/>
    <s v="0274"/>
    <s v="0130"/>
    <s v=""/>
    <x v="99"/>
    <s v="43063 32997 52701 10274 20130 40091 80001 333 20200 58004 85070 555 00000 10000 ="/>
    <n v="200"/>
    <s v="Prakash"/>
    <s v="13/07/2012 3:27:19 PM"/>
    <n v="2012"/>
    <x v="3"/>
    <x v="8"/>
    <n v="13"/>
    <s v=""/>
    <n v="20"/>
  </r>
  <r>
    <s v="10/04/2012"/>
    <s v="43063"/>
    <x v="1"/>
    <s v="27"/>
    <s v="17"/>
    <s v="10106"/>
    <s v="7////"/>
    <s v="58014"/>
    <s v="///"/>
    <s v="23"/>
    <s v=""/>
    <s v=""/>
    <s v="56///"/>
    <s v=""/>
    <s v=""/>
    <s v=""/>
    <s v="233"/>
    <s v="32997"/>
    <s v="32702"/>
    <s v="80001"/>
    <s v="0274"/>
    <s v="0165"/>
    <s v=""/>
    <x v="100"/>
    <s v="43063 32997 32702 10274 20165 40106 80001 333 20233 58014 555 00000 10000 ="/>
    <n v="233"/>
    <s v="Prakash"/>
    <s v="13/07/2012 3:27:19 PM"/>
    <n v="2012"/>
    <x v="3"/>
    <x v="9"/>
    <n v="16.5"/>
    <s v=""/>
    <n v="23.3"/>
  </r>
  <r>
    <s v="10/04/2012"/>
    <s v="43063"/>
    <x v="0"/>
    <s v="36"/>
    <s v="10"/>
    <s v="10033"/>
    <s v="7////"/>
    <s v="59009"/>
    <s v="39"/>
    <s v="///"/>
    <s v=""/>
    <s v=""/>
    <s v="56///"/>
    <s v=""/>
    <s v=""/>
    <s v="391"/>
    <s v=""/>
    <s v="32997"/>
    <s v="32904"/>
    <s v="80001"/>
    <s v="0360"/>
    <s v="0103"/>
    <s v=""/>
    <x v="100"/>
    <s v="43063 32997 32904 10360 20103 40033 80001 333 10391 59009 ="/>
    <m/>
    <s v="Prakash"/>
    <s v="13/07/2012 3:27:19 PM"/>
    <n v="2012"/>
    <x v="3"/>
    <x v="9"/>
    <n v="10.3"/>
    <n v="39.1"/>
    <s v=""/>
  </r>
  <r>
    <s v="11/04/2012"/>
    <s v="43063"/>
    <x v="0"/>
    <s v="34"/>
    <s v="18"/>
    <s v="10039"/>
    <s v="7////"/>
    <s v="58002"/>
    <s v="38"/>
    <s v="///"/>
    <s v=""/>
    <s v=""/>
    <s v="56///"/>
    <s v=""/>
    <s v=""/>
    <s v="377"/>
    <s v=""/>
    <s v="32597"/>
    <s v="72903"/>
    <s v="82801"/>
    <s v="0340"/>
    <s v="0182"/>
    <s v=""/>
    <x v="101"/>
    <s v="43063 32597 72903 10340 20182 40039 82801 333 10377 58002 ="/>
    <m/>
    <s v="Prakash"/>
    <s v="13/07/2012 3:27:19 PM"/>
    <n v="2012"/>
    <x v="3"/>
    <x v="10"/>
    <n v="18.2"/>
    <n v="37.700000000000003"/>
    <s v=""/>
  </r>
  <r>
    <s v="11/04/2012"/>
    <s v="43063"/>
    <x v="1"/>
    <s v="27"/>
    <s v="18"/>
    <s v="10096"/>
    <s v="7////"/>
    <s v="59011"/>
    <s v="///"/>
    <s v="24"/>
    <s v=""/>
    <s v=""/>
    <s v="56///"/>
    <s v=""/>
    <s v=""/>
    <s v=""/>
    <s v="237"/>
    <s v="32996"/>
    <s v="52701"/>
    <s v="80001"/>
    <s v="0266"/>
    <s v="0184"/>
    <s v=""/>
    <x v="101"/>
    <s v="43063 32996 52701 10266 20184 40096 80001 333 20237 59011 555 00000 10000 ="/>
    <n v="237"/>
    <s v="Prakash"/>
    <s v="13/07/2012 3:27:19 PM"/>
    <n v="2012"/>
    <x v="3"/>
    <x v="10"/>
    <n v="18.399999999999999"/>
    <s v=""/>
    <n v="23.7"/>
  </r>
  <r>
    <s v="12/04/2012"/>
    <s v="43063"/>
    <x v="0"/>
    <s v="33"/>
    <s v="19"/>
    <s v="10034"/>
    <s v="7////"/>
    <s v="59005"/>
    <s v="38"/>
    <s v="///"/>
    <s v=""/>
    <s v=""/>
    <s v="56///"/>
    <s v=""/>
    <s v=""/>
    <s v="377"/>
    <s v=""/>
    <s v="32597"/>
    <s v="32904"/>
    <s v="83500"/>
    <s v="0332"/>
    <s v="0187"/>
    <s v=""/>
    <x v="102"/>
    <s v="43063 32597 32904 10332 20187 40034 83500 333 10377 59005 ="/>
    <m/>
    <s v="Prakash"/>
    <s v="13/07/2012 3:27:19 PM"/>
    <n v="2012"/>
    <x v="3"/>
    <x v="11"/>
    <n v="18.7"/>
    <n v="37.700000000000003"/>
    <s v=""/>
  </r>
  <r>
    <s v="12/04/2012"/>
    <s v="43063"/>
    <x v="1"/>
    <s v="27"/>
    <s v="17"/>
    <s v="10091"/>
    <s v="70542"/>
    <s v="59005"/>
    <s v="///"/>
    <s v="21"/>
    <s v=""/>
    <s v=""/>
    <s v="56///"/>
    <s v=""/>
    <s v=""/>
    <s v=""/>
    <s v="213"/>
    <s v="31596"/>
    <s v="62701"/>
    <s v="81501"/>
    <s v="0270"/>
    <s v="0168"/>
    <s v=""/>
    <x v="102"/>
    <s v="43063 31596 62701 10270 20168 40091 70542 81501 333 20213 59005 555 00000 10000 ="/>
    <n v="213"/>
    <s v="Prakash"/>
    <s v="13/07/2012 3:27:19 PM"/>
    <n v="2012"/>
    <x v="3"/>
    <x v="11"/>
    <n v="16.8"/>
    <s v=""/>
    <n v="21.3"/>
  </r>
  <r>
    <s v="13/04/2012"/>
    <s v="43063"/>
    <x v="0"/>
    <s v="36"/>
    <s v="10"/>
    <s v="10028"/>
    <s v="7////"/>
    <s v="59002"/>
    <s v="38"/>
    <s v="///"/>
    <s v=""/>
    <s v=""/>
    <s v="56///"/>
    <s v=""/>
    <s v=""/>
    <s v="381"/>
    <s v=""/>
    <s v="32597"/>
    <s v="42706"/>
    <s v="82801"/>
    <s v="0356"/>
    <s v="0096"/>
    <s v=""/>
    <x v="103"/>
    <s v="43063 32597 42706 10356 20096 40028 82801 333 10381 59002 ="/>
    <m/>
    <s v="Prakash"/>
    <s v="13/07/2012 3:27:19 PM"/>
    <n v="2012"/>
    <x v="3"/>
    <x v="12"/>
    <n v="9.6"/>
    <n v="38.1"/>
    <s v=""/>
  </r>
  <r>
    <s v="13/04/2012"/>
    <s v="43063"/>
    <x v="1"/>
    <s v="27"/>
    <s v="15"/>
    <s v="10091"/>
    <s v="7////"/>
    <s v="58000"/>
    <s v="///"/>
    <s v="19"/>
    <s v=""/>
    <s v=""/>
    <s v="56///"/>
    <s v=""/>
    <s v=""/>
    <s v=""/>
    <s v="185"/>
    <s v="32596"/>
    <s v="60000"/>
    <s v="83501"/>
    <s v="0268"/>
    <s v="0150"/>
    <s v=""/>
    <x v="103"/>
    <s v="43063 32596 60000 10268 20150 40091 83501 333 20185 58000 555 00000 10000 ="/>
    <n v="185"/>
    <s v="Prakash"/>
    <s v="13/07/2012 3:27:19 PM"/>
    <n v="2012"/>
    <x v="3"/>
    <x v="12"/>
    <n v="15"/>
    <s v=""/>
    <n v="18.5"/>
  </r>
  <r>
    <s v="14/04/2012"/>
    <s v="43063"/>
    <x v="1"/>
    <s v="28"/>
    <s v="16"/>
    <s v="10095"/>
    <s v="7////"/>
    <s v="58006"/>
    <s v="///"/>
    <s v="19"/>
    <s v=""/>
    <s v=""/>
    <s v="56///"/>
    <s v=""/>
    <s v=""/>
    <s v=""/>
    <s v="188"/>
    <s v="32997"/>
    <s v="30000"/>
    <s v="80001"/>
    <s v="0276"/>
    <s v="0157"/>
    <s v=""/>
    <x v="104"/>
    <s v="43063 32997 30000 10276 20157 39482 40095 80001 333 20188 58006 83070 555 00000 10000 ="/>
    <n v="188"/>
    <s v="Prakash"/>
    <s v="13/07/2012 3:27:19 PM"/>
    <n v="2012"/>
    <x v="3"/>
    <x v="13"/>
    <n v="15.7"/>
    <s v=""/>
    <n v="18.8"/>
  </r>
  <r>
    <s v="14/04/2012"/>
    <s v="43063"/>
    <x v="0"/>
    <s v="36"/>
    <s v="7"/>
    <s v="10037"/>
    <s v="7////"/>
    <s v="58009"/>
    <s v="38"/>
    <s v="///"/>
    <s v=""/>
    <s v=""/>
    <s v="56///"/>
    <s v=""/>
    <s v=""/>
    <s v="380"/>
    <s v=""/>
    <s v="32597"/>
    <s v="70000"/>
    <s v="85801"/>
    <s v="0360"/>
    <s v="0069"/>
    <s v=""/>
    <x v="104"/>
    <s v="43063 32597 70000 10360 20069 40037 85801 333 10380 58009 ="/>
    <m/>
    <s v="Prakash"/>
    <s v="13/07/2012 3:27:19 PM"/>
    <n v="2012"/>
    <x v="3"/>
    <x v="13"/>
    <n v="6.9"/>
    <n v="38"/>
    <s v=""/>
  </r>
  <r>
    <s v="15/04/2012"/>
    <s v="43063"/>
    <x v="0"/>
    <s v="38"/>
    <s v="7"/>
    <s v="10034"/>
    <s v="7////"/>
    <s v="58001"/>
    <s v="39"/>
    <s v="///"/>
    <s v=""/>
    <s v=""/>
    <s v="56///"/>
    <s v=""/>
    <s v=""/>
    <s v="385"/>
    <s v=""/>
    <s v="32597"/>
    <s v="32903"/>
    <s v="82501"/>
    <s v="0376"/>
    <s v="0071"/>
    <s v=""/>
    <x v="105"/>
    <s v="43063 32597 32903 10376 20071 40034 82501 333 10385 58001 ="/>
    <m/>
    <s v="Prakash"/>
    <s v="13/07/2012 3:27:19 PM"/>
    <n v="2012"/>
    <x v="3"/>
    <x v="14"/>
    <n v="7.1"/>
    <n v="38.5"/>
    <s v=""/>
  </r>
  <r>
    <s v="15/04/2012"/>
    <s v="43063"/>
    <x v="1"/>
    <s v="29"/>
    <s v="16"/>
    <s v="10102"/>
    <s v="7////"/>
    <s v="58010"/>
    <s v="///"/>
    <s v="21"/>
    <s v=""/>
    <s v=""/>
    <s v="56///"/>
    <s v=""/>
    <s v=""/>
    <s v=""/>
    <s v="209"/>
    <s v="32997"/>
    <s v="30902"/>
    <s v="80001"/>
    <s v="0294"/>
    <s v="0164"/>
    <s v=""/>
    <x v="105"/>
    <s v="43063 32997 30902 10294 20164 40102 80001 333 20209 58010 555 00000 10000 ="/>
    <n v="209"/>
    <s v="Prakash"/>
    <s v="13/07/2012 3:27:19 PM"/>
    <n v="2012"/>
    <x v="3"/>
    <x v="14"/>
    <n v="16.399999999999999"/>
    <s v=""/>
    <n v="20.9"/>
  </r>
  <r>
    <s v="16/04/2012"/>
    <s v="43063"/>
    <x v="1"/>
    <s v="29"/>
    <s v="13"/>
    <s v="10101"/>
    <s v="70541"/>
    <s v="59002"/>
    <s v="///"/>
    <s v="21"/>
    <s v=""/>
    <s v=""/>
    <s v="56///"/>
    <s v=""/>
    <s v=""/>
    <s v=""/>
    <s v="210"/>
    <s v="31996"/>
    <s v="32301"/>
    <s v="80001"/>
    <s v="0287"/>
    <s v="0127"/>
    <s v=""/>
    <x v="106"/>
    <s v="43063 31996 32301 10287 20127 40101 70541 80001 333 20210 59002 555 00000 10000 ="/>
    <n v="210"/>
    <s v="Prakash"/>
    <s v="13/07/2012 3:27:19 PM"/>
    <n v="2012"/>
    <x v="3"/>
    <x v="15"/>
    <n v="12.7"/>
    <s v=""/>
    <n v="21"/>
  </r>
  <r>
    <s v="16/04/2012"/>
    <s v="43063"/>
    <x v="0"/>
    <s v="26"/>
    <s v="19"/>
    <s v="10052"/>
    <s v="79692"/>
    <s v="59002"/>
    <s v="39"/>
    <s v="///"/>
    <s v=""/>
    <s v=""/>
    <s v="56///"/>
    <s v=""/>
    <s v=""/>
    <s v="389"/>
    <s v=""/>
    <s v="21597"/>
    <s v="72710"/>
    <s v="87900"/>
    <s v="0264"/>
    <s v="0189"/>
    <s v=""/>
    <x v="106"/>
    <s v="43063 21597 72710 10264 20189 40052 79692 87900 333 10389 59002 6001/ ="/>
    <m/>
    <s v="Prakash"/>
    <s v="13/07/2012 3:27:19 PM"/>
    <n v="2012"/>
    <x v="3"/>
    <x v="15"/>
    <n v="18.899999999999999"/>
    <n v="38.9"/>
    <s v=""/>
  </r>
  <r>
    <s v="17/04/2012"/>
    <s v="43063"/>
    <x v="1"/>
    <s v="27"/>
    <s v="19"/>
    <s v="10089"/>
    <s v="7////"/>
    <s v="59014"/>
    <s v="///"/>
    <s v="21"/>
    <s v=""/>
    <s v=""/>
    <s v="56///"/>
    <s v=""/>
    <s v=""/>
    <s v=""/>
    <s v="213"/>
    <s v="22997"/>
    <s v="22702"/>
    <s v="80001"/>
    <s v="0272"/>
    <s v="0191"/>
    <s v=""/>
    <x v="107"/>
    <s v="43063 22997 22702 10272 20191 40089 80001 333 20213 59014 6004/ 555 00036 ="/>
    <n v="213"/>
    <s v="Prakash"/>
    <s v="13/07/2012 3:27:19 PM"/>
    <n v="2012"/>
    <x v="3"/>
    <x v="16"/>
    <n v="19.100000000000001"/>
    <s v=""/>
    <n v="21.3"/>
  </r>
  <r>
    <s v="17/04/2012"/>
    <s v="43063"/>
    <x v="0"/>
    <s v="36"/>
    <s v="10"/>
    <s v="10016"/>
    <s v="7////"/>
    <s v="59017"/>
    <s v="37"/>
    <s v="///"/>
    <s v=""/>
    <s v=""/>
    <s v="56///"/>
    <s v=""/>
    <s v=""/>
    <s v="373"/>
    <s v=""/>
    <s v="32597"/>
    <s v="42702"/>
    <s v="82801"/>
    <s v="0362"/>
    <s v="0101"/>
    <s v=""/>
    <x v="107"/>
    <s v="43063 32597 42702 10362 20101 40016 82801 333 10373 59017 ="/>
    <m/>
    <s v="Prakash"/>
    <s v="13/07/2012 3:27:19 PM"/>
    <n v="2012"/>
    <x v="3"/>
    <x v="16"/>
    <n v="10.1"/>
    <n v="37.299999999999997"/>
    <s v=""/>
  </r>
  <r>
    <s v="18/04/2012"/>
    <s v="43063"/>
    <x v="0"/>
    <s v="35"/>
    <s v="8"/>
    <s v="10021"/>
    <s v="7////"/>
    <s v="58003"/>
    <s v="39"/>
    <s v="///"/>
    <s v=""/>
    <s v=""/>
    <s v="56///"/>
    <s v=""/>
    <s v=""/>
    <s v="389"/>
    <s v=""/>
    <s v="32597"/>
    <s v="72903"/>
    <s v="81507"/>
    <s v="0352"/>
    <s v="0083"/>
    <s v=""/>
    <x v="108"/>
    <s v="43063 32597 72903 10352 20083 40021 81507 333 10389 58003 ="/>
    <m/>
    <s v="Prakash"/>
    <s v="13/07/2012 3:27:19 PM"/>
    <n v="2012"/>
    <x v="3"/>
    <x v="17"/>
    <n v="8.3000000000000007"/>
    <n v="38.9"/>
    <s v=""/>
  </r>
  <r>
    <s v="18/04/2012"/>
    <s v="43063"/>
    <x v="1"/>
    <s v="27"/>
    <s v="17"/>
    <s v="10082"/>
    <s v="7////"/>
    <s v="59007"/>
    <s v="///"/>
    <s v="22"/>
    <s v=""/>
    <s v=""/>
    <s v="56///"/>
    <s v=""/>
    <s v=""/>
    <s v=""/>
    <s v="218"/>
    <s v="32997"/>
    <s v="52901"/>
    <s v="80001"/>
    <s v="0270"/>
    <s v="0168"/>
    <s v=""/>
    <x v="108"/>
    <s v="43063 32997 52901 10270 20168 40082 80001 333 20218 59007 555 00000 10004 ="/>
    <n v="218"/>
    <s v="Prakash"/>
    <s v="13/07/2012 3:27:19 PM"/>
    <n v="2012"/>
    <x v="3"/>
    <x v="17"/>
    <n v="16.8"/>
    <s v=""/>
    <n v="21.8"/>
  </r>
  <r>
    <s v="19/04/2012"/>
    <s v="43063"/>
    <x v="1"/>
    <s v="27"/>
    <s v="20"/>
    <s v="10089"/>
    <s v="7////"/>
    <s v="58007"/>
    <s v="///"/>
    <s v="25"/>
    <s v=""/>
    <s v=""/>
    <s v="56///"/>
    <s v=""/>
    <s v=""/>
    <s v=""/>
    <s v="250"/>
    <s v="32996"/>
    <s v="73202"/>
    <s v="80007"/>
    <s v="0272"/>
    <s v="0201"/>
    <s v=""/>
    <x v="109"/>
    <s v="43063 32996 73202 10272 20201 40089 80007 333 20250 58007 555 00000 10004 ="/>
    <n v="250"/>
    <s v="Prakash"/>
    <s v="13/07/2012 3:27:19 PM"/>
    <n v="2012"/>
    <x v="3"/>
    <x v="18"/>
    <n v="20.100000000000001"/>
    <s v=""/>
    <n v="25"/>
  </r>
  <r>
    <s v="19/04/2012"/>
    <s v="43063"/>
    <x v="0"/>
    <s v="24"/>
    <s v="19"/>
    <s v="10073"/>
    <s v="76196"/>
    <s v="58027"/>
    <s v="37"/>
    <s v="///"/>
    <s v=""/>
    <s v=""/>
    <s v="56///"/>
    <s v=""/>
    <s v=""/>
    <s v="368"/>
    <s v=""/>
    <s v="21597"/>
    <s v="72703"/>
    <s v="86901"/>
    <s v="0244"/>
    <s v="0185"/>
    <s v=""/>
    <x v="109"/>
    <s v="43063 21597 72703 10244 20185 40073 76196 86901 333 10368 58027 6003/ ="/>
    <m/>
    <s v="Prakash"/>
    <s v="13/07/2012 3:27:19 PM"/>
    <n v="2012"/>
    <x v="3"/>
    <x v="18"/>
    <n v="18.5"/>
    <n v="36.799999999999997"/>
    <s v=""/>
  </r>
  <r>
    <s v="20/04/2012"/>
    <s v="43063"/>
    <x v="1"/>
    <s v="26"/>
    <s v="18"/>
    <s v="10098"/>
    <s v="70522"/>
    <s v="58007"/>
    <s v="///"/>
    <s v="20"/>
    <s v=""/>
    <s v=""/>
    <s v="56///"/>
    <s v=""/>
    <s v=""/>
    <s v=""/>
    <s v="204"/>
    <s v="21996"/>
    <s v="22501"/>
    <s v="80001"/>
    <s v="0261"/>
    <s v="0177"/>
    <s v=""/>
    <x v="110"/>
    <s v="43063 21996 22501 10261 20177 40098 70522 80001 333 20204 58007 6003/ 555 00034 10007 ="/>
    <n v="204"/>
    <s v="Prakash"/>
    <s v="13/07/2012 3:27:19 PM"/>
    <n v="2012"/>
    <x v="3"/>
    <x v="19"/>
    <n v="17.7"/>
    <s v=""/>
    <n v="20.399999999999999"/>
  </r>
  <r>
    <s v="20/04/2012"/>
    <s v="43063"/>
    <x v="0"/>
    <s v="36"/>
    <s v="14"/>
    <s v="10037"/>
    <s v="7////"/>
    <s v="59012"/>
    <s v="37"/>
    <s v="///"/>
    <s v=""/>
    <s v=""/>
    <s v="56///"/>
    <s v=""/>
    <s v=""/>
    <s v="369"/>
    <s v=""/>
    <s v="32597"/>
    <s v="42701"/>
    <s v="84800"/>
    <s v="0356"/>
    <s v="0140"/>
    <s v=""/>
    <x v="110"/>
    <s v="43063 32597 42701 10356 20140 40037 84800 333 10369 59012 ="/>
    <m/>
    <s v="Prakash"/>
    <s v="13/07/2012 3:27:19 PM"/>
    <n v="2012"/>
    <x v="3"/>
    <x v="19"/>
    <n v="14"/>
    <n v="36.9"/>
    <s v=""/>
  </r>
  <r>
    <s v="21/04/2012"/>
    <s v="43063"/>
    <x v="1"/>
    <s v="28"/>
    <s v="19"/>
    <s v="10108"/>
    <s v="70521"/>
    <s v="58011"/>
    <s v="///"/>
    <s v="21"/>
    <s v=""/>
    <s v=""/>
    <s v="56///"/>
    <s v=""/>
    <s v=""/>
    <s v=""/>
    <s v="210"/>
    <s v="31796"/>
    <s v="20000"/>
    <s v="82030"/>
    <s v="0280"/>
    <s v="0187"/>
    <s v=""/>
    <x v="111"/>
    <s v="43063 31796 20000 10280 20187 40108 70521 82030 333 20210 58011 555 00000 10007 ="/>
    <n v="210"/>
    <s v="Prakash"/>
    <s v="13/07/2012 3:27:19 PM"/>
    <n v="2012"/>
    <x v="3"/>
    <x v="20"/>
    <n v="18.7"/>
    <s v=""/>
    <n v="21"/>
  </r>
  <r>
    <s v="21/04/2012"/>
    <s v="43063"/>
    <x v="0"/>
    <s v="36"/>
    <s v="17"/>
    <s v="10029"/>
    <s v="70292"/>
    <s v="59008"/>
    <s v="37"/>
    <s v="///"/>
    <s v=""/>
    <s v=""/>
    <s v="56///"/>
    <s v=""/>
    <s v=""/>
    <s v="369"/>
    <s v=""/>
    <s v="31597"/>
    <s v="43203"/>
    <s v="84800"/>
    <s v="0356"/>
    <s v="0169"/>
    <s v=""/>
    <x v="111"/>
    <s v="43063 31597 43203 10356 20169 40029 70292 84800 333 10369 59008 ="/>
    <m/>
    <s v="Prakash"/>
    <s v="13/07/2012 3:27:19 PM"/>
    <n v="2012"/>
    <x v="3"/>
    <x v="20"/>
    <n v="16.899999999999999"/>
    <n v="36.9"/>
    <s v=""/>
  </r>
  <r>
    <s v="22/04/2012"/>
    <s v="43063"/>
    <x v="0"/>
    <s v="36"/>
    <s v="10"/>
    <s v="10008"/>
    <s v="7////"/>
    <s v="59018"/>
    <s v="38"/>
    <s v="///"/>
    <s v=""/>
    <s v=""/>
    <s v="56///"/>
    <s v=""/>
    <s v=""/>
    <s v="379"/>
    <s v=""/>
    <s v="32597"/>
    <s v="52703"/>
    <s v="83801"/>
    <s v="0364"/>
    <s v="0103"/>
    <s v=""/>
    <x v="112"/>
    <s v="43063 32597 52703 10364 20103 40008 83801 333 10379 59018 ="/>
    <m/>
    <s v="Prakash"/>
    <s v="13/07/2012 3:27:19 PM"/>
    <n v="2012"/>
    <x v="3"/>
    <x v="21"/>
    <n v="10.3"/>
    <n v="37.9"/>
    <s v=""/>
  </r>
  <r>
    <s v="22/04/2012"/>
    <s v="43063"/>
    <x v="1"/>
    <s v="28"/>
    <s v="14"/>
    <s v="10074"/>
    <s v="7////"/>
    <s v="59029"/>
    <s v="///"/>
    <s v="21"/>
    <s v=""/>
    <s v=""/>
    <s v="56///"/>
    <s v=""/>
    <s v=""/>
    <s v=""/>
    <s v="207"/>
    <s v="32996"/>
    <s v="00000"/>
    <s v="/////"/>
    <s v="0282"/>
    <s v="0141"/>
    <s v=""/>
    <x v="112"/>
    <s v="43063 32996 00000 10282 20141 40074 333 20207 59029 555 00000 10007 ="/>
    <n v="207"/>
    <s v="Prakash"/>
    <s v="13/07/2012 3:27:19 PM"/>
    <n v="2012"/>
    <x v="3"/>
    <x v="21"/>
    <n v="14.1"/>
    <s v=""/>
    <n v="20.7"/>
  </r>
  <r>
    <s v="23/04/2012"/>
    <s v="43063"/>
    <x v="1"/>
    <s v="28"/>
    <s v="11"/>
    <s v="10073"/>
    <s v="7////"/>
    <s v="59003"/>
    <s v="///"/>
    <s v="20"/>
    <s v=""/>
    <s v=""/>
    <s v="56///"/>
    <s v=""/>
    <s v=""/>
    <s v=""/>
    <s v="199"/>
    <s v="32997"/>
    <s v="10000"/>
    <s v="80001"/>
    <s v="0280"/>
    <s v="0112"/>
    <s v=""/>
    <x v="113"/>
    <s v="43063 32997 10000 10280 20112 40073 80001 333 20199 59003 555 00000 10007 ="/>
    <n v="199"/>
    <s v="Prakash"/>
    <s v="13/07/2012 3:27:19 PM"/>
    <n v="2012"/>
    <x v="3"/>
    <x v="22"/>
    <n v="11.2"/>
    <s v=""/>
    <n v="19.899999999999999"/>
  </r>
  <r>
    <s v="23/04/2012"/>
    <s v="43063"/>
    <x v="0"/>
    <s v="35"/>
    <s v="1"/>
    <s v="10012"/>
    <s v="7////"/>
    <s v="58002"/>
    <s v="37"/>
    <s v="///"/>
    <s v=""/>
    <s v=""/>
    <s v="56///"/>
    <s v=""/>
    <s v=""/>
    <s v="371"/>
    <s v=""/>
    <s v="32597"/>
    <s v="32905"/>
    <s v="81501"/>
    <s v="0354"/>
    <s v="0005"/>
    <s v=""/>
    <x v="113"/>
    <s v="43063 32597 32905 10354 20005 40012 81501 333 10371 58002 ="/>
    <m/>
    <s v="Prakash"/>
    <s v="13/07/2012 3:27:19 PM"/>
    <n v="2012"/>
    <x v="3"/>
    <x v="22"/>
    <n v="0.5"/>
    <n v="37.1"/>
    <s v=""/>
  </r>
  <r>
    <s v="24/04/2012"/>
    <s v="43063"/>
    <x v="0"/>
    <s v="36"/>
    <s v="9"/>
    <s v="10025"/>
    <s v="7////"/>
    <s v="58012"/>
    <s v="37"/>
    <s v="///"/>
    <s v=""/>
    <s v=""/>
    <s v="56///"/>
    <s v=""/>
    <s v=""/>
    <s v="371"/>
    <s v=""/>
    <s v="32997"/>
    <s v="03203"/>
    <s v="/////"/>
    <s v="0358"/>
    <s v="0094"/>
    <s v=""/>
    <x v="114"/>
    <s v="43063 32997 03203 10358 20094 40025 333 10371 58012 ="/>
    <m/>
    <s v="Prakash"/>
    <s v="13/07/2012 3:27:19 PM"/>
    <n v="2012"/>
    <x v="3"/>
    <x v="23"/>
    <n v="9.4"/>
    <n v="37.1"/>
    <s v=""/>
  </r>
  <r>
    <s v="24/04/2012"/>
    <s v="43063"/>
    <x v="1"/>
    <s v="25"/>
    <s v="13"/>
    <s v="10095"/>
    <s v="7////"/>
    <s v="58014"/>
    <s v="///"/>
    <s v="18"/>
    <s v=""/>
    <s v=""/>
    <s v="56///"/>
    <s v=""/>
    <s v=""/>
    <s v=""/>
    <s v="184"/>
    <s v="32997"/>
    <s v="02701"/>
    <s v="/////"/>
    <s v="0250"/>
    <s v="0131"/>
    <s v=""/>
    <x v="114"/>
    <s v="43063 32997 02701 10250 20131 40095 333 20184 58014 555 00000 10007 ="/>
    <n v="184"/>
    <s v="Prakash"/>
    <s v="13/07/2012 3:27:19 PM"/>
    <n v="2012"/>
    <x v="3"/>
    <x v="23"/>
    <n v="13.1"/>
    <s v=""/>
    <n v="18.399999999999999"/>
  </r>
  <r>
    <s v="25/04/2012"/>
    <s v="43063"/>
    <x v="1"/>
    <s v="27"/>
    <s v="15"/>
    <s v="10092"/>
    <s v="7////"/>
    <s v="58001"/>
    <s v="///"/>
    <s v="19"/>
    <s v=""/>
    <s v=""/>
    <s v="56///"/>
    <s v=""/>
    <s v=""/>
    <s v=""/>
    <s v="194"/>
    <s v="32997"/>
    <s v="00000"/>
    <s v="/////"/>
    <s v="0270"/>
    <s v="0149"/>
    <s v=""/>
    <x v="115"/>
    <s v="43063 32997 00000 10270 20149 40092 333 20194 58001 555 00000 10007 ="/>
    <n v="194"/>
    <s v="Prakash"/>
    <s v="13/07/2012 3:27:19 PM"/>
    <n v="2012"/>
    <x v="3"/>
    <x v="24"/>
    <n v="14.9"/>
    <s v=""/>
    <n v="19.399999999999999"/>
  </r>
  <r>
    <s v="25/04/2012"/>
    <s v="43063"/>
    <x v="0"/>
    <s v="36"/>
    <s v="8"/>
    <s v="10027"/>
    <s v="7////"/>
    <s v="58002"/>
    <s v="38"/>
    <s v="///"/>
    <s v=""/>
    <s v=""/>
    <s v="56///"/>
    <s v=""/>
    <s v=""/>
    <s v="376"/>
    <s v=""/>
    <s v="32997"/>
    <s v="02904"/>
    <s v="/////"/>
    <s v="0358"/>
    <s v="0083"/>
    <s v=""/>
    <x v="115"/>
    <s v="43063 32997 02904 10358 20083 40027 333 10376 58002 ="/>
    <m/>
    <s v="Prakash"/>
    <s v="13/07/2012 3:27:19 PM"/>
    <n v="2012"/>
    <x v="3"/>
    <x v="24"/>
    <n v="8.3000000000000007"/>
    <n v="37.6"/>
    <s v=""/>
  </r>
  <r>
    <s v="26/04/2012"/>
    <s v="43063"/>
    <x v="1"/>
    <s v="28"/>
    <s v="11"/>
    <s v="10089"/>
    <s v="7////"/>
    <s v="59001"/>
    <s v="///"/>
    <s v="21"/>
    <s v=""/>
    <s v=""/>
    <s v="56///"/>
    <s v=""/>
    <s v=""/>
    <s v=""/>
    <s v="213"/>
    <s v="32997"/>
    <s v="50000"/>
    <s v="80001"/>
    <s v="0280"/>
    <s v="0112"/>
    <s v=""/>
    <x v="116"/>
    <s v="43063 32997 50000 10280 20112 40089 80001 333 20213 59001 555 00000 10007 ="/>
    <n v="213"/>
    <s v="Prakash"/>
    <s v="13/07/2012 3:27:19 PM"/>
    <n v="2012"/>
    <x v="3"/>
    <x v="25"/>
    <n v="11.2"/>
    <s v=""/>
    <n v="21.3"/>
  </r>
  <r>
    <s v="26/04/2012"/>
    <s v="43063"/>
    <x v="0"/>
    <s v="37"/>
    <s v="2"/>
    <s v="10031"/>
    <s v="7////"/>
    <s v="58006"/>
    <s v="38"/>
    <s v="///"/>
    <s v=""/>
    <s v=""/>
    <s v="56///"/>
    <s v=""/>
    <s v=""/>
    <s v="384"/>
    <s v=""/>
    <s v="32997"/>
    <s v="22702"/>
    <s v="80001"/>
    <s v="0368"/>
    <s v="0017"/>
    <s v=""/>
    <x v="116"/>
    <s v="43063 32997 22702 10368 20017 40031 80001 333 10384 58006 ="/>
    <m/>
    <s v="Prakash"/>
    <s v="13/07/2012 3:27:19 PM"/>
    <n v="2012"/>
    <x v="3"/>
    <x v="25"/>
    <n v="1.7"/>
    <n v="38.4"/>
    <s v=""/>
  </r>
  <r>
    <s v="27/04/2012"/>
    <s v="43063"/>
    <x v="0"/>
    <s v="36"/>
    <s v="5"/>
    <s v="10025"/>
    <s v="7////"/>
    <s v="59008"/>
    <s v="37"/>
    <s v="///"/>
    <s v=""/>
    <s v=""/>
    <s v="56///"/>
    <s v=""/>
    <s v=""/>
    <s v="371"/>
    <s v=""/>
    <s v="32997"/>
    <s v="22903"/>
    <s v="80001"/>
    <s v="0359"/>
    <s v="0051"/>
    <s v=""/>
    <x v="117"/>
    <s v="43063 32997 22903 10359 20051 40025 80001 333 10371 59008 ="/>
    <m/>
    <s v="Prakash"/>
    <s v="13/07/2012 3:27:19 PM"/>
    <n v="2012"/>
    <x v="3"/>
    <x v="26"/>
    <n v="5.0999999999999996"/>
    <n v="37.1"/>
    <s v=""/>
  </r>
  <r>
    <s v="27/04/2012"/>
    <s v="43063"/>
    <x v="1"/>
    <s v="30"/>
    <s v="11"/>
    <s v="10086"/>
    <s v="7////"/>
    <s v="58001"/>
    <s v="///"/>
    <s v="20"/>
    <s v=""/>
    <s v=""/>
    <s v="56///"/>
    <s v=""/>
    <s v=""/>
    <s v=""/>
    <s v="202"/>
    <s v="32997"/>
    <s v="00000"/>
    <s v="/////"/>
    <s v="0300"/>
    <s v="0114"/>
    <s v=""/>
    <x v="117"/>
    <s v="43063 32997 00000 10300 20114 40086 333 20202 58001 555 00000 10007 ="/>
    <n v="202"/>
    <s v="Prakash"/>
    <s v="13/07/2012 3:27:19 PM"/>
    <n v="2012"/>
    <x v="3"/>
    <x v="26"/>
    <n v="11.4"/>
    <s v=""/>
    <n v="20.2"/>
  </r>
  <r>
    <s v="28/04/2012"/>
    <s v="43063"/>
    <x v="1"/>
    <s v="29"/>
    <s v="11"/>
    <s v="10069"/>
    <s v="7////"/>
    <s v="59015"/>
    <s v="///"/>
    <s v="21"/>
    <s v=""/>
    <s v=""/>
    <s v="56///"/>
    <s v=""/>
    <s v=""/>
    <s v=""/>
    <s v="215"/>
    <s v="32597"/>
    <s v="62503"/>
    <s v="82531"/>
    <s v="0294"/>
    <s v="0107"/>
    <s v=""/>
    <x v="118"/>
    <s v="43063 32597 62503 10294 20107 40069 82531 333 20215 59015 555 00000 10007 ="/>
    <n v="215"/>
    <s v="Prakash"/>
    <s v="13/07/2012 3:27:19 PM"/>
    <n v="2012"/>
    <x v="3"/>
    <x v="27"/>
    <n v="10.7"/>
    <s v=""/>
    <n v="21.5"/>
  </r>
  <r>
    <s v="28/04/2012"/>
    <s v="43063"/>
    <x v="0"/>
    <s v="35"/>
    <s v="13"/>
    <s v="10018"/>
    <s v="7////"/>
    <s v="59006"/>
    <s v="38"/>
    <s v="///"/>
    <s v=""/>
    <s v=""/>
    <s v="56///"/>
    <s v=""/>
    <s v=""/>
    <s v="378"/>
    <s v=""/>
    <s v="32597"/>
    <s v="72904"/>
    <s v="81501"/>
    <s v="0354"/>
    <s v="0132"/>
    <s v=""/>
    <x v="118"/>
    <s v="43063 32597 72904 10354 20132 40018 81501 333 10378 59006 ="/>
    <m/>
    <s v="Prakash"/>
    <s v="13/07/2012 3:27:19 PM"/>
    <n v="2012"/>
    <x v="3"/>
    <x v="27"/>
    <n v="13.2"/>
    <n v="37.799999999999997"/>
    <s v=""/>
  </r>
  <r>
    <s v="29/04/2012"/>
    <s v="43063"/>
    <x v="0"/>
    <s v="35"/>
    <s v="11"/>
    <s v="10014"/>
    <s v="7////"/>
    <s v="59006"/>
    <s v="38"/>
    <s v="///"/>
    <s v=""/>
    <s v=""/>
    <s v="56///"/>
    <s v=""/>
    <s v=""/>
    <s v="382"/>
    <s v=""/>
    <s v="32997"/>
    <s v="02904"/>
    <s v="/////"/>
    <s v="0350"/>
    <s v="0106"/>
    <s v=""/>
    <x v="119"/>
    <s v="43063 32997 02904 10350 20106 40014 333 10382 59006 ="/>
    <m/>
    <s v="Prakash"/>
    <s v="13/07/2012 3:27:19 PM"/>
    <n v="2012"/>
    <x v="3"/>
    <x v="28"/>
    <n v="10.6"/>
    <n v="38.200000000000003"/>
    <s v=""/>
  </r>
  <r>
    <s v="29/04/2012"/>
    <s v="43063"/>
    <x v="1"/>
    <s v="29"/>
    <s v="4"/>
    <s v="10062"/>
    <s v="7////"/>
    <s v="59005"/>
    <s v="///"/>
    <s v="20"/>
    <s v=""/>
    <s v=""/>
    <s v="56///"/>
    <s v=""/>
    <s v=""/>
    <s v=""/>
    <s v="204"/>
    <s v="32997"/>
    <s v="02702"/>
    <s v="/////"/>
    <s v="0292"/>
    <s v="0041"/>
    <s v=""/>
    <x v="119"/>
    <s v="43063 32997 02702 10292 20041 40062 333 20204 59005 555 00000 10007 ="/>
    <n v="204"/>
    <s v="Prakash"/>
    <s v="13/07/2012 3:27:19 PM"/>
    <n v="2012"/>
    <x v="3"/>
    <x v="28"/>
    <n v="4.0999999999999996"/>
    <s v=""/>
    <n v="20.399999999999999"/>
  </r>
  <r>
    <s v="30/04/2012"/>
    <s v="43063"/>
    <x v="0"/>
    <s v="35"/>
    <s v="15"/>
    <s v="10015"/>
    <s v="7////"/>
    <s v="58001"/>
    <s v="38"/>
    <s v="///"/>
    <s v=""/>
    <s v=""/>
    <s v="56///"/>
    <s v=""/>
    <s v=""/>
    <s v="377"/>
    <s v=""/>
    <s v="32597"/>
    <s v="22704"/>
    <s v="81501"/>
    <s v="0346"/>
    <s v="0147"/>
    <s v=""/>
    <x v="120"/>
    <s v="43063 32597 22704 10346 20147 40015 81501 333 10377 58001 ="/>
    <m/>
    <s v="Prakash"/>
    <s v="26/07/2012 1:25:05 PM"/>
    <n v="2012"/>
    <x v="3"/>
    <x v="29"/>
    <n v="14.7"/>
    <n v="37.700000000000003"/>
    <s v=""/>
  </r>
  <r>
    <s v="30/04/2012"/>
    <s v="43063"/>
    <x v="1"/>
    <s v="29"/>
    <s v="9"/>
    <s v="10062"/>
    <s v="7////"/>
    <s v="58000"/>
    <s v="///"/>
    <s v="21"/>
    <s v=""/>
    <s v=""/>
    <s v="56///"/>
    <s v=""/>
    <s v=""/>
    <s v=""/>
    <s v="214"/>
    <s v="32997"/>
    <s v="02902"/>
    <s v="/////"/>
    <s v="0292"/>
    <s v="0087"/>
    <s v=""/>
    <x v="120"/>
    <s v="43063 32997 02902 10292 20087 40062 333 20214 58000 555 00000 10007 ="/>
    <n v="214"/>
    <s v="Prakash"/>
    <s v="13/07/2012 3:27:19 PM"/>
    <n v="2012"/>
    <x v="3"/>
    <x v="29"/>
    <n v="8.6999999999999993"/>
    <s v=""/>
    <n v="21.4"/>
  </r>
  <r>
    <s v="01/05/2012"/>
    <s v="43063"/>
    <x v="1"/>
    <s v="29"/>
    <s v="14"/>
    <s v="10064"/>
    <s v="7////"/>
    <s v="58000"/>
    <s v="///"/>
    <s v="19"/>
    <s v=""/>
    <s v=""/>
    <s v="56///"/>
    <s v=""/>
    <s v=""/>
    <s v=""/>
    <s v="185"/>
    <s v="32997"/>
    <s v="00000"/>
    <s v="/////"/>
    <s v="0288"/>
    <s v="0141"/>
    <s v=""/>
    <x v="121"/>
    <s v="43063 32997 00000 10288 20141 40064 333 20185 58000 555 10000 ="/>
    <n v="185"/>
    <s v="Prakash"/>
    <s v="26/07/2012 1:25:05 PM"/>
    <n v="2012"/>
    <x v="4"/>
    <x v="0"/>
    <n v="14.1"/>
    <s v=""/>
    <n v="18.5"/>
  </r>
  <r>
    <s v="01/05/2012"/>
    <s v="43063"/>
    <x v="0"/>
    <s v="35"/>
    <s v="10"/>
    <s v="10025"/>
    <s v="7////"/>
    <s v="58011"/>
    <s v="37"/>
    <s v="///"/>
    <s v=""/>
    <s v=""/>
    <s v="56///"/>
    <s v=""/>
    <s v=""/>
    <s v="371"/>
    <s v=""/>
    <s v="32997"/>
    <s v="32904"/>
    <s v="80001"/>
    <s v="0352"/>
    <s v="0096"/>
    <s v=""/>
    <x v="121"/>
    <s v="43063 32997 32904 10352 20096 40025 80001 333 10371 58011 ="/>
    <m/>
    <s v="Prakash"/>
    <s v="26/07/2012 1:25:05 PM"/>
    <n v="2012"/>
    <x v="4"/>
    <x v="0"/>
    <n v="9.6"/>
    <n v="37.1"/>
    <s v=""/>
  </r>
  <r>
    <s v="02/05/2012"/>
    <s v="43063"/>
    <x v="0"/>
    <s v="35"/>
    <s v="9"/>
    <s v="10036"/>
    <s v="7////"/>
    <s v="58009"/>
    <s v="37"/>
    <s v="///"/>
    <s v=""/>
    <s v=""/>
    <s v="56///"/>
    <s v=""/>
    <s v=""/>
    <s v="375"/>
    <s v=""/>
    <s v="32997"/>
    <s v="02704"/>
    <s v="/////"/>
    <s v="0350"/>
    <s v="0091"/>
    <s v=""/>
    <x v="122"/>
    <s v="43063 32997 02704 10350 20091 40036 333 10375 58009 ="/>
    <m/>
    <s v="Prakash"/>
    <s v="26/07/2012 1:25:05 PM"/>
    <n v="2012"/>
    <x v="4"/>
    <x v="1"/>
    <n v="9.1"/>
    <n v="37.5"/>
    <s v=""/>
  </r>
  <r>
    <s v="02/05/2012"/>
    <s v="43063"/>
    <x v="1"/>
    <s v="27"/>
    <s v="8"/>
    <s v="10098"/>
    <s v="7////"/>
    <s v="58030"/>
    <s v="///"/>
    <s v="18"/>
    <s v=""/>
    <s v=""/>
    <s v="56///"/>
    <s v=""/>
    <s v=""/>
    <s v=""/>
    <s v="179"/>
    <s v="32997"/>
    <s v="02701"/>
    <s v="/////"/>
    <s v="0274"/>
    <s v="0084"/>
    <s v=""/>
    <x v="122"/>
    <s v="43063 32997 02701 10274 20084 40098 333 20179 58030 555 10000 ="/>
    <n v="179"/>
    <s v="Prakash"/>
    <s v="26/07/2012 1:25:05 PM"/>
    <n v="2012"/>
    <x v="4"/>
    <x v="1"/>
    <n v="8.4"/>
    <s v=""/>
    <n v="17.899999999999999"/>
  </r>
  <r>
    <s v="03/05/2012"/>
    <s v="43063"/>
    <x v="0"/>
    <s v="35"/>
    <s v="13"/>
    <s v="10023"/>
    <s v="7////"/>
    <s v="59010"/>
    <s v="38"/>
    <s v="///"/>
    <s v=""/>
    <s v=""/>
    <s v="56///"/>
    <s v=""/>
    <s v=""/>
    <s v="382"/>
    <s v=""/>
    <s v="32997"/>
    <s v="02706"/>
    <s v="/////"/>
    <s v="0352"/>
    <s v="0134"/>
    <s v=""/>
    <x v="123"/>
    <s v="43063 32997 02706 10352 20134 40023 333 10382 59010 ="/>
    <m/>
    <s v="Prakash"/>
    <s v="26/07/2012 1:25:05 PM"/>
    <n v="2012"/>
    <x v="4"/>
    <x v="2"/>
    <n v="13.4"/>
    <n v="38.200000000000003"/>
    <s v=""/>
  </r>
  <r>
    <s v="03/05/2012"/>
    <s v="43063"/>
    <x v="1"/>
    <s v="28"/>
    <s v="12"/>
    <s v="10085"/>
    <s v="7////"/>
    <s v="59013"/>
    <s v="///"/>
    <s v="18"/>
    <s v=""/>
    <s v=""/>
    <s v="56///"/>
    <s v=""/>
    <s v=""/>
    <s v=""/>
    <s v="183"/>
    <s v="32997"/>
    <s v="02901"/>
    <s v="/////"/>
    <s v="0276"/>
    <s v="0116"/>
    <s v=""/>
    <x v="123"/>
    <s v="43063 32997 02901 10276 20116 40085 333 20183 59013 555 10000 ="/>
    <n v="183"/>
    <s v="Prakash"/>
    <s v="26/07/2012 1:25:05 PM"/>
    <n v="2012"/>
    <x v="4"/>
    <x v="2"/>
    <n v="11.6"/>
    <s v=""/>
    <n v="18.3"/>
  </r>
  <r>
    <s v="04/05/2012"/>
    <s v="43063"/>
    <x v="0"/>
    <s v="33"/>
    <s v="17"/>
    <s v="10024"/>
    <s v="7////"/>
    <s v="59004"/>
    <s v="36"/>
    <s v="///"/>
    <s v=""/>
    <s v=""/>
    <s v="56///"/>
    <s v=""/>
    <s v=""/>
    <s v="364"/>
    <s v=""/>
    <s v="32997"/>
    <s v="02906"/>
    <s v="/////"/>
    <s v="0330"/>
    <s v="0165"/>
    <s v=""/>
    <x v="124"/>
    <s v="43063 32997 02906 10330 20165 40024 333 10364 59004 ="/>
    <m/>
    <s v="Prakash"/>
    <s v="26/07/2012 1:25:05 PM"/>
    <n v="2012"/>
    <x v="4"/>
    <x v="3"/>
    <n v="16.5"/>
    <n v="36.4"/>
    <s v=""/>
  </r>
  <r>
    <s v="04/05/2012"/>
    <s v="43063"/>
    <x v="1"/>
    <s v="27"/>
    <s v="15"/>
    <s v="10071"/>
    <s v="7////"/>
    <s v="59014"/>
    <s v="///"/>
    <s v="22"/>
    <s v=""/>
    <s v=""/>
    <s v="56///"/>
    <s v=""/>
    <s v=""/>
    <s v=""/>
    <s v="223"/>
    <s v="32997"/>
    <s v="02704"/>
    <s v="/////"/>
    <s v="0266"/>
    <s v="0152"/>
    <s v=""/>
    <x v="124"/>
    <s v="43063 32997 02704 10266 20152 40071 333 20223 59014 555 10000 ="/>
    <n v="223"/>
    <s v="Prakash"/>
    <s v="26/07/2012 1:25:05 PM"/>
    <n v="2012"/>
    <x v="4"/>
    <x v="3"/>
    <n v="15.2"/>
    <s v=""/>
    <n v="22.3"/>
  </r>
  <r>
    <s v="05/05/2012"/>
    <s v="43063"/>
    <x v="0"/>
    <s v="32"/>
    <s v="15"/>
    <s v="10041"/>
    <s v="7////"/>
    <s v="58015"/>
    <s v="35"/>
    <s v="///"/>
    <s v=""/>
    <s v=""/>
    <s v="56///"/>
    <s v=""/>
    <s v=""/>
    <s v="353"/>
    <s v=""/>
    <s v="32597"/>
    <s v="22704"/>
    <s v="82800"/>
    <s v="0324"/>
    <s v="0147"/>
    <s v=""/>
    <x v="125"/>
    <s v="43063 32597 22704 10324 20147 40041 82800 333 10353 58015 ="/>
    <m/>
    <s v="Prakash"/>
    <s v="26/07/2012 1:25:05 PM"/>
    <n v="2012"/>
    <x v="4"/>
    <x v="4"/>
    <n v="14.7"/>
    <n v="35.299999999999997"/>
    <s v=""/>
  </r>
  <r>
    <s v="05/05/2012"/>
    <s v="43063"/>
    <x v="1"/>
    <s v="25"/>
    <s v="18"/>
    <s v="10077"/>
    <s v="7////"/>
    <s v="58003"/>
    <s v="///"/>
    <s v="22"/>
    <s v=""/>
    <s v=""/>
    <s v="56///"/>
    <s v=""/>
    <s v=""/>
    <s v=""/>
    <s v="216"/>
    <s v="32997"/>
    <s v="12706"/>
    <s v="80001"/>
    <s v="0254"/>
    <s v="0177"/>
    <s v=""/>
    <x v="125"/>
    <s v="43063 32997 12706 10254 20177 40077 80001 333 20216 58003 555 10000 ="/>
    <n v="216"/>
    <s v="Prakash"/>
    <s v="26/07/2012 1:25:05 PM"/>
    <n v="2012"/>
    <x v="4"/>
    <x v="4"/>
    <n v="17.7"/>
    <s v=""/>
    <n v="21.6"/>
  </r>
  <r>
    <s v="06/05/2012"/>
    <s v="43063"/>
    <x v="0"/>
    <s v="33"/>
    <s v="16"/>
    <s v="10049"/>
    <s v="7////"/>
    <s v="58009"/>
    <s v="35"/>
    <s v="///"/>
    <s v=""/>
    <s v=""/>
    <s v="56///"/>
    <s v=""/>
    <s v=""/>
    <s v="349"/>
    <s v=""/>
    <s v="32597"/>
    <s v="42903"/>
    <s v="84800"/>
    <s v="0334"/>
    <s v="0159"/>
    <s v=""/>
    <x v="126"/>
    <s v="43063 32597 42903 10334 20159 40049 84800 333 10349 58009 ="/>
    <m/>
    <s v="Prakash"/>
    <s v="26/07/2012 1:25:05 PM"/>
    <n v="2012"/>
    <x v="4"/>
    <x v="5"/>
    <n v="15.9"/>
    <n v="34.9"/>
    <s v=""/>
  </r>
  <r>
    <s v="06/05/2012"/>
    <s v="43063"/>
    <x v="1"/>
    <s v="26"/>
    <s v="19"/>
    <s v="10101"/>
    <s v="7////"/>
    <s v="58023"/>
    <s v="///"/>
    <s v="22"/>
    <s v=""/>
    <s v=""/>
    <s v="56///"/>
    <s v=""/>
    <s v=""/>
    <s v=""/>
    <s v="220"/>
    <s v="32597"/>
    <s v="22903"/>
    <s v="82500"/>
    <s v="0258"/>
    <s v="0185"/>
    <s v=""/>
    <x v="126"/>
    <s v="43063 32597 22903 10258 20185 40101 82500 333 20220 58023 555 10000 ="/>
    <n v="220"/>
    <s v="Prakash"/>
    <s v="26/07/2012 1:25:05 PM"/>
    <n v="2012"/>
    <x v="4"/>
    <x v="5"/>
    <n v="18.5"/>
    <s v=""/>
    <n v="22"/>
  </r>
  <r>
    <s v="07/05/2012"/>
    <s v="43063"/>
    <x v="1"/>
    <s v="25"/>
    <s v="18"/>
    <s v="10103"/>
    <s v="7////"/>
    <s v="58000"/>
    <s v="///"/>
    <s v="22"/>
    <s v=""/>
    <s v=""/>
    <s v="56///"/>
    <s v=""/>
    <s v=""/>
    <s v=""/>
    <s v="217"/>
    <s v="32597"/>
    <s v="33202"/>
    <s v="81501"/>
    <s v="0250"/>
    <s v="0180"/>
    <s v=""/>
    <x v="127"/>
    <s v="43063 32597 33202 10250 20180 40103 81501 333 20217 58000 555 10000 ="/>
    <n v="217"/>
    <s v="Prakash"/>
    <s v="26/07/2012 1:25:05 PM"/>
    <n v="2012"/>
    <x v="4"/>
    <x v="6"/>
    <n v="18"/>
    <s v=""/>
    <n v="21.7"/>
  </r>
  <r>
    <s v="07/05/2012"/>
    <s v="43063"/>
    <x v="0"/>
    <s v="35"/>
    <s v="15"/>
    <s v="10022"/>
    <s v="7////"/>
    <s v="59021"/>
    <s v="37"/>
    <s v="///"/>
    <s v=""/>
    <s v=""/>
    <s v="56///"/>
    <s v=""/>
    <s v=""/>
    <s v="372"/>
    <s v=""/>
    <s v="32597"/>
    <s v="32709"/>
    <s v="83800"/>
    <s v="0352"/>
    <s v="0147"/>
    <s v=""/>
    <x v="127"/>
    <s v="43063 32597 32709 10352 20147 40022 83800 333 10372 59021 ="/>
    <m/>
    <s v="Prakash"/>
    <s v="26/07/2012 1:25:05 PM"/>
    <n v="2012"/>
    <x v="4"/>
    <x v="6"/>
    <n v="14.7"/>
    <n v="37.200000000000003"/>
    <s v=""/>
  </r>
  <r>
    <s v="08/05/2012"/>
    <s v="43063"/>
    <x v="1"/>
    <s v="27"/>
    <s v="20"/>
    <s v="10088"/>
    <s v="7////"/>
    <s v="59011"/>
    <s v="///"/>
    <s v="23"/>
    <s v=""/>
    <s v=""/>
    <s v="56///"/>
    <s v=""/>
    <s v=""/>
    <s v=""/>
    <s v="228"/>
    <s v="32997"/>
    <s v="12703"/>
    <s v="80001"/>
    <s v="0270"/>
    <s v="0196"/>
    <s v=""/>
    <x v="128"/>
    <s v="43063 32997 12703 10270 20196 40088 80001 333 20228 59011 555 10000 ="/>
    <n v="228"/>
    <s v="Prakash"/>
    <s v="26/07/2012 1:25:05 PM"/>
    <n v="2012"/>
    <x v="4"/>
    <x v="7"/>
    <n v="19.600000000000001"/>
    <s v=""/>
    <n v="22.8"/>
  </r>
  <r>
    <s v="08/05/2012"/>
    <s v="43063"/>
    <x v="0"/>
    <s v="37"/>
    <s v="11"/>
    <s v="10021"/>
    <s v="7////"/>
    <s v="58001"/>
    <s v="38"/>
    <s v="///"/>
    <s v=""/>
    <s v=""/>
    <s v="56///"/>
    <s v=""/>
    <s v=""/>
    <s v="382"/>
    <s v=""/>
    <s v="32597"/>
    <s v="52704"/>
    <s v="84801"/>
    <s v="0369"/>
    <s v="0111"/>
    <s v=""/>
    <x v="128"/>
    <s v="43063 32597 52704 10369 20111 40021 84801 333 10382 58001 ="/>
    <m/>
    <s v="Prakash"/>
    <s v="26/07/2012 1:25:05 PM"/>
    <n v="2012"/>
    <x v="4"/>
    <x v="7"/>
    <n v="11.1"/>
    <n v="38.200000000000003"/>
    <s v=""/>
  </r>
  <r>
    <s v="09/05/2012"/>
    <s v="43063"/>
    <x v="0"/>
    <s v="35"/>
    <s v="18"/>
    <s v="10037"/>
    <s v="72911"/>
    <s v="58013"/>
    <s v="39"/>
    <s v="///"/>
    <s v=""/>
    <s v=""/>
    <s v="56///"/>
    <s v=""/>
    <s v=""/>
    <s v="385"/>
    <s v=""/>
    <s v="31597"/>
    <s v="62903"/>
    <s v="85901"/>
    <s v="0354"/>
    <s v="0176"/>
    <s v=""/>
    <x v="129"/>
    <s v="43063 31597 62903 10354 20176 40037 72911 85901 333 10385 58013 ="/>
    <m/>
    <s v="Prakash"/>
    <s v="26/07/2012 1:25:05 PM"/>
    <n v="2012"/>
    <x v="4"/>
    <x v="8"/>
    <n v="17.600000000000001"/>
    <n v="38.5"/>
    <s v=""/>
  </r>
  <r>
    <s v="09/05/2012"/>
    <s v="43063"/>
    <x v="1"/>
    <s v="28"/>
    <s v="18"/>
    <s v="10095"/>
    <s v="7////"/>
    <s v="58009"/>
    <s v="///"/>
    <s v="24"/>
    <s v=""/>
    <s v=""/>
    <s v="56///"/>
    <s v=""/>
    <s v=""/>
    <s v=""/>
    <s v="238"/>
    <s v="22797"/>
    <s v="32703"/>
    <s v="82031"/>
    <s v="0276"/>
    <s v="0182"/>
    <s v=""/>
    <x v="129"/>
    <s v="43063 22797 32703 10276 20182 40095 82031 333 20238 58009 6992/ 555 00002 ="/>
    <n v="238"/>
    <s v="Prakash"/>
    <s v="26/07/2012 1:25:05 PM"/>
    <n v="2012"/>
    <x v="4"/>
    <x v="8"/>
    <n v="18.2"/>
    <s v=""/>
    <n v="23.8"/>
  </r>
  <r>
    <s v="10/05/2012"/>
    <s v="43063"/>
    <x v="1"/>
    <s v="27"/>
    <s v="17"/>
    <s v="10109"/>
    <s v="7////"/>
    <s v="58013"/>
    <s v="///"/>
    <s v="24"/>
    <s v=""/>
    <s v=""/>
    <s v="56///"/>
    <s v=""/>
    <s v=""/>
    <s v=""/>
    <s v="237"/>
    <s v="32997"/>
    <s v="02703"/>
    <s v="/////"/>
    <s v="0273"/>
    <s v="0169"/>
    <s v=""/>
    <x v="130"/>
    <s v="43063 32997 02703 10273 20169 40109 333 20237 58013 555 10000 ="/>
    <n v="237"/>
    <s v="Prakash"/>
    <s v="26/07/2012 1:25:05 PM"/>
    <n v="2012"/>
    <x v="4"/>
    <x v="9"/>
    <n v="16.899999999999999"/>
    <s v=""/>
    <n v="23.7"/>
  </r>
  <r>
    <s v="10/05/2012"/>
    <s v="43063"/>
    <x v="0"/>
    <s v="35"/>
    <s v="19"/>
    <s v="10044"/>
    <s v="7////"/>
    <s v="58005"/>
    <s v="38"/>
    <s v="///"/>
    <s v=""/>
    <s v=""/>
    <s v="56///"/>
    <s v=""/>
    <s v=""/>
    <s v="378"/>
    <s v=""/>
    <s v="32597"/>
    <s v="32903"/>
    <s v="83800"/>
    <s v="0346"/>
    <s v="0190"/>
    <s v=""/>
    <x v="130"/>
    <s v="43063 32597 32903 10346 20190 40044 83800 333 10378 58005 ="/>
    <m/>
    <s v="Prakash"/>
    <s v="26/07/2012 1:25:05 PM"/>
    <n v="2012"/>
    <x v="4"/>
    <x v="9"/>
    <n v="19"/>
    <n v="37.799999999999997"/>
    <s v=""/>
  </r>
  <r>
    <s v="11/05/2012"/>
    <s v="43063"/>
    <x v="0"/>
    <s v="36"/>
    <s v="16"/>
    <s v="10017"/>
    <s v="71792"/>
    <s v="59022"/>
    <s v="37"/>
    <s v="///"/>
    <s v=""/>
    <s v=""/>
    <s v="56///"/>
    <s v=""/>
    <s v=""/>
    <s v="375"/>
    <s v=""/>
    <s v="31597"/>
    <s v="62902"/>
    <s v="85901"/>
    <s v="0364"/>
    <s v="0156"/>
    <s v=""/>
    <x v="131"/>
    <s v="43063 31597 62902 10364 20156 40017 71792 85901 333 10375 59022 ="/>
    <m/>
    <s v="Prakash"/>
    <s v="26/07/2012 1:25:05 PM"/>
    <n v="2012"/>
    <x v="4"/>
    <x v="10"/>
    <n v="15.6"/>
    <n v="37.5"/>
    <s v=""/>
  </r>
  <r>
    <s v="11/05/2012"/>
    <s v="43063"/>
    <x v="1"/>
    <s v="27"/>
    <s v="19"/>
    <s v="10093"/>
    <s v="7////"/>
    <s v="59017"/>
    <s v="///"/>
    <s v="23"/>
    <s v=""/>
    <s v=""/>
    <s v="56///"/>
    <s v=""/>
    <s v=""/>
    <s v=""/>
    <s v="228"/>
    <s v="32997"/>
    <s v="02702"/>
    <s v="/////"/>
    <s v="0268"/>
    <s v="0193"/>
    <s v=""/>
    <x v="131"/>
    <s v="43063 32997 02702 10268 20193 40093 333 20228 59017 555 10000 ="/>
    <n v="228"/>
    <s v="Prakash"/>
    <s v="26/07/2012 1:25:05 PM"/>
    <n v="2012"/>
    <x v="4"/>
    <x v="10"/>
    <n v="19.3"/>
    <s v=""/>
    <n v="22.8"/>
  </r>
  <r>
    <s v="12/05/2012"/>
    <s v="43063"/>
    <x v="1"/>
    <s v="27"/>
    <s v="18"/>
    <s v="10076"/>
    <s v="7////"/>
    <s v="59013"/>
    <s v="///"/>
    <s v="24"/>
    <s v=""/>
    <s v=""/>
    <s v="56///"/>
    <s v=""/>
    <s v=""/>
    <s v=""/>
    <s v="238"/>
    <s v="32997"/>
    <s v="12702"/>
    <s v="80001"/>
    <s v="0272"/>
    <s v="0184"/>
    <s v=""/>
    <x v="132"/>
    <s v="43063 32997 12702 10272 20184 40076 80001 333 20238 59013 555 10000 ="/>
    <n v="238"/>
    <s v="Prakash"/>
    <s v="26/07/2012 1:25:05 PM"/>
    <n v="2012"/>
    <x v="4"/>
    <x v="11"/>
    <n v="18.399999999999999"/>
    <s v=""/>
    <n v="23.8"/>
  </r>
  <r>
    <s v="12/05/2012"/>
    <s v="43063"/>
    <x v="0"/>
    <s v="34"/>
    <s v="18"/>
    <s v="10024"/>
    <s v="72992"/>
    <s v="58003"/>
    <s v="37"/>
    <s v="///"/>
    <s v=""/>
    <s v=""/>
    <s v="56///"/>
    <s v=""/>
    <s v=""/>
    <s v="370"/>
    <s v=""/>
    <s v="31597"/>
    <s v="62704"/>
    <s v="86900"/>
    <s v="0342"/>
    <s v="0181"/>
    <s v=""/>
    <x v="132"/>
    <s v="43063 31597 62704 10342 20181 40024 72992 86900 333 10370 58003 ="/>
    <m/>
    <s v="Prakash"/>
    <s v="26/07/2012 1:25:05 PM"/>
    <n v="2012"/>
    <x v="4"/>
    <x v="11"/>
    <n v="18.100000000000001"/>
    <n v="37"/>
    <s v=""/>
  </r>
  <r>
    <s v="13/05/2012"/>
    <s v="43063"/>
    <x v="0"/>
    <s v="35"/>
    <s v="14"/>
    <s v="10023"/>
    <s v="7////"/>
    <s v="58001"/>
    <s v="37"/>
    <s v="///"/>
    <s v=""/>
    <s v=""/>
    <s v="56///"/>
    <s v=""/>
    <s v=""/>
    <s v="368"/>
    <s v=""/>
    <s v="32597"/>
    <s v="32904"/>
    <s v="83800"/>
    <s v="0355"/>
    <s v="0143"/>
    <s v=""/>
    <x v="133"/>
    <s v="43063 32597 32904 10355 20143 40023 83800 333 10368 58001 ="/>
    <m/>
    <s v="Prakash"/>
    <s v="26/07/2012 1:25:05 PM"/>
    <n v="2012"/>
    <x v="4"/>
    <x v="12"/>
    <n v="14.3"/>
    <n v="36.799999999999997"/>
    <s v=""/>
  </r>
  <r>
    <s v="13/05/2012"/>
    <s v="43063"/>
    <x v="1"/>
    <s v="27"/>
    <s v="19"/>
    <s v="10087"/>
    <s v="7////"/>
    <s v="58007"/>
    <s v="///"/>
    <s v="22"/>
    <s v=""/>
    <s v=""/>
    <s v="56///"/>
    <s v=""/>
    <s v=""/>
    <s v=""/>
    <s v="216"/>
    <s v="32997"/>
    <s v="00000"/>
    <s v="/////"/>
    <s v="0268"/>
    <s v="0187"/>
    <s v=""/>
    <x v="133"/>
    <s v="43063 32997 00000 10268 20187 40087 333 20216 58007 555 10000 ="/>
    <n v="216"/>
    <s v="Prakash"/>
    <s v="26/07/2012 1:25:05 PM"/>
    <n v="2012"/>
    <x v="4"/>
    <x v="12"/>
    <n v="18.7"/>
    <s v=""/>
    <n v="21.6"/>
  </r>
  <r>
    <s v="14/05/2012"/>
    <s v="43063"/>
    <x v="1"/>
    <s v="27"/>
    <s v="17"/>
    <s v="10084"/>
    <s v="7////"/>
    <s v="59002"/>
    <s v="///"/>
    <s v="22"/>
    <s v=""/>
    <s v=""/>
    <s v="56///"/>
    <s v=""/>
    <s v=""/>
    <s v=""/>
    <s v="219"/>
    <s v="32997"/>
    <s v="02702"/>
    <s v="/////"/>
    <s v="0270"/>
    <s v="0168"/>
    <s v=""/>
    <x v="134"/>
    <s v="43063 32997 02702 10270 20168 40084 333 20219 59002 555 10000 ="/>
    <n v="219"/>
    <s v="Prakash"/>
    <s v="26/07/2012 1:25:05 PM"/>
    <n v="2012"/>
    <x v="4"/>
    <x v="13"/>
    <n v="16.8"/>
    <s v=""/>
    <n v="21.9"/>
  </r>
  <r>
    <s v="14/05/2012"/>
    <s v="43063"/>
    <x v="0"/>
    <s v="36"/>
    <s v="11"/>
    <s v="10034"/>
    <s v="7////"/>
    <s v="58008"/>
    <s v="38"/>
    <s v="///"/>
    <s v=""/>
    <s v=""/>
    <s v="56///"/>
    <s v=""/>
    <s v=""/>
    <s v="376"/>
    <s v=""/>
    <s v="32597"/>
    <s v="22705"/>
    <s v="82500"/>
    <s v="0356"/>
    <s v="0111"/>
    <s v=""/>
    <x v="134"/>
    <s v="43063 32597 22705 10356 20111 40034 82500 333 10376 58008 ="/>
    <m/>
    <s v="Prakash"/>
    <s v="26/07/2012 1:25:05 PM"/>
    <n v="2012"/>
    <x v="4"/>
    <x v="13"/>
    <n v="11.1"/>
    <n v="37.6"/>
    <s v=""/>
  </r>
  <r>
    <s v="15/05/2012"/>
    <s v="43063"/>
    <x v="1"/>
    <s v="29"/>
    <s v="14"/>
    <s v="10086"/>
    <s v="7////"/>
    <s v="58007"/>
    <s v="///"/>
    <s v="20"/>
    <s v=""/>
    <s v=""/>
    <s v="56///"/>
    <s v=""/>
    <s v=""/>
    <s v=""/>
    <s v="198"/>
    <s v="32997"/>
    <s v="02902"/>
    <s v="/////"/>
    <s v="0292"/>
    <s v="0142"/>
    <s v=""/>
    <x v="135"/>
    <s v="43063 32997 02902 10292 20142 40086 333 20198 58007 555 10000 ="/>
    <n v="198"/>
    <s v="Prakash"/>
    <s v="26/07/2012 1:25:05 PM"/>
    <n v="2012"/>
    <x v="4"/>
    <x v="14"/>
    <n v="14.2"/>
    <s v=""/>
    <n v="19.8"/>
  </r>
  <r>
    <s v="15/05/2012"/>
    <s v="43063"/>
    <x v="0"/>
    <s v="37"/>
    <s v="11"/>
    <s v="10032"/>
    <s v="7////"/>
    <s v="58002"/>
    <s v="39"/>
    <s v="///"/>
    <s v=""/>
    <s v=""/>
    <s v="56///"/>
    <s v=""/>
    <s v=""/>
    <s v="394"/>
    <s v=""/>
    <s v="32597"/>
    <s v="32704"/>
    <s v="83800"/>
    <s v="0370"/>
    <s v="0110"/>
    <s v=""/>
    <x v="135"/>
    <s v="43063 32597 32704 10370 20110 40032 83800 333 10394 58002 ="/>
    <m/>
    <s v="Prakash"/>
    <s v="26/07/2012 1:25:05 PM"/>
    <n v="2012"/>
    <x v="4"/>
    <x v="14"/>
    <n v="11"/>
    <n v="39.4"/>
    <s v=""/>
  </r>
  <r>
    <s v="16/05/2012"/>
    <s v="43063"/>
    <x v="0"/>
    <s v="36"/>
    <s v="13"/>
    <s v="10026"/>
    <s v="7////"/>
    <s v="59008"/>
    <s v="38"/>
    <s v="///"/>
    <s v=""/>
    <s v=""/>
    <s v="56///"/>
    <s v=""/>
    <s v=""/>
    <s v="384"/>
    <s v=""/>
    <s v="32597"/>
    <s v="22906"/>
    <s v="82800"/>
    <s v="0360"/>
    <s v="0128"/>
    <s v=""/>
    <x v="136"/>
    <s v="43063 32597 22906 10360 20128 40026 82800 333 10384 59008 ="/>
    <m/>
    <s v="Prakash"/>
    <s v="26/07/2012 1:25:05 PM"/>
    <n v="2012"/>
    <x v="4"/>
    <x v="15"/>
    <n v="12.8"/>
    <n v="38.4"/>
    <s v=""/>
  </r>
  <r>
    <s v="16/05/2012"/>
    <s v="43063"/>
    <x v="1"/>
    <s v="29"/>
    <s v="18"/>
    <s v="10078"/>
    <s v="7////"/>
    <s v="59007"/>
    <s v="///"/>
    <s v="24"/>
    <s v=""/>
    <s v=""/>
    <s v="56///"/>
    <s v=""/>
    <s v=""/>
    <s v=""/>
    <s v="237"/>
    <s v="32597"/>
    <s v="22502"/>
    <s v="81501"/>
    <s v="0292"/>
    <s v="0177"/>
    <s v=""/>
    <x v="136"/>
    <s v="43063 32597 22502 10292 20177 39470 40078 81501 333 20237 59007 81626 555 10007 ="/>
    <n v="237"/>
    <s v="Prakash"/>
    <s v="26/07/2012 1:25:05 PM"/>
    <n v="2012"/>
    <x v="4"/>
    <x v="15"/>
    <n v="17.7"/>
    <s v=""/>
    <n v="23.7"/>
  </r>
  <r>
    <s v="17/05/2012"/>
    <s v="43063"/>
    <x v="1"/>
    <s v="27"/>
    <s v="16"/>
    <s v="10080"/>
    <s v="7////"/>
    <s v="58001"/>
    <s v="///"/>
    <s v="21"/>
    <s v=""/>
    <s v=""/>
    <s v="56///"/>
    <s v=""/>
    <s v=""/>
    <s v=""/>
    <s v="207"/>
    <s v="32997"/>
    <s v="02901"/>
    <s v="/////"/>
    <s v="0274"/>
    <s v="0158"/>
    <s v=""/>
    <x v="137"/>
    <s v="43063 32997 02901 10274 20158 40080 333 20207 58001 555 10000 ="/>
    <n v="207"/>
    <s v="Prakash"/>
    <s v="26/07/2012 1:25:05 PM"/>
    <n v="2012"/>
    <x v="4"/>
    <x v="16"/>
    <n v="15.8"/>
    <s v=""/>
    <n v="20.7"/>
  </r>
  <r>
    <s v="17/05/2012"/>
    <s v="43063"/>
    <x v="0"/>
    <s v="36"/>
    <s v="14"/>
    <s v="10025"/>
    <s v="7////"/>
    <s v="59001"/>
    <s v="39"/>
    <s v="///"/>
    <s v=""/>
    <s v=""/>
    <s v="56///"/>
    <s v=""/>
    <s v=""/>
    <s v="390"/>
    <s v=""/>
    <s v="32597"/>
    <s v="22704"/>
    <s v="82800"/>
    <s v="0357"/>
    <s v="0143"/>
    <s v=""/>
    <x v="137"/>
    <s v="43063 32597 22704 10357 20143 40025 82800 333 10390 59001 ="/>
    <m/>
    <s v="Prakash"/>
    <s v="26/07/2012 1:25:05 PM"/>
    <n v="2012"/>
    <x v="4"/>
    <x v="16"/>
    <n v="14.3"/>
    <n v="39"/>
    <s v=""/>
  </r>
  <r>
    <s v="18/05/2012"/>
    <s v="43063"/>
    <x v="0"/>
    <s v="37"/>
    <s v="11"/>
    <s v="10027"/>
    <s v="7////"/>
    <s v="58004"/>
    <s v="38"/>
    <s v="///"/>
    <s v=""/>
    <s v=""/>
    <s v="56///"/>
    <s v=""/>
    <s v=""/>
    <s v="377"/>
    <s v=""/>
    <s v="32597"/>
    <s v="22904"/>
    <s v="82500"/>
    <s v="0368"/>
    <s v="0112"/>
    <s v=""/>
    <x v="138"/>
    <s v="43063 32597 22904 10368 20112 40027 82500 333 10377 58004 ="/>
    <m/>
    <s v="Prakash"/>
    <s v="26/07/2012 1:25:05 PM"/>
    <n v="2012"/>
    <x v="4"/>
    <x v="17"/>
    <n v="11.2"/>
    <n v="37.700000000000003"/>
    <s v=""/>
  </r>
  <r>
    <s v="18/05/2012"/>
    <s v="43063"/>
    <x v="1"/>
    <s v="28"/>
    <s v="17"/>
    <s v="10092"/>
    <s v="7////"/>
    <s v="58010"/>
    <s v="///"/>
    <s v="22"/>
    <s v=""/>
    <s v=""/>
    <s v="56///"/>
    <s v=""/>
    <s v=""/>
    <s v=""/>
    <s v="221"/>
    <s v="32997"/>
    <s v="02702"/>
    <s v="/////"/>
    <s v="0277"/>
    <s v="0171"/>
    <s v=""/>
    <x v="138"/>
    <s v="43063 32997 02702 10277 20171 40092 333 20221 58010 555 10000 ="/>
    <n v="221"/>
    <s v="Prakash"/>
    <s v="26/07/2012 1:25:05 PM"/>
    <n v="2012"/>
    <x v="4"/>
    <x v="17"/>
    <n v="17.100000000000001"/>
    <s v=""/>
    <n v="22.1"/>
  </r>
  <r>
    <s v="19/05/2012"/>
    <s v="43063"/>
    <x v="0"/>
    <s v="36"/>
    <s v="9"/>
    <s v="10040"/>
    <s v="7////"/>
    <s v="58011"/>
    <s v="38"/>
    <s v="///"/>
    <s v=""/>
    <s v=""/>
    <s v="56///"/>
    <s v=""/>
    <s v=""/>
    <s v="384"/>
    <s v=""/>
    <s v="32997"/>
    <s v="32905"/>
    <s v="80001"/>
    <s v="0360"/>
    <s v="0092"/>
    <s v=""/>
    <x v="139"/>
    <s v="43063 32997 32905 10360 20092 40040 80001 333 10384 58011 ="/>
    <m/>
    <s v="Prakash"/>
    <s v="26/07/2012 1:25:05 PM"/>
    <n v="2012"/>
    <x v="4"/>
    <x v="18"/>
    <n v="9.1999999999999993"/>
    <n v="38.4"/>
    <s v=""/>
  </r>
  <r>
    <s v="19/05/2012"/>
    <s v="43063"/>
    <x v="1"/>
    <s v="31"/>
    <s v="13"/>
    <s v="10084"/>
    <s v="7////"/>
    <s v="59001"/>
    <s v="///"/>
    <s v="21"/>
    <s v=""/>
    <s v=""/>
    <s v="56///"/>
    <s v=""/>
    <s v=""/>
    <s v=""/>
    <s v="207"/>
    <s v="32997"/>
    <s v="00502"/>
    <s v="/////"/>
    <s v="0306"/>
    <s v="0128"/>
    <s v=""/>
    <x v="139"/>
    <s v="43063 32997 00502 10306 20128 40084 333 20207 59001 555 10000 ="/>
    <n v="207"/>
    <s v="Prakash"/>
    <s v="26/07/2012 1:25:05 PM"/>
    <n v="2012"/>
    <x v="4"/>
    <x v="18"/>
    <n v="12.8"/>
    <s v=""/>
    <n v="20.7"/>
  </r>
  <r>
    <s v="20/05/2012"/>
    <s v="43063"/>
    <x v="0"/>
    <s v="37"/>
    <s v="13"/>
    <s v="10024"/>
    <s v="7////"/>
    <s v="59014"/>
    <s v="39"/>
    <s v="///"/>
    <s v=""/>
    <s v=""/>
    <s v="56///"/>
    <s v=""/>
    <s v=""/>
    <s v="386"/>
    <s v=""/>
    <s v="32997"/>
    <s v="32903"/>
    <s v="80001"/>
    <s v="0370"/>
    <s v="0125"/>
    <s v=""/>
    <x v="140"/>
    <s v="43063 32997 32903 10370 20125 40024 80001 333 10386 59014 ="/>
    <m/>
    <s v="Prakash"/>
    <s v="26/07/2012 1:25:05 PM"/>
    <n v="2012"/>
    <x v="4"/>
    <x v="19"/>
    <n v="12.5"/>
    <n v="38.6"/>
    <s v=""/>
  </r>
  <r>
    <s v="20/05/2012"/>
    <s v="43063"/>
    <x v="1"/>
    <s v="27"/>
    <s v="15"/>
    <s v="10080"/>
    <s v="7////"/>
    <s v="59009"/>
    <s v="///"/>
    <s v="22"/>
    <s v=""/>
    <s v=""/>
    <s v="56///"/>
    <s v=""/>
    <s v=""/>
    <s v=""/>
    <s v="218"/>
    <s v="32997"/>
    <s v="12703"/>
    <s v="80001"/>
    <s v="0272"/>
    <s v="0155"/>
    <s v=""/>
    <x v="140"/>
    <s v="43063 32997 12703 10272 20155 40080 80001 333 20218 59009 555 10000 ="/>
    <n v="218"/>
    <s v="Prakash"/>
    <s v="26/07/2012 1:25:05 PM"/>
    <n v="2012"/>
    <x v="4"/>
    <x v="19"/>
    <n v="15.5"/>
    <s v=""/>
    <n v="21.8"/>
  </r>
  <r>
    <s v="21/05/2012"/>
    <s v="43063"/>
    <x v="0"/>
    <s v="35"/>
    <s v="13"/>
    <s v="10031"/>
    <s v="7////"/>
    <s v="58005"/>
    <s v="37"/>
    <s v="///"/>
    <s v=""/>
    <s v=""/>
    <s v="56///"/>
    <s v=""/>
    <s v=""/>
    <s v="375"/>
    <s v=""/>
    <s v="32997"/>
    <s v="42904"/>
    <s v="80001"/>
    <s v="0351"/>
    <s v="0135"/>
    <s v=""/>
    <x v="141"/>
    <s v="43063 32997 42904 10351 20135 40031 80001 333 10375 58005 ="/>
    <m/>
    <s v="Prakash"/>
    <s v="26/07/2012 1:25:05 PM"/>
    <n v="2012"/>
    <x v="4"/>
    <x v="20"/>
    <n v="13.5"/>
    <n v="37.5"/>
    <s v=""/>
  </r>
  <r>
    <s v="21/05/2012"/>
    <s v="43063"/>
    <x v="1"/>
    <s v="28"/>
    <s v="17"/>
    <s v="10073"/>
    <s v="7////"/>
    <s v="59007"/>
    <s v="///"/>
    <s v="23"/>
    <s v=""/>
    <s v=""/>
    <s v="56///"/>
    <s v=""/>
    <s v=""/>
    <s v=""/>
    <s v="234"/>
    <s v="32997"/>
    <s v="00000"/>
    <s v="/////"/>
    <s v="0280"/>
    <s v="0169"/>
    <s v=""/>
    <x v="141"/>
    <s v="43063 32997 00000 10280 20169 40073 333 20234 59007 555 10000 ="/>
    <n v="234"/>
    <s v="Prakash"/>
    <s v="26/07/2012 1:25:05 PM"/>
    <n v="2012"/>
    <x v="4"/>
    <x v="20"/>
    <n v="16.899999999999999"/>
    <s v=""/>
    <n v="23.4"/>
  </r>
  <r>
    <s v="22/05/2012"/>
    <s v="43063"/>
    <x v="1"/>
    <s v="26"/>
    <s v="19"/>
    <s v="10082"/>
    <s v="7////"/>
    <s v="58004"/>
    <s v="///"/>
    <s v="22"/>
    <s v=""/>
    <s v=""/>
    <s v="56///"/>
    <s v=""/>
    <s v=""/>
    <s v=""/>
    <s v="222"/>
    <s v="32997"/>
    <s v="22903"/>
    <s v="80001"/>
    <s v="0260"/>
    <s v="0189"/>
    <s v=""/>
    <x v="142"/>
    <s v="43063 32997 22903 10260 20189 40082 80001 333 20222 58004 555 10000 ="/>
    <n v="222"/>
    <s v="Prakash"/>
    <s v="26/07/2012 1:25:05 PM"/>
    <n v="2012"/>
    <x v="4"/>
    <x v="21"/>
    <n v="18.899999999999999"/>
    <s v=""/>
    <n v="22.2"/>
  </r>
  <r>
    <s v="22/05/2012"/>
    <s v="43063"/>
    <x v="0"/>
    <s v="35"/>
    <s v="16"/>
    <s v="10029"/>
    <s v="7////"/>
    <s v="59002"/>
    <s v="38"/>
    <s v="///"/>
    <s v=""/>
    <s v=""/>
    <s v="56///"/>
    <s v=""/>
    <s v=""/>
    <s v="377"/>
    <s v=""/>
    <s v="32997"/>
    <s v="22905"/>
    <s v="80001"/>
    <s v="0354"/>
    <s v="0158"/>
    <s v=""/>
    <x v="142"/>
    <s v="43063 32997 22905 10354 20158 40029 80001 333 10377 59002 ="/>
    <m/>
    <s v="Prakash"/>
    <s v="26/07/2012 1:25:05 PM"/>
    <n v="2012"/>
    <x v="4"/>
    <x v="21"/>
    <n v="15.8"/>
    <n v="37.700000000000003"/>
    <s v=""/>
  </r>
  <r>
    <s v="23/05/2012"/>
    <s v="43063"/>
    <x v="1"/>
    <s v="27"/>
    <s v="19"/>
    <s v="10086"/>
    <s v="7////"/>
    <s v="58007"/>
    <s v="///"/>
    <s v="23"/>
    <s v=""/>
    <s v=""/>
    <s v="56///"/>
    <s v=""/>
    <s v=""/>
    <s v=""/>
    <s v="229"/>
    <s v="32997"/>
    <s v="22002"/>
    <s v="80001"/>
    <s v="0272"/>
    <s v="0195"/>
    <s v=""/>
    <x v="143"/>
    <s v="43063 32997 22002 10272 20195 40086 80001 333 20229 58007 555 10000 ="/>
    <n v="229"/>
    <s v="Prakash"/>
    <s v="26/07/2012 1:25:05 PM"/>
    <n v="2012"/>
    <x v="4"/>
    <x v="22"/>
    <n v="19.5"/>
    <s v=""/>
    <n v="22.9"/>
  </r>
  <r>
    <s v="23/05/2012"/>
    <s v="43063"/>
    <x v="0"/>
    <s v="36"/>
    <s v="16"/>
    <s v="10029"/>
    <s v="7////"/>
    <s v="58000"/>
    <s v="38"/>
    <s v="///"/>
    <s v=""/>
    <s v=""/>
    <s v="56///"/>
    <s v=""/>
    <s v=""/>
    <s v="379"/>
    <s v=""/>
    <s v="32597"/>
    <s v="23204"/>
    <s v="81501"/>
    <s v="0358"/>
    <s v="0164"/>
    <s v=""/>
    <x v="143"/>
    <s v="43063 32597 23204 10358 20164 40029 81501 333 10379 58000 ="/>
    <m/>
    <s v="Prakash"/>
    <s v="26/07/2012 1:25:05 PM"/>
    <n v="2012"/>
    <x v="4"/>
    <x v="22"/>
    <n v="16.399999999999999"/>
    <n v="37.9"/>
    <s v=""/>
  </r>
  <r>
    <s v="24/05/2012"/>
    <s v="43063"/>
    <x v="0"/>
    <s v="35"/>
    <s v="17"/>
    <s v="10020"/>
    <s v="7////"/>
    <s v="59010"/>
    <s v="37"/>
    <s v="///"/>
    <s v=""/>
    <s v=""/>
    <s v="56///"/>
    <s v=""/>
    <s v=""/>
    <s v="374"/>
    <s v=""/>
    <s v="32997"/>
    <s v="12908"/>
    <s v="80001"/>
    <s v="0350"/>
    <s v="0169"/>
    <s v=""/>
    <x v="144"/>
    <s v="43063 32997 12908 10350 20169 40020 80001 333 10374 59010 ="/>
    <m/>
    <s v="Prakash"/>
    <s v="26/07/2012 1:25:05 PM"/>
    <n v="2012"/>
    <x v="4"/>
    <x v="23"/>
    <n v="16.899999999999999"/>
    <n v="37.4"/>
    <s v=""/>
  </r>
  <r>
    <s v="24/05/2012"/>
    <s v="43063"/>
    <x v="1"/>
    <s v="28"/>
    <s v="18"/>
    <s v="10072"/>
    <s v="7////"/>
    <s v="59012"/>
    <s v="///"/>
    <s v="24"/>
    <s v=""/>
    <s v=""/>
    <s v="56///"/>
    <s v=""/>
    <s v=""/>
    <s v=""/>
    <s v="238"/>
    <s v="32997"/>
    <s v="02703"/>
    <s v="/////"/>
    <s v="0276"/>
    <s v="0182"/>
    <s v=""/>
    <x v="144"/>
    <s v="43063 32997 02703 10276 20182 40072 333 20238 59012 555 10000 ="/>
    <n v="238"/>
    <s v="Prakash"/>
    <s v="26/07/2012 1:25:05 PM"/>
    <n v="2012"/>
    <x v="4"/>
    <x v="23"/>
    <n v="18.2"/>
    <s v=""/>
    <n v="23.8"/>
  </r>
  <r>
    <s v="25/05/2012"/>
    <s v="43063"/>
    <x v="1"/>
    <s v="28"/>
    <s v="20"/>
    <s v="10072"/>
    <s v="7////"/>
    <s v="58000"/>
    <s v="///"/>
    <s v="24"/>
    <s v=""/>
    <s v=""/>
    <s v="56///"/>
    <s v=""/>
    <s v=""/>
    <s v=""/>
    <s v="238"/>
    <s v="32997"/>
    <s v="12705"/>
    <s v="80001"/>
    <s v="0278"/>
    <s v="0201"/>
    <s v=""/>
    <x v="145"/>
    <s v="43063 32997 12705 10278 20201 40072 80001 333 20238 58000 555 10000 ="/>
    <n v="238"/>
    <s v="Prakash"/>
    <s v="26/07/2012 1:25:05 PM"/>
    <n v="2012"/>
    <x v="4"/>
    <x v="24"/>
    <n v="20.100000000000001"/>
    <s v=""/>
    <n v="23.8"/>
  </r>
  <r>
    <s v="25/05/2012"/>
    <s v="43063"/>
    <x v="0"/>
    <s v="34"/>
    <s v="17"/>
    <s v="10028"/>
    <s v="7////"/>
    <s v="58005"/>
    <s v="37"/>
    <s v="///"/>
    <s v=""/>
    <s v=""/>
    <s v="56///"/>
    <s v=""/>
    <s v=""/>
    <s v="372"/>
    <s v=""/>
    <s v="32997"/>
    <s v="22904"/>
    <s v="80001"/>
    <s v="0344"/>
    <s v="0169"/>
    <s v=""/>
    <x v="145"/>
    <s v="43063 32997 22904 10344 20169 40028 80001 333 10372 58005 ="/>
    <m/>
    <s v="Prakash"/>
    <s v="26/07/2012 1:25:05 PM"/>
    <n v="2012"/>
    <x v="4"/>
    <x v="24"/>
    <n v="16.899999999999999"/>
    <n v="37.200000000000003"/>
    <s v=""/>
  </r>
  <r>
    <s v="26/05/2012"/>
    <s v="43063"/>
    <x v="0"/>
    <s v="35"/>
    <s v="16"/>
    <s v="10031"/>
    <s v="7////"/>
    <s v="58005"/>
    <s v="37"/>
    <s v="///"/>
    <s v=""/>
    <s v=""/>
    <s v="56///"/>
    <s v=""/>
    <s v=""/>
    <s v="372"/>
    <s v=""/>
    <s v="32797"/>
    <s v="52708"/>
    <s v="84031"/>
    <s v="0350"/>
    <s v="0157"/>
    <s v=""/>
    <x v="146"/>
    <s v="43063 32797 52708 10350 20157 40031 84031 333 10372 58005 ="/>
    <m/>
    <s v="Prakash"/>
    <s v="26/07/2012 1:25:05 PM"/>
    <n v="2012"/>
    <x v="4"/>
    <x v="25"/>
    <n v="15.7"/>
    <n v="37.200000000000003"/>
    <s v=""/>
  </r>
  <r>
    <s v="26/05/2012"/>
    <s v="43063"/>
    <x v="1"/>
    <s v="27"/>
    <s v="20"/>
    <s v="10077"/>
    <s v="7////"/>
    <s v="58005"/>
    <s v="///"/>
    <s v="24"/>
    <s v=""/>
    <s v=""/>
    <s v="56///"/>
    <s v=""/>
    <s v=""/>
    <s v=""/>
    <s v="240"/>
    <s v="32597"/>
    <s v="52503"/>
    <s v="81501"/>
    <s v="0275"/>
    <s v="0203"/>
    <s v=""/>
    <x v="146"/>
    <s v="43063 32597 52503 10275 20203 40077 81501 333 20240 58005 555 10000 ="/>
    <n v="240"/>
    <s v="Prakash"/>
    <s v="26/07/2012 1:25:05 PM"/>
    <n v="2012"/>
    <x v="4"/>
    <x v="25"/>
    <n v="20.3"/>
    <s v=""/>
    <n v="24"/>
  </r>
  <r>
    <s v="27/05/2012"/>
    <s v="43063"/>
    <x v="0"/>
    <s v="33"/>
    <s v="15"/>
    <s v="10034"/>
    <s v="7////"/>
    <s v="58001"/>
    <s v="35"/>
    <s v="///"/>
    <s v=""/>
    <s v=""/>
    <s v="56///"/>
    <s v=""/>
    <s v=""/>
    <s v="353"/>
    <s v=""/>
    <s v="32797"/>
    <s v="42908"/>
    <s v="82031"/>
    <s v="0334"/>
    <s v="0151"/>
    <s v=""/>
    <x v="147"/>
    <s v="43063 32797 42908 10334 20151 40034 82031 333 10353 58001 ="/>
    <m/>
    <s v="Prakash"/>
    <s v="26/07/2012 1:25:05 PM"/>
    <n v="2012"/>
    <x v="4"/>
    <x v="26"/>
    <n v="15.1"/>
    <n v="35.299999999999997"/>
    <s v=""/>
  </r>
  <r>
    <s v="27/05/2012"/>
    <s v="43063"/>
    <x v="1"/>
    <s v="27"/>
    <s v="20"/>
    <s v="10077"/>
    <s v="7////"/>
    <s v="59003"/>
    <s v="///"/>
    <s v="24"/>
    <s v=""/>
    <s v=""/>
    <s v="56///"/>
    <s v=""/>
    <s v=""/>
    <s v=""/>
    <s v="236"/>
    <s v="32997"/>
    <s v="32704"/>
    <s v="80001"/>
    <s v="0270"/>
    <s v="0196"/>
    <s v=""/>
    <x v="147"/>
    <s v="43063 32997 32704 10270 20196 40077 80001 333 20236 59003 555 10000 ="/>
    <n v="236"/>
    <s v="Prakash"/>
    <s v="26/07/2012 1:25:05 PM"/>
    <n v="2012"/>
    <x v="4"/>
    <x v="26"/>
    <n v="19.600000000000001"/>
    <s v=""/>
    <n v="23.6"/>
  </r>
  <r>
    <s v="28/05/2012"/>
    <s v="43063"/>
    <x v="0"/>
    <s v="32"/>
    <s v="20"/>
    <s v="10033"/>
    <s v="7////"/>
    <s v="59003"/>
    <s v="35"/>
    <s v="///"/>
    <s v=""/>
    <s v=""/>
    <s v="56///"/>
    <s v=""/>
    <s v=""/>
    <s v="348"/>
    <s v=""/>
    <s v="32597"/>
    <s v="62908"/>
    <s v="83801"/>
    <s v="0324"/>
    <s v="0202"/>
    <s v=""/>
    <x v="148"/>
    <s v="43063 32597 62908 10324 20202 40033 83801 333 10348 59003 ="/>
    <m/>
    <s v="Prakash"/>
    <s v="26/07/2012 1:25:05 PM"/>
    <n v="2012"/>
    <x v="4"/>
    <x v="27"/>
    <n v="20.2"/>
    <n v="34.799999999999997"/>
    <s v=""/>
  </r>
  <r>
    <s v="28/05/2012"/>
    <s v="43063"/>
    <x v="1"/>
    <s v="27"/>
    <s v="20"/>
    <s v="10073"/>
    <s v="7////"/>
    <s v="59003"/>
    <s v="///"/>
    <s v="23"/>
    <s v=""/>
    <s v=""/>
    <s v="56///"/>
    <s v=""/>
    <s v=""/>
    <s v=""/>
    <s v="227"/>
    <s v="32797"/>
    <s v="52903"/>
    <s v="84031"/>
    <s v="0266"/>
    <s v="0198"/>
    <s v=""/>
    <x v="148"/>
    <s v="43063 32797 52903 10266 20198 40073 84031 333 20227 59003 555 10000 ="/>
    <n v="227"/>
    <s v="Prakash"/>
    <s v="26/07/2012 1:25:05 PM"/>
    <n v="2012"/>
    <x v="4"/>
    <x v="27"/>
    <n v="19.8"/>
    <s v=""/>
    <n v="22.7"/>
  </r>
  <r>
    <s v="29/05/2012"/>
    <s v="43063"/>
    <x v="0"/>
    <s v="34"/>
    <s v="18"/>
    <s v="10034"/>
    <s v="7////"/>
    <s v="58005"/>
    <s v="36"/>
    <s v="///"/>
    <s v=""/>
    <s v=""/>
    <s v="56///"/>
    <s v=""/>
    <s v=""/>
    <s v="361"/>
    <s v=""/>
    <s v="32997"/>
    <s v="02704"/>
    <s v="/////"/>
    <s v="0342"/>
    <s v="0181"/>
    <s v=""/>
    <x v="149"/>
    <s v="43063 32997 02704 10342 20181 40034 333 10361 58005 555 10000 ="/>
    <m/>
    <s v="Prakash"/>
    <s v="26/07/2012 1:25:05 PM"/>
    <n v="2012"/>
    <x v="4"/>
    <x v="28"/>
    <n v="18.100000000000001"/>
    <n v="36.1"/>
    <s v=""/>
  </r>
  <r>
    <s v="29/05/2012"/>
    <s v="43063"/>
    <x v="1"/>
    <s v="27"/>
    <s v="20"/>
    <s v="10090"/>
    <s v="7////"/>
    <s v="58015"/>
    <s v="///"/>
    <s v="23"/>
    <s v=""/>
    <s v=""/>
    <s v="56///"/>
    <s v=""/>
    <s v=""/>
    <s v=""/>
    <s v="234"/>
    <s v="32797"/>
    <s v="22904"/>
    <s v="81031"/>
    <s v="0266"/>
    <s v="0198"/>
    <s v=""/>
    <x v="149"/>
    <s v="43063 32797 22904 10266 20198 40090 81031 333 20234 58015 555 10000 ="/>
    <n v="234"/>
    <s v="Prakash"/>
    <s v="26/07/2012 1:25:05 PM"/>
    <n v="2012"/>
    <x v="4"/>
    <x v="28"/>
    <n v="19.8"/>
    <s v=""/>
    <n v="23.4"/>
  </r>
  <r>
    <s v="30/05/2012"/>
    <s v="43063"/>
    <x v="1"/>
    <s v="27"/>
    <s v="19"/>
    <s v="10081"/>
    <s v="7////"/>
    <s v="59007"/>
    <s v="///"/>
    <s v="23"/>
    <s v=""/>
    <s v=""/>
    <s v="56///"/>
    <s v=""/>
    <s v=""/>
    <s v=""/>
    <s v="233"/>
    <s v="32997"/>
    <s v="22704"/>
    <s v="80001"/>
    <s v="0265"/>
    <s v="0191"/>
    <s v=""/>
    <x v="150"/>
    <s v="43063 32997 22704 10265 20191 40081 80001 333 20233 59007 555 10000 ="/>
    <n v="233"/>
    <s v="Prakash"/>
    <s v="26/07/2012 1:25:05 PM"/>
    <n v="2012"/>
    <x v="4"/>
    <x v="29"/>
    <n v="19.100000000000001"/>
    <s v=""/>
    <n v="23.3"/>
  </r>
  <r>
    <s v="30/05/2012"/>
    <s v="43063"/>
    <x v="0"/>
    <s v="33"/>
    <s v="17"/>
    <s v="10024"/>
    <s v="7////"/>
    <s v="59012"/>
    <s v="36"/>
    <s v="///"/>
    <s v=""/>
    <s v=""/>
    <s v="56///"/>
    <s v=""/>
    <s v=""/>
    <s v="356"/>
    <s v=""/>
    <s v="32997"/>
    <s v="33206"/>
    <s v="80001"/>
    <s v="0330"/>
    <s v="0169"/>
    <s v=""/>
    <x v="150"/>
    <s v="43063 32997 33206 10330 20169 40024 80001 333 10356 59012 ="/>
    <m/>
    <s v="Prakash"/>
    <s v="26/07/2012 1:25:05 PM"/>
    <n v="2012"/>
    <x v="4"/>
    <x v="29"/>
    <n v="16.899999999999999"/>
    <n v="35.6"/>
    <s v=""/>
  </r>
  <r>
    <s v="31/05/2012"/>
    <s v="43063"/>
    <x v="0"/>
    <s v="34"/>
    <s v="13"/>
    <s v="10002"/>
    <s v="7////"/>
    <s v="59018"/>
    <s v="36"/>
    <s v="///"/>
    <s v=""/>
    <s v=""/>
    <s v="56///"/>
    <s v=""/>
    <s v=""/>
    <s v="364"/>
    <s v=""/>
    <s v="32997"/>
    <s v="02709"/>
    <s v="/////"/>
    <s v="0344"/>
    <s v="0130"/>
    <s v=""/>
    <x v="151"/>
    <s v="43063 32997 02709 10344 20130 40002 333 10364 59018 ="/>
    <m/>
    <s v="sbs"/>
    <s v="16/08/2012 11:39:22 AM"/>
    <n v="2012"/>
    <x v="4"/>
    <x v="30"/>
    <n v="13"/>
    <n v="36.4"/>
    <s v=""/>
  </r>
  <r>
    <s v="31/05/2012"/>
    <s v="43063"/>
    <x v="1"/>
    <s v="27"/>
    <s v="18"/>
    <s v="10059"/>
    <s v="7////"/>
    <s v="59021"/>
    <s v="///"/>
    <s v="23"/>
    <s v=""/>
    <s v=""/>
    <s v="56///"/>
    <s v=""/>
    <s v=""/>
    <s v=""/>
    <s v="227"/>
    <s v="32997"/>
    <s v="32906"/>
    <s v="80001"/>
    <s v="0266"/>
    <s v="0184"/>
    <s v=""/>
    <x v="151"/>
    <s v="43063 32997 32906 10266 20184 40059 80001 333 20227 59021 555 10000 ="/>
    <n v="227"/>
    <s v="Prakash"/>
    <s v="26/07/2012 1:25:05 PM"/>
    <n v="2012"/>
    <x v="4"/>
    <x v="30"/>
    <n v="18.399999999999999"/>
    <s v=""/>
    <n v="22.7"/>
  </r>
  <r>
    <s v="01/06/2012"/>
    <s v="43063"/>
    <x v="1"/>
    <s v="27"/>
    <s v="19"/>
    <s v="10064"/>
    <s v="7////"/>
    <s v="58006"/>
    <s v="///"/>
    <s v="24"/>
    <s v=""/>
    <s v=""/>
    <s v="56///"/>
    <s v=""/>
    <s v=""/>
    <s v=""/>
    <s v="238"/>
    <s v="32597"/>
    <s v="52711"/>
    <s v="85500"/>
    <s v="0272"/>
    <s v="0188"/>
    <s v=""/>
    <x v="152"/>
    <s v="43063 32597 52711 10272 20188 39453 40064 85500 333 20238 58006 85626 555 1//// ="/>
    <n v="238"/>
    <s v="sbs"/>
    <s v="16/08/2012 11:33:27 AM"/>
    <n v="2012"/>
    <x v="5"/>
    <x v="0"/>
    <n v="18.8"/>
    <s v=""/>
    <n v="23.8"/>
  </r>
  <r>
    <s v="01/06/2012"/>
    <s v="43063"/>
    <x v="0"/>
    <s v="34"/>
    <s v="15"/>
    <s v="10016"/>
    <s v="7////"/>
    <s v="58011"/>
    <s v="36"/>
    <s v="///"/>
    <s v=""/>
    <s v=""/>
    <s v="56///"/>
    <s v=""/>
    <s v=""/>
    <s v="357"/>
    <s v=""/>
    <s v="32997"/>
    <s v="02709"/>
    <s v="/////"/>
    <s v="0340"/>
    <s v="0147"/>
    <s v=""/>
    <x v="152"/>
    <s v="43063 32997 02709 10340 20147 40016 333 10357 58011 ="/>
    <m/>
    <s v="sbs"/>
    <s v="16/08/2012 11:33:27 AM"/>
    <n v="2012"/>
    <x v="5"/>
    <x v="0"/>
    <n v="14.7"/>
    <n v="35.700000000000003"/>
    <s v=""/>
  </r>
  <r>
    <s v="02/06/2012"/>
    <s v="43063"/>
    <x v="0"/>
    <s v="33"/>
    <s v="16"/>
    <s v="10013"/>
    <s v="7////"/>
    <s v="59003"/>
    <s v="35"/>
    <s v="///"/>
    <s v=""/>
    <s v=""/>
    <s v="56///"/>
    <s v=""/>
    <s v=""/>
    <s v="351"/>
    <s v=""/>
    <s v="32597"/>
    <s v="22506"/>
    <s v="81501"/>
    <s v="0334"/>
    <s v="0159"/>
    <s v=""/>
    <x v="153"/>
    <s v="43063 32597 22506 10334 20159 40013 81501 333 10351 59003 81626 ="/>
    <m/>
    <s v="sbs"/>
    <s v="16/08/2012 11:33:27 AM"/>
    <n v="2012"/>
    <x v="5"/>
    <x v="1"/>
    <n v="15.9"/>
    <n v="35.1"/>
    <s v=""/>
  </r>
  <r>
    <s v="02/06/2012"/>
    <s v="43063"/>
    <x v="1"/>
    <s v="28"/>
    <s v="20"/>
    <s v="10065"/>
    <s v="7////"/>
    <s v="58003"/>
    <s v="///"/>
    <s v="24"/>
    <s v=""/>
    <s v=""/>
    <s v="56///"/>
    <s v=""/>
    <s v=""/>
    <s v=""/>
    <s v="237"/>
    <s v="32597"/>
    <s v="52712"/>
    <s v="85500"/>
    <s v="0282"/>
    <s v="0196"/>
    <s v=""/>
    <x v="153"/>
    <s v="43063 32597 52712 10282 20196 39456 40065 85500 333 20237 58003 85626 555 1//// ="/>
    <n v="237"/>
    <s v="sbs"/>
    <s v="16/08/2012 11:33:27 AM"/>
    <n v="2012"/>
    <x v="5"/>
    <x v="1"/>
    <n v="19.600000000000001"/>
    <s v=""/>
    <n v="23.7"/>
  </r>
  <r>
    <s v="03/06/2012"/>
    <s v="43063"/>
    <x v="1"/>
    <s v="28"/>
    <s v="20"/>
    <s v="10054"/>
    <s v="7////"/>
    <s v="59012"/>
    <s v="///"/>
    <s v="25"/>
    <s v=""/>
    <s v=""/>
    <s v="56///"/>
    <s v=""/>
    <s v=""/>
    <s v=""/>
    <s v="248"/>
    <s v="32597"/>
    <s v="62904"/>
    <s v="86800"/>
    <s v="0278"/>
    <s v="0198"/>
    <s v=""/>
    <x v="154"/>
    <s v="43063 32597 62904 10278 20198 40054 86800 333 20248 59012 84626 555 00000 1//// ="/>
    <n v="248"/>
    <s v="sbs"/>
    <s v="16/08/2012 11:33:27 AM"/>
    <n v="2012"/>
    <x v="5"/>
    <x v="2"/>
    <n v="19.8"/>
    <s v=""/>
    <n v="24.8"/>
  </r>
  <r>
    <s v="03/06/2012"/>
    <s v="43063"/>
    <x v="0"/>
    <s v="33"/>
    <s v="18"/>
    <s v="10009"/>
    <s v="7////"/>
    <s v="59004"/>
    <s v="36"/>
    <s v="///"/>
    <s v=""/>
    <s v=""/>
    <s v="56///"/>
    <s v=""/>
    <s v=""/>
    <s v="361"/>
    <s v=""/>
    <s v="32597"/>
    <s v="32705"/>
    <s v="83500"/>
    <s v="0332"/>
    <s v="0179"/>
    <s v=""/>
    <x v="154"/>
    <s v="43063 32597 32705 10332 20179 40009 83500 333 10361 59004 ="/>
    <m/>
    <s v="sbs"/>
    <s v="16/08/2012 11:33:27 AM"/>
    <n v="2012"/>
    <x v="5"/>
    <x v="2"/>
    <n v="17.899999999999999"/>
    <n v="36.1"/>
    <s v=""/>
  </r>
  <r>
    <s v="04/06/2012"/>
    <s v="43063"/>
    <x v="0"/>
    <s v="34"/>
    <s v="19"/>
    <s v="9991"/>
    <s v="7////"/>
    <s v="59016"/>
    <s v="38"/>
    <s v="///"/>
    <s v=""/>
    <s v=""/>
    <s v="56///"/>
    <s v=""/>
    <s v=""/>
    <s v="378"/>
    <s v=""/>
    <s v="32597"/>
    <s v="63201"/>
    <s v="83801"/>
    <s v="0340"/>
    <s v="0193"/>
    <s v=""/>
    <x v="155"/>
    <s v="43063 32597 63201 10340 20193 39396 49991 83801 333 10378 59016 82626 83070 ="/>
    <m/>
    <s v="sbs"/>
    <s v="16/08/2012 11:33:27 AM"/>
    <n v="2012"/>
    <x v="5"/>
    <x v="3"/>
    <n v="19.3"/>
    <n v="37.799999999999997"/>
    <s v=""/>
  </r>
  <r>
    <s v="04/06/2012"/>
    <s v="43063"/>
    <x v="1"/>
    <s v="28"/>
    <s v="20"/>
    <s v="10050"/>
    <s v="7////"/>
    <s v="59004"/>
    <s v="///"/>
    <s v="24"/>
    <s v=""/>
    <s v=""/>
    <s v="56///"/>
    <s v=""/>
    <s v=""/>
    <s v=""/>
    <s v="239"/>
    <s v="32597"/>
    <s v="52503"/>
    <s v="85800"/>
    <s v="0276"/>
    <s v="0199"/>
    <s v=""/>
    <x v="155"/>
    <s v="43063 32597 52503 10276 20199 39440 40050 85800 333 20239 59004 82830 83070 555 00000 1//// ="/>
    <n v="239"/>
    <s v="sbs"/>
    <s v="16/08/2012 11:33:27 AM"/>
    <n v="2012"/>
    <x v="5"/>
    <x v="3"/>
    <n v="19.899999999999999"/>
    <s v=""/>
    <n v="23.9"/>
  </r>
  <r>
    <s v="05/06/2012"/>
    <s v="43063"/>
    <x v="1"/>
    <s v="27"/>
    <s v="20"/>
    <s v="10048"/>
    <s v="7////"/>
    <s v="59004"/>
    <s v="///"/>
    <s v="25"/>
    <s v=""/>
    <s v=""/>
    <s v="56///"/>
    <s v=""/>
    <s v=""/>
    <s v=""/>
    <s v="248"/>
    <s v="32597"/>
    <s v="72701"/>
    <s v="84530"/>
    <s v="0266"/>
    <s v="0204"/>
    <s v=""/>
    <x v="156"/>
    <s v="43063 32597 72701 10266 20204 40048 84530 333 20248 59004 84626 83358 555 00000 1//// ="/>
    <n v="248"/>
    <s v="sbs"/>
    <s v="16/08/2012 11:33:27 AM"/>
    <n v="2012"/>
    <x v="5"/>
    <x v="4"/>
    <n v="20.399999999999999"/>
    <s v=""/>
    <n v="24.8"/>
  </r>
  <r>
    <s v="05/06/2012"/>
    <s v="43063"/>
    <x v="0"/>
    <s v="31"/>
    <s v="21"/>
    <s v="9994"/>
    <s v="7////"/>
    <s v="59001"/>
    <s v="35"/>
    <s v="///"/>
    <s v=""/>
    <s v=""/>
    <s v="56///"/>
    <s v=""/>
    <s v=""/>
    <s v="355"/>
    <s v=""/>
    <s v="32597"/>
    <s v="72703"/>
    <s v="83530"/>
    <s v="0314"/>
    <s v="0207"/>
    <s v=""/>
    <x v="156"/>
    <s v="43063 32597 72703 10314 20207 49994 83530 333 10355 59001 ="/>
    <m/>
    <s v="sbs"/>
    <s v="16/08/2012 11:33:27 AM"/>
    <n v="2012"/>
    <x v="5"/>
    <x v="4"/>
    <n v="20.7"/>
    <n v="35.5"/>
    <s v=""/>
  </r>
  <r>
    <s v="06/06/2012"/>
    <s v="43063"/>
    <x v="1"/>
    <s v="25"/>
    <s v="21"/>
    <s v="10037"/>
    <s v="7////"/>
    <s v="59012"/>
    <s v="///"/>
    <s v="25"/>
    <s v=""/>
    <s v=""/>
    <s v="56///"/>
    <s v=""/>
    <s v=""/>
    <s v=""/>
    <s v="250"/>
    <s v="22597"/>
    <s v="72702"/>
    <s v="84530"/>
    <s v="0253"/>
    <s v="0213"/>
    <s v=""/>
    <x v="157"/>
    <s v="43063 22597 72702 10253 20213 39424 40037 84530 333 20250 59012 6998/ 84626 85358 555 00008 10001 ="/>
    <n v="250"/>
    <s v="sbs"/>
    <s v="16/08/2012 11:33:27 AM"/>
    <n v="2012"/>
    <x v="5"/>
    <x v="5"/>
    <n v="21.3"/>
    <s v=""/>
    <n v="25"/>
  </r>
  <r>
    <s v="06/06/2012"/>
    <s v="43063"/>
    <x v="0"/>
    <s v="25"/>
    <s v="21"/>
    <s v="10021"/>
    <s v="72162"/>
    <s v="58012"/>
    <s v="29"/>
    <s v="///"/>
    <s v=""/>
    <s v=""/>
    <s v="56///"/>
    <s v=""/>
    <s v=""/>
    <s v="288"/>
    <s v=""/>
    <s v="21597"/>
    <s v="72702"/>
    <s v="84530"/>
    <s v="0250"/>
    <s v="0213"/>
    <s v=""/>
    <x v="157"/>
    <s v="43063 21597 72702 10250 20213 39407 40021 72162 84530 333 10288 58012 6003/ 83626 85358 ="/>
    <m/>
    <s v="sbs"/>
    <s v="16/08/2012 11:33:27 AM"/>
    <n v="2012"/>
    <x v="5"/>
    <x v="5"/>
    <n v="21.3"/>
    <n v="28.8"/>
    <s v=""/>
  </r>
  <r>
    <s v="07/06/2012"/>
    <s v="43063"/>
    <x v="0"/>
    <s v="28"/>
    <s v="21"/>
    <s v="10021"/>
    <s v="70296"/>
    <s v="58005"/>
    <s v="34"/>
    <s v="///"/>
    <s v=""/>
    <s v=""/>
    <s v="56///"/>
    <s v=""/>
    <s v=""/>
    <s v="337"/>
    <s v=""/>
    <s v="21597"/>
    <s v="62905"/>
    <s v="86800"/>
    <s v="0280"/>
    <s v="0213"/>
    <s v=""/>
    <x v="158"/>
    <s v="43063 21597 62905 10280 20213 39412 40021 70296 86800 333 10337 58005 6006/ 82626 84828 ="/>
    <m/>
    <s v="sbs"/>
    <s v="16/08/2012 11:33:27 AM"/>
    <n v="2012"/>
    <x v="5"/>
    <x v="6"/>
    <n v="21.3"/>
    <n v="33.700000000000003"/>
    <s v=""/>
  </r>
  <r>
    <s v="07/06/2012"/>
    <s v="43063"/>
    <x v="1"/>
    <s v="25"/>
    <s v="20"/>
    <s v="10047"/>
    <s v="7////"/>
    <s v="58009"/>
    <s v="///"/>
    <s v="21"/>
    <s v=""/>
    <s v=""/>
    <s v="56///"/>
    <s v=""/>
    <s v=""/>
    <s v=""/>
    <s v="215"/>
    <s v="22597"/>
    <s v="72703"/>
    <s v="83530"/>
    <s v="0251"/>
    <s v="0199"/>
    <s v=""/>
    <x v="158"/>
    <s v="43063 22597 72703 10251 20199 39433 40047 83530 333 20215 58009 6004/ 83626 85358 555 00039 10005 ="/>
    <n v="215"/>
    <s v="sbs"/>
    <s v="16/08/2012 11:33:27 AM"/>
    <n v="2012"/>
    <x v="5"/>
    <x v="6"/>
    <n v="19.899999999999999"/>
    <s v=""/>
    <n v="21.5"/>
  </r>
  <r>
    <s v="08/06/2012"/>
    <s v="43063"/>
    <x v="1"/>
    <s v="26"/>
    <s v="21"/>
    <s v="10062"/>
    <s v="7////"/>
    <s v="58015"/>
    <s v="///"/>
    <s v="21"/>
    <s v=""/>
    <s v=""/>
    <s v="56///"/>
    <s v=""/>
    <s v=""/>
    <s v=""/>
    <s v="206"/>
    <s v="22597"/>
    <s v="62903"/>
    <s v="82530"/>
    <s v="0260"/>
    <s v="0207"/>
    <s v=""/>
    <x v="159"/>
    <s v="43063 22597 62903 10260 20207 39448 40062 82530 333 20206 58015 6006/ 82626 84356 555 00061 10011 ="/>
    <n v="206"/>
    <s v="sbs"/>
    <s v="16/08/2012 11:33:27 AM"/>
    <n v="2012"/>
    <x v="5"/>
    <x v="7"/>
    <n v="20.7"/>
    <s v=""/>
    <n v="20.6"/>
  </r>
  <r>
    <s v="08/06/2012"/>
    <s v="43063"/>
    <x v="0"/>
    <s v="30"/>
    <s v="19"/>
    <s v="10032"/>
    <s v="70296"/>
    <s v="58017"/>
    <s v="33"/>
    <s v="///"/>
    <s v=""/>
    <s v=""/>
    <s v="56///"/>
    <s v=""/>
    <s v=""/>
    <s v="328"/>
    <s v=""/>
    <s v="21597"/>
    <s v="72506"/>
    <s v="85830"/>
    <s v="0304"/>
    <s v="0195"/>
    <s v=""/>
    <x v="159"/>
    <s v="43063 21597 72506 10304 20195 39429 40032 70296 85830 333 10328 58017 6001/ 84626 83358 ="/>
    <m/>
    <s v="sbs"/>
    <s v="16/08/2012 11:33:27 AM"/>
    <n v="2012"/>
    <x v="5"/>
    <x v="7"/>
    <n v="19.5"/>
    <n v="32.799999999999997"/>
    <s v=""/>
  </r>
  <r>
    <s v="09/06/2012"/>
    <s v="43063"/>
    <x v="1"/>
    <s v="26"/>
    <s v="21"/>
    <s v="10075"/>
    <s v="7////"/>
    <s v="58014"/>
    <s v="///"/>
    <s v="23"/>
    <s v=""/>
    <s v=""/>
    <s v="56///"/>
    <s v=""/>
    <s v=""/>
    <s v=""/>
    <s v="234"/>
    <s v="22597"/>
    <s v="42703"/>
    <s v="82530"/>
    <s v="0264"/>
    <s v="0205"/>
    <s v=""/>
    <x v="160"/>
    <s v="43063 22597 42703 10264 20205 39462 40075 82530 333 20234 58014 6001/ 82626 555 00012 10012 ="/>
    <n v="234"/>
    <s v="sbs"/>
    <s v="16/08/2012 11:33:27 AM"/>
    <n v="2012"/>
    <x v="5"/>
    <x v="8"/>
    <n v="20.5"/>
    <s v=""/>
    <n v="23.4"/>
  </r>
  <r>
    <s v="09/06/2012"/>
    <s v="43063"/>
    <x v="0"/>
    <s v="29"/>
    <s v="20"/>
    <s v="10046"/>
    <s v="7////"/>
    <s v="58011"/>
    <s v="33"/>
    <s v="///"/>
    <s v=""/>
    <s v=""/>
    <s v="56///"/>
    <s v=""/>
    <s v=""/>
    <s v="330"/>
    <s v=""/>
    <s v="32597"/>
    <s v="72709"/>
    <s v="85830"/>
    <s v="0292"/>
    <s v="0201"/>
    <s v=""/>
    <x v="160"/>
    <s v="43063 32597 72709 10292 20201 40046 85830 333 10330 58011 ="/>
    <m/>
    <s v="sbs"/>
    <s v="16/08/2012 11:33:27 AM"/>
    <n v="2012"/>
    <x v="5"/>
    <x v="8"/>
    <n v="20.100000000000001"/>
    <n v="33"/>
    <s v=""/>
  </r>
  <r>
    <s v="10/06/2012"/>
    <s v="43063"/>
    <x v="0"/>
    <s v="27"/>
    <s v="21"/>
    <s v="10043"/>
    <s v="72162"/>
    <s v="59009"/>
    <s v="31"/>
    <s v="///"/>
    <s v=""/>
    <s v=""/>
    <s v="56///"/>
    <s v=""/>
    <s v=""/>
    <s v="311"/>
    <s v=""/>
    <s v="21597"/>
    <s v="70000"/>
    <s v="84830"/>
    <s v="0265"/>
    <s v="0215"/>
    <s v=""/>
    <x v="161"/>
    <s v="43063 21597 70000 10265 20215 39431 40043 72162 84830 333 10311 59009 6001/ 83626 85358 ="/>
    <m/>
    <s v="sbs"/>
    <s v="16/08/2012 11:33:27 AM"/>
    <n v="2012"/>
    <x v="5"/>
    <x v="9"/>
    <n v="21.5"/>
    <n v="31.1"/>
    <s v=""/>
  </r>
  <r>
    <s v="10/06/2012"/>
    <s v="43063"/>
    <x v="1"/>
    <s v="26"/>
    <s v="20"/>
    <s v="10070"/>
    <s v="7////"/>
    <s v="59009"/>
    <s v="///"/>
    <s v="23"/>
    <s v=""/>
    <s v=""/>
    <s v="56///"/>
    <s v=""/>
    <s v=""/>
    <s v=""/>
    <s v="235"/>
    <s v="32597"/>
    <s v="42907"/>
    <s v="82830"/>
    <s v="0260"/>
    <s v="0201"/>
    <s v=""/>
    <x v="161"/>
    <s v="43063 32597 42907 10260 20201 39454 40070 82830 333 20235 59009 81626 83358 555 10012 ="/>
    <n v="235"/>
    <s v="sbs"/>
    <s v="16/08/2012 11:33:27 AM"/>
    <n v="2012"/>
    <x v="5"/>
    <x v="9"/>
    <n v="20.100000000000001"/>
    <s v=""/>
    <n v="23.5"/>
  </r>
  <r>
    <s v="11/06/2012"/>
    <s v="43063"/>
    <x v="1"/>
    <s v="25"/>
    <s v="20"/>
    <s v="10044"/>
    <s v="7////"/>
    <s v="59025"/>
    <s v="///"/>
    <s v="22"/>
    <s v=""/>
    <s v=""/>
    <s v="56///"/>
    <s v=""/>
    <s v=""/>
    <s v=""/>
    <s v="218"/>
    <s v="22597"/>
    <s v="52703"/>
    <s v="83830"/>
    <s v="0250"/>
    <s v="0203"/>
    <s v=""/>
    <x v="162"/>
    <s v="43063 22597 52703 10250 20203 39429 40044 83830 333 20218 59025 6001/ 83626 83358 555 00011 10013 ="/>
    <n v="218"/>
    <s v="sbs"/>
    <s v="16/08/2012 11:33:27 AM"/>
    <n v="2012"/>
    <x v="5"/>
    <x v="10"/>
    <n v="20.3"/>
    <s v=""/>
    <n v="21.8"/>
  </r>
  <r>
    <s v="11/06/2012"/>
    <s v="43063"/>
    <x v="0"/>
    <s v="31"/>
    <s v="19"/>
    <s v="9997"/>
    <s v="7////"/>
    <s v="59035"/>
    <s v="32"/>
    <s v="///"/>
    <s v=""/>
    <s v=""/>
    <s v="56///"/>
    <s v=""/>
    <s v=""/>
    <s v="323"/>
    <s v=""/>
    <s v="32597"/>
    <s v="52504"/>
    <s v="82530"/>
    <s v="0310"/>
    <s v="0188"/>
    <s v=""/>
    <x v="162"/>
    <s v="43063 32597 52504 10310 20188 49997 82530 333 10323 59035 ="/>
    <m/>
    <s v="sbs"/>
    <s v="16/08/2012 11:33:27 AM"/>
    <n v="2012"/>
    <x v="5"/>
    <x v="10"/>
    <n v="18.8"/>
    <n v="32.299999999999997"/>
    <s v=""/>
  </r>
  <r>
    <s v="12/06/2012"/>
    <s v="43063"/>
    <x v="1"/>
    <s v="26"/>
    <s v="20"/>
    <s v="10019"/>
    <s v="7////"/>
    <s v="59022"/>
    <s v="///"/>
    <s v="21"/>
    <s v=""/>
    <s v=""/>
    <s v="566//"/>
    <s v=""/>
    <s v=""/>
    <s v=""/>
    <s v="211"/>
    <s v="32597"/>
    <s v="63203"/>
    <s v="86800"/>
    <s v="0260"/>
    <s v="0204"/>
    <s v=""/>
    <x v="163"/>
    <s v="43063 32597 63203 10260 20204 40019 86800 333 20211 59022 566// 82722 84626 555 00000 10013 ="/>
    <n v="211"/>
    <s v="sbs"/>
    <s v="16/08/2012 11:33:27 AM"/>
    <n v="2012"/>
    <x v="5"/>
    <x v="11"/>
    <n v="20.399999999999999"/>
    <s v=""/>
    <n v="21.1"/>
  </r>
  <r>
    <s v="12/06/2012"/>
    <s v="43063"/>
    <x v="0"/>
    <s v="31"/>
    <s v="20"/>
    <s v="9979"/>
    <s v="7////"/>
    <s v="59015"/>
    <s v="34"/>
    <s v="///"/>
    <s v=""/>
    <s v=""/>
    <s v="56///"/>
    <s v=""/>
    <s v=""/>
    <s v="341"/>
    <s v=""/>
    <s v="32597"/>
    <s v="52704"/>
    <s v="83830"/>
    <s v="0312"/>
    <s v="0201"/>
    <s v=""/>
    <x v="163"/>
    <s v="43063 32597 52704 10312 20201 39381 49979 83830 333 10341 59015 82626 ="/>
    <m/>
    <s v="sbs"/>
    <s v="16/08/2012 11:33:27 AM"/>
    <n v="2012"/>
    <x v="5"/>
    <x v="11"/>
    <n v="20.100000000000001"/>
    <n v="34.1"/>
    <s v=""/>
  </r>
  <r>
    <s v="13/06/2012"/>
    <s v="43063"/>
    <x v="0"/>
    <s v="32"/>
    <s v="19"/>
    <s v="9998"/>
    <s v="7////"/>
    <s v="58018"/>
    <s v="35"/>
    <s v="///"/>
    <s v=""/>
    <s v=""/>
    <s v="56///"/>
    <s v=""/>
    <s v=""/>
    <s v="350"/>
    <s v=""/>
    <s v="32597"/>
    <s v="32708"/>
    <s v="82830"/>
    <s v="0316"/>
    <s v="0192"/>
    <s v=""/>
    <x v="164"/>
    <s v="43063 32597 32708 10316 20192 49998 82830 333 10350 58018 ="/>
    <m/>
    <s v="sbs"/>
    <s v="16/08/2012 11:33:27 AM"/>
    <n v="2012"/>
    <x v="5"/>
    <x v="12"/>
    <n v="19.2"/>
    <n v="35"/>
    <s v=""/>
  </r>
  <r>
    <s v="13/06/2012"/>
    <s v="43063"/>
    <x v="1"/>
    <s v="28"/>
    <s v="20"/>
    <s v="10033"/>
    <s v="7////"/>
    <s v="58017"/>
    <s v="///"/>
    <s v="23"/>
    <s v=""/>
    <s v=""/>
    <s v="56///"/>
    <s v=""/>
    <s v=""/>
    <s v=""/>
    <s v="225"/>
    <s v="32597"/>
    <s v="52701"/>
    <s v="85500"/>
    <s v="0276"/>
    <s v="0202"/>
    <s v=""/>
    <x v="164"/>
    <s v="43063 32597 52701 10276 20202 40033 85500 333 20225 58017 85626 555 00000 10013 ="/>
    <n v="225"/>
    <s v="sbs"/>
    <s v="16/08/2012 11:33:27 AM"/>
    <n v="2012"/>
    <x v="5"/>
    <x v="12"/>
    <n v="20.2"/>
    <s v=""/>
    <n v="22.5"/>
  </r>
  <r>
    <s v="14/06/2012"/>
    <s v="43063"/>
    <x v="1"/>
    <s v="28"/>
    <s v="20"/>
    <s v="10051"/>
    <s v="7////"/>
    <s v="58017"/>
    <s v="///"/>
    <s v="23"/>
    <s v=""/>
    <s v=""/>
    <s v="56///"/>
    <s v=""/>
    <s v=""/>
    <s v=""/>
    <s v="232"/>
    <s v="32597"/>
    <s v="12705"/>
    <s v="81500"/>
    <s v="0276"/>
    <s v="0202"/>
    <s v=""/>
    <x v="165"/>
    <s v="43063 32597 12705 10276 20202 39441 40051 81500 333 20232 58017 81626 555 10013 ="/>
    <n v="232"/>
    <s v="sbs"/>
    <s v="16/08/2012 11:33:27 AM"/>
    <n v="2012"/>
    <x v="5"/>
    <x v="13"/>
    <n v="20.2"/>
    <s v=""/>
    <n v="23.2"/>
  </r>
  <r>
    <s v="14/06/2012"/>
    <s v="43063"/>
    <x v="0"/>
    <s v="33"/>
    <s v="21"/>
    <s v="10005"/>
    <s v="7////"/>
    <s v="58009"/>
    <s v="36"/>
    <s v="///"/>
    <s v=""/>
    <s v=""/>
    <s v="56///"/>
    <s v=""/>
    <s v=""/>
    <s v="360"/>
    <s v=""/>
    <s v="32597"/>
    <s v="52505"/>
    <s v="85800"/>
    <s v="0326"/>
    <s v="0208"/>
    <s v=""/>
    <x v="165"/>
    <s v="43063 32597 52505 10326 20208 39408 40005 85800 333 10360 58009 84626 ="/>
    <m/>
    <s v="sbs"/>
    <s v="16/08/2012 11:33:27 AM"/>
    <n v="2012"/>
    <x v="5"/>
    <x v="13"/>
    <n v="20.8"/>
    <n v="36"/>
    <s v=""/>
  </r>
  <r>
    <s v="15/06/2012"/>
    <s v="43063"/>
    <x v="1"/>
    <s v="28"/>
    <s v="21"/>
    <s v="10053"/>
    <s v="7////"/>
    <s v="58002"/>
    <s v="///"/>
    <s v="25"/>
    <s v=""/>
    <s v=""/>
    <s v="56///"/>
    <s v=""/>
    <s v=""/>
    <s v=""/>
    <s v="247"/>
    <s v="32597"/>
    <s v="52704"/>
    <s v="84501"/>
    <s v="0276"/>
    <s v="0206"/>
    <s v=""/>
    <x v="166"/>
    <s v="43063 32597 52704 10276 20206 39443 40053 84501 333 20247 58002 84626 555 10013 ="/>
    <n v="247"/>
    <s v="sbs"/>
    <s v="16/08/2012 11:33:27 AM"/>
    <n v="2012"/>
    <x v="5"/>
    <x v="14"/>
    <n v="20.6"/>
    <s v=""/>
    <n v="24.7"/>
  </r>
  <r>
    <s v="15/06/2012"/>
    <s v="43063"/>
    <x v="0"/>
    <s v="27"/>
    <s v="20"/>
    <s v="10035"/>
    <s v="70562"/>
    <s v="58016"/>
    <s v="33"/>
    <s v="///"/>
    <s v=""/>
    <s v=""/>
    <s v="56///"/>
    <s v=""/>
    <s v=""/>
    <s v="331"/>
    <s v=""/>
    <s v="21597"/>
    <s v="62505"/>
    <s v="86500"/>
    <s v="0270"/>
    <s v="0202"/>
    <s v=""/>
    <x v="166"/>
    <s v="43063 21597 62505 10270 20202 39424 40035 70562 86500 333 10331 58016 6998/ 86626 ="/>
    <m/>
    <s v="sbs"/>
    <s v="16/08/2012 11:33:27 AM"/>
    <n v="2012"/>
    <x v="5"/>
    <x v="14"/>
    <n v="20.2"/>
    <n v="33.1"/>
    <s v=""/>
  </r>
  <r>
    <s v="16/06/2012"/>
    <s v="43063"/>
    <x v="0"/>
    <s v="29"/>
    <s v="20"/>
    <s v="10016"/>
    <s v="7////"/>
    <s v="59014"/>
    <s v="33"/>
    <s v="///"/>
    <s v=""/>
    <s v=""/>
    <s v="56///"/>
    <s v=""/>
    <s v=""/>
    <s v="326"/>
    <s v=""/>
    <s v="32597"/>
    <s v="62711"/>
    <s v="85501"/>
    <s v="0286"/>
    <s v="0204"/>
    <s v=""/>
    <x v="167"/>
    <s v="43063 32597 62711 10286 20204 39410 40016 85501 333 10326 59014 ="/>
    <m/>
    <s v="sbs"/>
    <s v="16/08/2012 11:33:27 AM"/>
    <n v="2012"/>
    <x v="5"/>
    <x v="15"/>
    <n v="20.399999999999999"/>
    <n v="32.6"/>
    <s v=""/>
  </r>
  <r>
    <s v="16/06/2012"/>
    <s v="43063"/>
    <x v="1"/>
    <s v="28"/>
    <s v="21"/>
    <s v="10045"/>
    <s v="7////"/>
    <s v="59008"/>
    <s v="///"/>
    <s v="24"/>
    <s v=""/>
    <s v=""/>
    <s v="56///"/>
    <s v=""/>
    <s v=""/>
    <s v=""/>
    <s v="241"/>
    <s v="22597"/>
    <s v="42511"/>
    <s v="84500"/>
    <s v="0278"/>
    <s v="0208"/>
    <s v=""/>
    <x v="167"/>
    <s v="43063 22597 42511 10278 20208 39435 40045 84500 333 20241 59008 6998/ 84626 555 00008 10014 ="/>
    <n v="241"/>
    <s v="sbs"/>
    <s v="16/08/2012 11:33:27 AM"/>
    <n v="2012"/>
    <x v="5"/>
    <x v="15"/>
    <n v="20.8"/>
    <s v=""/>
    <n v="24.1"/>
  </r>
  <r>
    <s v="17/06/2012"/>
    <s v="43063"/>
    <x v="0"/>
    <s v="24"/>
    <s v="23"/>
    <s v="10020"/>
    <s v="76166"/>
    <s v="59006"/>
    <s v="28"/>
    <s v="///"/>
    <s v=""/>
    <s v=""/>
    <s v="56///"/>
    <s v=""/>
    <s v=""/>
    <s v="282"/>
    <s v=""/>
    <s v="21596"/>
    <s v="72702"/>
    <s v="87700"/>
    <s v="0240"/>
    <s v="0226"/>
    <s v=""/>
    <x v="168"/>
    <s v="43063 21596 72702 10240 20226 40020 76166 87700 333 10282 59006 6009/ 83720 84626 ="/>
    <m/>
    <s v="sbs"/>
    <s v="16/08/2012 11:33:27 AM"/>
    <n v="2012"/>
    <x v="5"/>
    <x v="16"/>
    <n v="22.6"/>
    <n v="28.2"/>
    <s v=""/>
  </r>
  <r>
    <s v="17/06/2012"/>
    <s v="43063"/>
    <x v="1"/>
    <s v="26"/>
    <s v="22"/>
    <s v="10032"/>
    <s v="70262"/>
    <s v="59016"/>
    <s v="///"/>
    <s v="23"/>
    <s v=""/>
    <s v=""/>
    <s v="56///"/>
    <s v=""/>
    <s v=""/>
    <s v=""/>
    <s v="235"/>
    <s v="21597"/>
    <s v="62702"/>
    <s v="86500"/>
    <s v="0260"/>
    <s v="0223"/>
    <s v=""/>
    <x v="168"/>
    <s v="43063 21597 62702 10260 20223 40032 70262 86500 333 20235 59016 6992/ 84626 555 00002 10014 ="/>
    <n v="235"/>
    <s v="sbs"/>
    <s v="16/08/2012 11:33:27 AM"/>
    <n v="2012"/>
    <x v="5"/>
    <x v="16"/>
    <n v="22.3"/>
    <s v=""/>
    <n v="23.5"/>
  </r>
  <r>
    <s v="18/06/2012"/>
    <s v="43063"/>
    <x v="0"/>
    <s v="28"/>
    <s v="21"/>
    <s v="10016"/>
    <s v="7////"/>
    <s v="58006"/>
    <s v="31"/>
    <s v="///"/>
    <s v=""/>
    <s v=""/>
    <s v="56///"/>
    <s v=""/>
    <s v=""/>
    <s v="314"/>
    <s v=""/>
    <s v="32597"/>
    <s v="72713"/>
    <s v="87700"/>
    <s v="0284"/>
    <s v="0208"/>
    <s v=""/>
    <x v="169"/>
    <s v="43063 32597 72713 10284 20208 40016 87700 333 10314 58006 ="/>
    <m/>
    <s v="sbs"/>
    <s v="16/08/2012 11:33:27 AM"/>
    <n v="2012"/>
    <x v="5"/>
    <x v="17"/>
    <n v="20.8"/>
    <n v="31.4"/>
    <s v=""/>
  </r>
  <r>
    <s v="18/06/2012"/>
    <s v="43063"/>
    <x v="1"/>
    <s v="26"/>
    <s v="22"/>
    <s v="10040"/>
    <s v="7////"/>
    <s v="58008"/>
    <s v="///"/>
    <s v="23"/>
    <s v=""/>
    <s v=""/>
    <s v="56///"/>
    <s v=""/>
    <s v=""/>
    <s v=""/>
    <s v="227"/>
    <s v="22596"/>
    <s v="82708"/>
    <s v="887//"/>
    <s v="0258"/>
    <s v="0223"/>
    <s v=""/>
    <x v="169"/>
    <s v="43063 22596 82708 10258 20223 40040 887// 333 20227 58008 6013/ 84720 86626 555 00130 10027 ="/>
    <n v="227"/>
    <s v="sbs"/>
    <s v="16/08/2012 11:33:27 AM"/>
    <n v="2012"/>
    <x v="5"/>
    <x v="17"/>
    <n v="22.3"/>
    <s v=""/>
    <n v="22.7"/>
  </r>
  <r>
    <s v="19/06/2012"/>
    <s v="43063"/>
    <x v="0"/>
    <s v="29"/>
    <s v="20"/>
    <s v="10025"/>
    <s v="7////"/>
    <s v="58010"/>
    <s v="33"/>
    <s v="///"/>
    <s v=""/>
    <s v=""/>
    <s v="56///"/>
    <s v=""/>
    <s v=""/>
    <s v="325"/>
    <s v=""/>
    <s v="32597"/>
    <s v="52712"/>
    <s v="85700"/>
    <s v="0294"/>
    <s v="0200"/>
    <s v=""/>
    <x v="170"/>
    <s v="43063 32597 52712 10294 20200 40025 85700 333 10325 58010 ="/>
    <m/>
    <s v="sbs"/>
    <s v="16/08/2012 11:33:27 AM"/>
    <n v="2012"/>
    <x v="5"/>
    <x v="18"/>
    <n v="20"/>
    <n v="32.5"/>
    <s v=""/>
  </r>
  <r>
    <s v="19/06/2012"/>
    <s v="43063"/>
    <x v="1"/>
    <s v="26"/>
    <s v="21"/>
    <s v="10047"/>
    <s v="7////"/>
    <s v="58008"/>
    <s v="///"/>
    <s v="24"/>
    <s v=""/>
    <s v=""/>
    <s v="56///"/>
    <s v=""/>
    <s v=""/>
    <s v=""/>
    <s v="244"/>
    <s v="32597"/>
    <s v="62506"/>
    <s v="81531"/>
    <s v="0264"/>
    <s v="0208"/>
    <s v=""/>
    <x v="170"/>
    <s v="43063 32597 62506 10264 20208 40047 81531 333 20244 58008 555 00000 10027 ="/>
    <n v="244"/>
    <s v="sbs"/>
    <s v="16/08/2012 11:33:27 AM"/>
    <n v="2012"/>
    <x v="5"/>
    <x v="18"/>
    <n v="20.8"/>
    <s v=""/>
    <n v="24.4"/>
  </r>
  <r>
    <s v="20/06/2012"/>
    <s v="43063"/>
    <x v="1"/>
    <s v="27"/>
    <s v="21"/>
    <s v="10055"/>
    <s v="7////"/>
    <s v="58010"/>
    <s v="///"/>
    <s v="24"/>
    <s v=""/>
    <s v=""/>
    <s v="56///"/>
    <s v=""/>
    <s v=""/>
    <s v=""/>
    <s v="238"/>
    <s v="32597"/>
    <s v="52711"/>
    <s v="83730"/>
    <s v="0272"/>
    <s v="0211"/>
    <s v=""/>
    <x v="171"/>
    <s v="43063 32597 52711 10272 20211 40055 83730 333 20238 58010 555 00000 10027 ="/>
    <n v="238"/>
    <s v="sbs"/>
    <s v="16/08/2012 11:33:27 AM"/>
    <n v="2012"/>
    <x v="5"/>
    <x v="19"/>
    <n v="21.1"/>
    <s v=""/>
    <n v="23.8"/>
  </r>
  <r>
    <s v="20/06/2012"/>
    <s v="43063"/>
    <x v="0"/>
    <s v="29"/>
    <s v="19"/>
    <s v="10026"/>
    <s v="7////"/>
    <s v="59001"/>
    <s v="33"/>
    <s v="///"/>
    <s v=""/>
    <s v=""/>
    <s v="56///"/>
    <s v=""/>
    <s v=""/>
    <s v="328"/>
    <s v=""/>
    <s v="32597"/>
    <s v="62715"/>
    <s v="84739"/>
    <s v="0286"/>
    <s v="0194"/>
    <s v=""/>
    <x v="171"/>
    <s v="43063 32597 62715 10286 20194 40026 84739 333 10328 59001 ="/>
    <m/>
    <s v="sbs"/>
    <s v="16/08/2012 11:33:27 AM"/>
    <n v="2012"/>
    <x v="5"/>
    <x v="19"/>
    <n v="19.399999999999999"/>
    <n v="32.799999999999997"/>
    <s v=""/>
  </r>
  <r>
    <s v="21/06/2012"/>
    <s v="43063"/>
    <x v="1"/>
    <s v="27"/>
    <s v="20"/>
    <s v="10044"/>
    <s v="7////"/>
    <s v="59011"/>
    <s v="///"/>
    <s v="24"/>
    <s v=""/>
    <s v=""/>
    <s v="56///"/>
    <s v=""/>
    <s v=""/>
    <s v=""/>
    <s v="243"/>
    <s v="32597"/>
    <s v="52716"/>
    <s v="84701"/>
    <s v="0272"/>
    <s v="0201"/>
    <s v=""/>
    <x v="172"/>
    <s v="43063 32597 52716 10272 20201 40044 84701 333 20243 59011 555 00000 10027 ="/>
    <n v="243"/>
    <s v="sbs"/>
    <s v="16/08/2012 11:33:27 AM"/>
    <n v="2012"/>
    <x v="5"/>
    <x v="20"/>
    <n v="20.100000000000001"/>
    <s v=""/>
    <n v="24.3"/>
  </r>
  <r>
    <s v="21/06/2012"/>
    <s v="43063"/>
    <x v="0"/>
    <s v="31"/>
    <s v="18"/>
    <s v="10024"/>
    <s v="7////"/>
    <s v="58004"/>
    <s v="33"/>
    <s v="///"/>
    <s v=""/>
    <s v=""/>
    <s v="56///"/>
    <s v=""/>
    <s v=""/>
    <s v="331"/>
    <s v=""/>
    <s v="32597"/>
    <s v="52714"/>
    <s v="84801"/>
    <s v="0312"/>
    <s v="0180"/>
    <s v=""/>
    <x v="172"/>
    <s v="43063 32597 52714 10312 20180 40024 84801 333 10331 58004 ="/>
    <m/>
    <s v="sbs"/>
    <s v="16/08/2012 11:33:27 AM"/>
    <n v="2012"/>
    <x v="5"/>
    <x v="20"/>
    <n v="18"/>
    <n v="33.1"/>
    <s v=""/>
  </r>
  <r>
    <s v="22/06/2012"/>
    <s v="43063"/>
    <x v="1"/>
    <s v="27"/>
    <s v="20"/>
    <s v="10055"/>
    <s v="7////"/>
    <s v="58011"/>
    <s v="///"/>
    <s v="23"/>
    <s v=""/>
    <s v=""/>
    <s v="56///"/>
    <s v=""/>
    <s v=""/>
    <s v=""/>
    <s v="234"/>
    <s v="32597"/>
    <s v="52713"/>
    <s v="84701"/>
    <s v="0272"/>
    <s v="0201"/>
    <s v=""/>
    <x v="173"/>
    <s v="43063 32597 52713 10272 20201 40055 84701 333 20234 58011 555 00000 10027 ="/>
    <n v="234"/>
    <s v="sbs"/>
    <s v="16/08/2012 11:33:27 AM"/>
    <n v="2012"/>
    <x v="5"/>
    <x v="21"/>
    <n v="20.100000000000001"/>
    <s v=""/>
    <n v="23.4"/>
  </r>
  <r>
    <s v="22/06/2012"/>
    <s v="43063"/>
    <x v="0"/>
    <s v="31"/>
    <s v="19"/>
    <s v="10031"/>
    <s v="7////"/>
    <s v="58005"/>
    <s v="33"/>
    <s v="///"/>
    <s v=""/>
    <s v=""/>
    <s v="56///"/>
    <s v=""/>
    <s v=""/>
    <s v="327"/>
    <s v=""/>
    <s v="32597"/>
    <s v="42712"/>
    <s v="83801"/>
    <s v="0306"/>
    <s v="0187"/>
    <s v=""/>
    <x v="173"/>
    <s v="43063 32597 42712 10306 20187 40031 83801 333 10327 58005 ="/>
    <m/>
    <s v="sbs"/>
    <s v="16/08/2012 11:33:27 AM"/>
    <n v="2012"/>
    <x v="5"/>
    <x v="21"/>
    <n v="18.7"/>
    <n v="32.700000000000003"/>
    <s v=""/>
  </r>
  <r>
    <s v="23/06/2012"/>
    <s v="43063"/>
    <x v="1"/>
    <s v="27"/>
    <s v="20"/>
    <s v="10049"/>
    <s v="7////"/>
    <s v="59008"/>
    <s v="///"/>
    <s v="23"/>
    <s v=""/>
    <s v=""/>
    <s v="56///"/>
    <s v=""/>
    <s v=""/>
    <s v=""/>
    <s v="235"/>
    <s v="32597"/>
    <s v="62703"/>
    <s v="86500"/>
    <s v="0268"/>
    <s v="0203"/>
    <s v=""/>
    <x v="174"/>
    <s v="43063 32597 62703 10268 20203 40049 86500 333 20235 59008 555 00000 10027 ="/>
    <n v="235"/>
    <s v="sbs"/>
    <s v="16/08/2012 11:33:27 AM"/>
    <n v="2012"/>
    <x v="5"/>
    <x v="22"/>
    <n v="20.3"/>
    <s v=""/>
    <n v="23.5"/>
  </r>
  <r>
    <s v="23/06/2012"/>
    <s v="43063"/>
    <x v="0"/>
    <s v="30"/>
    <s v="19"/>
    <s v="10021"/>
    <s v="7////"/>
    <s v="59012"/>
    <s v="33"/>
    <s v="///"/>
    <s v=""/>
    <s v=""/>
    <s v="56///"/>
    <s v=""/>
    <s v=""/>
    <s v="331"/>
    <s v=""/>
    <s v="32597"/>
    <s v="72711"/>
    <s v="83501"/>
    <s v="0298"/>
    <s v="0191"/>
    <s v=""/>
    <x v="174"/>
    <s v="43063 32597 72711 10298 20191 40021 83501 333 10331 59012 ="/>
    <m/>
    <s v="sbs"/>
    <s v="16/08/2012 11:33:27 AM"/>
    <n v="2012"/>
    <x v="5"/>
    <x v="22"/>
    <n v="19.100000000000001"/>
    <n v="33.1"/>
    <s v=""/>
  </r>
  <r>
    <s v="24/06/2012"/>
    <s v="43063"/>
    <x v="0"/>
    <s v="27"/>
    <s v="22"/>
    <s v="10022"/>
    <s v="70262"/>
    <s v="59005"/>
    <s v="32"/>
    <s v="///"/>
    <s v=""/>
    <s v=""/>
    <s v="56///"/>
    <s v=""/>
    <s v=""/>
    <s v="316"/>
    <s v=""/>
    <s v="21597"/>
    <s v="72503"/>
    <s v="87700"/>
    <s v="0266"/>
    <s v="0220"/>
    <s v=""/>
    <x v="175"/>
    <s v="43063 21597 72503 10266 20220 40022 70262 87700 333 10316 59005 6003/ ="/>
    <m/>
    <s v="sbs"/>
    <s v="16/08/2012 11:33:27 AM"/>
    <n v="2012"/>
    <x v="5"/>
    <x v="23"/>
    <n v="22"/>
    <n v="31.6"/>
    <s v=""/>
  </r>
  <r>
    <s v="24/06/2012"/>
    <s v="43063"/>
    <x v="1"/>
    <s v="25"/>
    <s v="21"/>
    <s v="10042"/>
    <s v="76062"/>
    <s v="59010"/>
    <s v="///"/>
    <s v="24"/>
    <s v=""/>
    <s v=""/>
    <s v="56///"/>
    <s v=""/>
    <s v=""/>
    <s v=""/>
    <s v="238"/>
    <s v="21597"/>
    <s v="72703"/>
    <s v="87700"/>
    <s v="0246"/>
    <s v="0214"/>
    <s v=""/>
    <x v="175"/>
    <s v="43063 21597 72703 10246 20214 40042 76062 87700 333 20238 59010 6990/ 555 00000 10027 ="/>
    <n v="238"/>
    <s v="sbs"/>
    <s v="16/08/2012 11:33:27 AM"/>
    <n v="2012"/>
    <x v="5"/>
    <x v="23"/>
    <n v="21.4"/>
    <s v=""/>
    <n v="23.8"/>
  </r>
  <r>
    <s v="25/06/2012"/>
    <s v="43063"/>
    <x v="0"/>
    <s v="29"/>
    <s v="21"/>
    <s v="10037"/>
    <s v="7////"/>
    <s v="58020"/>
    <s v="32"/>
    <s v="///"/>
    <s v=""/>
    <s v=""/>
    <s v="56///"/>
    <s v=""/>
    <s v=""/>
    <s v="316"/>
    <s v=""/>
    <s v="22597"/>
    <s v="52709"/>
    <s v="83830"/>
    <s v="0294"/>
    <s v="0207"/>
    <s v=""/>
    <x v="176"/>
    <s v="43063 22597 52709 10294 20207 40037 83830 333 10316 58020 ="/>
    <m/>
    <s v="sbs"/>
    <s v="16/08/2012 11:33:27 AM"/>
    <n v="2012"/>
    <x v="5"/>
    <x v="24"/>
    <n v="20.7"/>
    <n v="31.6"/>
    <s v=""/>
  </r>
  <r>
    <s v="25/06/2012"/>
    <s v="43063"/>
    <x v="1"/>
    <s v="25"/>
    <s v="23"/>
    <s v="10062"/>
    <s v="72065"/>
    <s v="58018"/>
    <s v="///"/>
    <s v="23"/>
    <s v=""/>
    <s v=""/>
    <s v="56///"/>
    <s v=""/>
    <s v=""/>
    <s v=""/>
    <s v="229"/>
    <s v="21597"/>
    <s v="72702"/>
    <s v="87700"/>
    <s v="0250"/>
    <s v="0230"/>
    <s v=""/>
    <x v="176"/>
    <s v="43063 21597 72702 10250 20230 40062 72065 87700 333 20229 58018 6007/ 82720 85626 555 00068 10034 ="/>
    <n v="229"/>
    <s v="sbs"/>
    <s v="16/08/2012 11:33:27 AM"/>
    <n v="2012"/>
    <x v="5"/>
    <x v="24"/>
    <n v="23"/>
    <s v=""/>
    <n v="22.9"/>
  </r>
  <r>
    <s v="26/06/2012"/>
    <s v="43063"/>
    <x v="0"/>
    <s v="27"/>
    <s v="20"/>
    <s v="10046"/>
    <s v="7////"/>
    <s v="58005"/>
    <s v="32"/>
    <s v="///"/>
    <s v=""/>
    <s v=""/>
    <s v="56///"/>
    <s v=""/>
    <s v=""/>
    <s v="321"/>
    <s v=""/>
    <s v="32597"/>
    <s v="62706"/>
    <s v="84530"/>
    <s v="0274"/>
    <s v="0203"/>
    <s v=""/>
    <x v="177"/>
    <s v="43063 32597 62706 10274 20203 40046 84530 333 10321 58005 ="/>
    <m/>
    <s v="sbs"/>
    <s v="16/08/2012 11:33:27 AM"/>
    <n v="2012"/>
    <x v="5"/>
    <x v="25"/>
    <n v="20.3"/>
    <n v="32.1"/>
    <s v=""/>
  </r>
  <r>
    <s v="26/06/2012"/>
    <s v="43063"/>
    <x v="1"/>
    <s v="27"/>
    <s v="22"/>
    <s v="10065"/>
    <s v="7////"/>
    <s v="58007"/>
    <s v="///"/>
    <s v="24"/>
    <s v=""/>
    <s v=""/>
    <s v="56///"/>
    <s v=""/>
    <s v=""/>
    <s v=""/>
    <s v="236"/>
    <s v="22597"/>
    <s v="62705"/>
    <s v="86800"/>
    <s v="0266"/>
    <s v="0217"/>
    <s v=""/>
    <x v="177"/>
    <s v="43063 22597 62705 10266 20217 40065 86800 333 20236 58007 6992/ 83626 83828 555 00002 10034 ="/>
    <n v="236"/>
    <s v="sbs"/>
    <s v="16/08/2012 11:33:27 AM"/>
    <n v="2012"/>
    <x v="5"/>
    <x v="25"/>
    <n v="21.7"/>
    <s v=""/>
    <n v="23.6"/>
  </r>
  <r>
    <s v="27/06/2012"/>
    <s v="43063"/>
    <x v="1"/>
    <s v="25"/>
    <s v="22"/>
    <s v="10067"/>
    <s v="70262"/>
    <s v="59002"/>
    <s v="///"/>
    <s v="23"/>
    <s v=""/>
    <s v=""/>
    <s v="56///"/>
    <s v=""/>
    <s v=""/>
    <s v=""/>
    <s v="234"/>
    <s v="21597"/>
    <s v="72703"/>
    <s v="84530"/>
    <s v="0248"/>
    <s v="0222"/>
    <s v=""/>
    <x v="178"/>
    <s v="43063 21597 72703 10248 20222 40067 70262 84530 333 20234 59002 6994/ 555 00004 10035 ="/>
    <n v="234"/>
    <s v="sbs"/>
    <s v="16/08/2012 11:33:27 AM"/>
    <n v="2012"/>
    <x v="5"/>
    <x v="26"/>
    <n v="22.2"/>
    <s v=""/>
    <n v="23.4"/>
  </r>
  <r>
    <s v="27/06/2012"/>
    <s v="43063"/>
    <x v="0"/>
    <s v="28"/>
    <s v="20"/>
    <s v="10043"/>
    <s v="7////"/>
    <s v="59003"/>
    <s v="31"/>
    <s v="///"/>
    <s v=""/>
    <s v=""/>
    <s v="56///"/>
    <s v=""/>
    <s v=""/>
    <s v="311"/>
    <s v=""/>
    <s v="22597"/>
    <s v="62508"/>
    <s v="82531"/>
    <s v="0276"/>
    <s v="0199"/>
    <s v=""/>
    <x v="178"/>
    <s v="43063 22597 62508 10276 20199 40043 82531 333 10311 59003 6990/ 82626 85358 ="/>
    <m/>
    <s v="sbs"/>
    <s v="16/08/2012 11:33:27 AM"/>
    <n v="2012"/>
    <x v="5"/>
    <x v="26"/>
    <n v="19.899999999999999"/>
    <n v="31.1"/>
    <s v=""/>
  </r>
  <r>
    <s v="28/06/2012"/>
    <s v="43063"/>
    <x v="0"/>
    <s v="27"/>
    <s v="20"/>
    <s v="10035"/>
    <s v="7////"/>
    <s v="59009"/>
    <s v="32"/>
    <s v="///"/>
    <s v=""/>
    <s v=""/>
    <s v="56600"/>
    <s v=""/>
    <s v=""/>
    <s v="318"/>
    <s v=""/>
    <s v="32597"/>
    <s v="72709"/>
    <s v="84730"/>
    <s v="0270"/>
    <s v="0202"/>
    <s v=""/>
    <x v="179"/>
    <s v="43063 32597 72709 10270 20202 39424 40035 84730 333 10318 56600 59009 82722 83626 85358 ="/>
    <m/>
    <s v="sbs"/>
    <s v="16/08/2012 11:33:27 AM"/>
    <n v="2012"/>
    <x v="5"/>
    <x v="27"/>
    <n v="20.2"/>
    <n v="31.8"/>
    <s v=""/>
  </r>
  <r>
    <s v="28/06/2012"/>
    <s v="43063"/>
    <x v="1"/>
    <s v="27"/>
    <s v="21"/>
    <s v="10058"/>
    <s v="7////"/>
    <s v="59004"/>
    <s v="///"/>
    <s v="23"/>
    <s v=""/>
    <s v=""/>
    <s v="56///"/>
    <s v=""/>
    <s v=""/>
    <s v=""/>
    <s v="230"/>
    <s v="22597"/>
    <s v="72711"/>
    <s v="87700"/>
    <s v="0266"/>
    <s v="0207"/>
    <s v=""/>
    <x v="179"/>
    <s v="43063 22597 72711 10266 20207 40058 87700 333 20230 59004 6990/ 83722 85626 555 00000 10035 ="/>
    <n v="230"/>
    <s v="sbs"/>
    <s v="16/08/2012 11:33:27 AM"/>
    <n v="2012"/>
    <x v="5"/>
    <x v="27"/>
    <n v="20.7"/>
    <s v=""/>
    <n v="23"/>
  </r>
  <r>
    <s v="29/06/2012"/>
    <s v="43063"/>
    <x v="0"/>
    <s v="29"/>
    <s v="20"/>
    <s v="10018"/>
    <s v="7////"/>
    <s v="59013"/>
    <s v="32"/>
    <s v="///"/>
    <s v=""/>
    <s v=""/>
    <s v="56///"/>
    <s v=""/>
    <s v=""/>
    <s v="324"/>
    <s v=""/>
    <s v="32597"/>
    <s v="62708"/>
    <s v="85830"/>
    <s v="0288"/>
    <s v="0203"/>
    <s v=""/>
    <x v="180"/>
    <s v="43063 32597 62708 10288 20203 39411 40018 85830 333 10324 59013 84626 ="/>
    <m/>
    <s v="sbs"/>
    <s v="16/08/2012 11:33:27 AM"/>
    <n v="2012"/>
    <x v="5"/>
    <x v="28"/>
    <n v="20.3"/>
    <n v="32.4"/>
    <s v=""/>
  </r>
  <r>
    <s v="29/06/2012"/>
    <s v="43063"/>
    <x v="1"/>
    <s v="26"/>
    <s v="21"/>
    <s v="10056"/>
    <s v="7////"/>
    <s v="59002"/>
    <s v="///"/>
    <s v="23"/>
    <s v=""/>
    <s v=""/>
    <s v="56699"/>
    <s v=""/>
    <s v=""/>
    <s v=""/>
    <s v="234"/>
    <s v="32597"/>
    <s v="72701"/>
    <s v="85731"/>
    <s v="0262"/>
    <s v="0206"/>
    <s v=""/>
    <x v="180"/>
    <s v="43063 32597 72701 10262 20206 39444 40056 85731 333 20234 56699 59002 82722 83626 555 00000 10035 ="/>
    <n v="234"/>
    <s v="sbs"/>
    <s v="16/08/2012 11:33:27 AM"/>
    <n v="2012"/>
    <x v="5"/>
    <x v="28"/>
    <n v="20.6"/>
    <s v=""/>
    <n v="23.4"/>
  </r>
  <r>
    <s v="30/06/2012"/>
    <s v="43063"/>
    <x v="0"/>
    <s v="30"/>
    <s v="19"/>
    <s v="9996"/>
    <s v="7////"/>
    <s v="59018"/>
    <s v="33"/>
    <s v="///"/>
    <s v=""/>
    <s v=""/>
    <s v="56///"/>
    <s v=""/>
    <s v=""/>
    <s v="332"/>
    <s v=""/>
    <s v="32597"/>
    <s v="42710"/>
    <s v="83801"/>
    <s v="0298"/>
    <s v="0187"/>
    <s v=""/>
    <x v="181"/>
    <s v="43063 32597 42710 10298 20187 39393 49996 83801 333 10332 59018 82626 ="/>
    <m/>
    <s v="sbs"/>
    <s v="14/09/2012 12:22:44 PM"/>
    <n v="2012"/>
    <x v="5"/>
    <x v="29"/>
    <n v="18.7"/>
    <n v="33.200000000000003"/>
    <s v=""/>
  </r>
  <r>
    <s v="30/06/2012"/>
    <s v="43063"/>
    <x v="1"/>
    <s v="27"/>
    <s v="19"/>
    <s v="10037"/>
    <s v="7////"/>
    <s v="59018"/>
    <s v="///"/>
    <s v="23"/>
    <s v=""/>
    <s v=""/>
    <s v="56///"/>
    <s v=""/>
    <s v=""/>
    <s v=""/>
    <s v="227"/>
    <s v="32597"/>
    <s v="43603"/>
    <s v="82509"/>
    <s v="0268"/>
    <s v="0187"/>
    <s v=""/>
    <x v="181"/>
    <s v="43063 32597 43603 10268 20187 40037 82509 333 20227 59018 555 00000 10035 ="/>
    <n v="227"/>
    <s v="sbs"/>
    <s v="16/08/2012 11:33:27 AM"/>
    <n v="2012"/>
    <x v="5"/>
    <x v="29"/>
    <n v="18.7"/>
    <s v=""/>
    <n v="22.7"/>
  </r>
  <r>
    <s v="01/07/2012"/>
    <s v="43063"/>
    <x v="0"/>
    <s v="28"/>
    <s v="22"/>
    <s v="9977"/>
    <s v="7////"/>
    <s v="59020"/>
    <s v="33"/>
    <s v="///"/>
    <s v=""/>
    <s v=""/>
    <s v="56///"/>
    <s v=""/>
    <s v=""/>
    <s v="330"/>
    <s v=""/>
    <s v="32597"/>
    <s v="72704"/>
    <s v="85831"/>
    <s v="0283"/>
    <s v="0220"/>
    <s v=""/>
    <x v="182"/>
    <s v="43063 32597 72704 10283 20220 39373 49977 85831 333 10330 59020 84626 ="/>
    <m/>
    <s v="sbs"/>
    <s v="14/09/2012 12:22:44 PM"/>
    <n v="2012"/>
    <x v="6"/>
    <x v="0"/>
    <n v="22"/>
    <n v="33"/>
    <s v=""/>
  </r>
  <r>
    <s v="01/07/2012"/>
    <s v="43063"/>
    <x v="1"/>
    <s v="26"/>
    <s v="20"/>
    <s v="10015"/>
    <s v="7////"/>
    <s v="59023"/>
    <s v="///"/>
    <s v="24"/>
    <s v=""/>
    <s v=""/>
    <s v="56///"/>
    <s v=""/>
    <s v=""/>
    <s v=""/>
    <s v="236"/>
    <s v="32597"/>
    <s v="72705"/>
    <s v="82531"/>
    <s v="0256"/>
    <s v="0196"/>
    <s v=""/>
    <x v="182"/>
    <s v="43063 32597 72705 10256 20196 39403 40015 82531 333 20236 59023 82626 85070 555 00000 10035 ="/>
    <n v="236"/>
    <s v="sbs"/>
    <s v="14/09/2012 12:22:44 PM"/>
    <n v="2012"/>
    <x v="6"/>
    <x v="0"/>
    <n v="19.600000000000001"/>
    <s v=""/>
    <n v="23.6"/>
  </r>
  <r>
    <s v="02/07/2012"/>
    <s v="43063"/>
    <x v="1"/>
    <s v="26"/>
    <s v="22"/>
    <s v="9994"/>
    <s v="7////"/>
    <s v="59019"/>
    <s v="///"/>
    <s v="22"/>
    <s v=""/>
    <s v=""/>
    <s v="56///"/>
    <s v=""/>
    <s v=""/>
    <s v=""/>
    <s v="224"/>
    <s v="22597"/>
    <s v="70000"/>
    <s v="83531"/>
    <s v="0256"/>
    <s v="0224"/>
    <s v=""/>
    <x v="183"/>
    <s v="43063 22597 70000 10256 20224 39384 49994 83531 333 20224 59019 6003/ 83626 84356 555 00027 10037 ="/>
    <n v="224"/>
    <s v="sbs"/>
    <s v="14/09/2012 12:22:44 PM"/>
    <n v="2012"/>
    <x v="6"/>
    <x v="1"/>
    <n v="22.4"/>
    <s v=""/>
    <n v="22.4"/>
  </r>
  <r>
    <s v="02/07/2012"/>
    <s v="43063"/>
    <x v="0"/>
    <s v="32"/>
    <s v="21"/>
    <s v="9951"/>
    <s v="7////"/>
    <s v="59019"/>
    <s v="33"/>
    <s v="///"/>
    <s v=""/>
    <s v=""/>
    <s v="56///"/>
    <s v=""/>
    <s v=""/>
    <s v="334"/>
    <s v=""/>
    <s v="32597"/>
    <s v="61102"/>
    <s v="85801"/>
    <s v="0316"/>
    <s v="0206"/>
    <s v=""/>
    <x v="183"/>
    <s v="43063 32597 61102 10316 20206 39354 49951 85801 333 10334 59019 84626 ="/>
    <m/>
    <s v="sbs"/>
    <s v="14/09/2012 12:22:44 PM"/>
    <n v="2012"/>
    <x v="6"/>
    <x v="1"/>
    <n v="20.6"/>
    <n v="33.4"/>
    <s v=""/>
  </r>
  <r>
    <s v="03/07/2012"/>
    <s v="43063"/>
    <x v="1"/>
    <s v="26"/>
    <s v="21"/>
    <s v="9990"/>
    <s v="7////"/>
    <s v="59004"/>
    <s v="///"/>
    <s v="23"/>
    <s v=""/>
    <s v=""/>
    <s v="56///"/>
    <s v=""/>
    <s v=""/>
    <s v=""/>
    <s v="232"/>
    <s v="32597"/>
    <s v="72703"/>
    <s v="83531"/>
    <s v="0258"/>
    <s v="0214"/>
    <s v=""/>
    <x v="184"/>
    <s v="43063 32597 72703 10258 20214 39380 49990 83531 333 20232 59004 83626 85070 555 00000 10037 ="/>
    <n v="232"/>
    <s v="sbs"/>
    <s v="14/09/2012 12:22:44 PM"/>
    <n v="2012"/>
    <x v="6"/>
    <x v="2"/>
    <n v="21.4"/>
    <s v=""/>
    <n v="23.2"/>
  </r>
  <r>
    <s v="03/07/2012"/>
    <s v="43063"/>
    <x v="0"/>
    <s v="27"/>
    <s v="20"/>
    <s v="9970"/>
    <s v="7////"/>
    <s v="58011"/>
    <s v="32"/>
    <s v="///"/>
    <s v=""/>
    <s v=""/>
    <s v="56600"/>
    <s v=""/>
    <s v=""/>
    <s v="320"/>
    <s v=""/>
    <s v="32597"/>
    <s v="72705"/>
    <s v="87700"/>
    <s v="0274"/>
    <s v="0203"/>
    <s v=""/>
    <x v="184"/>
    <s v="43063 32597 72705 10274 20203 39365 49970 87700 333 10320 56600 58011 82722 85626 ="/>
    <m/>
    <s v="sbs"/>
    <s v="14/09/2012 12:22:44 PM"/>
    <n v="2012"/>
    <x v="6"/>
    <x v="2"/>
    <n v="20.3"/>
    <n v="32"/>
    <s v=""/>
  </r>
  <r>
    <s v="04/07/2012"/>
    <s v="43063"/>
    <x v="1"/>
    <s v="24"/>
    <s v="23"/>
    <s v="9999"/>
    <s v="75062"/>
    <s v="58004"/>
    <s v="///"/>
    <s v="23"/>
    <s v=""/>
    <s v=""/>
    <s v="56600"/>
    <s v=""/>
    <s v=""/>
    <s v=""/>
    <s v="231"/>
    <s v="21597"/>
    <s v="72703"/>
    <s v="87700"/>
    <s v="0240"/>
    <s v="0226"/>
    <s v=""/>
    <x v="185"/>
    <s v="43063 21597 72703 10240 20226 39384 49999 75062 87700 333 20231 56600 58004 6004/ 84720 83626 555 00037 10041 ="/>
    <n v="231"/>
    <s v="sbs"/>
    <s v="14/09/2012 12:22:44 PM"/>
    <n v="2012"/>
    <x v="6"/>
    <x v="3"/>
    <n v="22.6"/>
    <s v=""/>
    <n v="23.1"/>
  </r>
  <r>
    <s v="04/07/2012"/>
    <s v="43063"/>
    <x v="0"/>
    <s v="25"/>
    <s v="20"/>
    <s v="9982"/>
    <s v="70262"/>
    <s v="58005"/>
    <s v="28"/>
    <s v="///"/>
    <s v=""/>
    <s v=""/>
    <s v="56///"/>
    <s v=""/>
    <s v=""/>
    <s v="282"/>
    <s v=""/>
    <s v="21597"/>
    <s v="72504"/>
    <s v="85731"/>
    <s v="0254"/>
    <s v="0203"/>
    <s v=""/>
    <x v="185"/>
    <s v="43063 21597 72504 10254 20203 39372 49982 70262 85731 333 10282 58005 6990/ 81722 84356 ="/>
    <m/>
    <s v="sbs"/>
    <s v="14/09/2012 12:22:44 PM"/>
    <n v="2012"/>
    <x v="6"/>
    <x v="3"/>
    <n v="20.3"/>
    <n v="28.2"/>
    <s v=""/>
  </r>
  <r>
    <s v="05/07/2012"/>
    <s v="43063"/>
    <x v="1"/>
    <s v="25"/>
    <s v="21"/>
    <s v="10022"/>
    <s v="76062"/>
    <s v="58024"/>
    <s v="///"/>
    <s v="22"/>
    <s v=""/>
    <s v=""/>
    <s v="56699"/>
    <s v=""/>
    <s v=""/>
    <s v=""/>
    <s v="219"/>
    <s v="21597"/>
    <s v="72503"/>
    <s v="85731"/>
    <s v="0246"/>
    <s v="0215"/>
    <s v=""/>
    <x v="186"/>
    <s v="43063 21597 72503 10246 20215 39408 40022 76062 85731 333 20219 56699 58024 6993/ 81720 85626 555 00003 10041 ="/>
    <n v="219"/>
    <s v="sbs"/>
    <s v="14/09/2012 12:22:44 PM"/>
    <n v="2012"/>
    <x v="6"/>
    <x v="4"/>
    <n v="21.5"/>
    <s v=""/>
    <n v="21.9"/>
  </r>
  <r>
    <s v="05/07/2012"/>
    <s v="43063"/>
    <x v="0"/>
    <s v="28"/>
    <s v="20"/>
    <s v="10007"/>
    <s v="70262"/>
    <s v="58028"/>
    <s v="30"/>
    <s v="///"/>
    <s v=""/>
    <s v=""/>
    <s v="56600"/>
    <s v=""/>
    <s v=""/>
    <s v="302"/>
    <s v=""/>
    <s v="21597"/>
    <s v="52707"/>
    <s v="84701"/>
    <s v="0280"/>
    <s v="0200"/>
    <s v=""/>
    <x v="186"/>
    <s v="43063 21597 52707 10280 20200 39400 40007 70262 84701 333 10302 56600 58028 6992/ 82722 83626 ="/>
    <m/>
    <s v="sbs"/>
    <s v="14/09/2012 12:22:44 PM"/>
    <n v="2012"/>
    <x v="6"/>
    <x v="4"/>
    <n v="20"/>
    <n v="30.2"/>
    <s v=""/>
  </r>
  <r>
    <s v="06/07/2012"/>
    <s v="43063"/>
    <x v="1"/>
    <s v="24"/>
    <s v="23"/>
    <s v="10040"/>
    <s v="72162"/>
    <s v="58015"/>
    <s v="///"/>
    <s v="22"/>
    <s v=""/>
    <s v=""/>
    <s v="56600"/>
    <s v=""/>
    <s v=""/>
    <s v=""/>
    <s v="222"/>
    <s v="21597"/>
    <s v="62702"/>
    <s v="86700"/>
    <s v="0240"/>
    <s v="0234"/>
    <s v=""/>
    <x v="187"/>
    <s v="43063 21597 62702 10240 20234 39423 40040 72162 86700 333 20222 56600 58015 6999/ 83722 85626 555 00009 10042 ="/>
    <n v="222"/>
    <s v="sbs"/>
    <s v="14/09/2012 12:22:44 PM"/>
    <n v="2012"/>
    <x v="6"/>
    <x v="5"/>
    <n v="23.4"/>
    <s v=""/>
    <n v="22.2"/>
  </r>
  <r>
    <s v="06/07/2012"/>
    <s v="43063"/>
    <x v="0"/>
    <s v="25"/>
    <s v="22"/>
    <s v="10020"/>
    <s v="75065"/>
    <s v="58008"/>
    <s v="29"/>
    <s v="///"/>
    <s v=""/>
    <s v=""/>
    <s v="5669/"/>
    <s v=""/>
    <s v=""/>
    <s v="295"/>
    <s v=""/>
    <s v="21596"/>
    <s v="82501"/>
    <s v="8572/"/>
    <s v="0254"/>
    <s v="0219"/>
    <s v=""/>
    <x v="187"/>
    <s v="43063 21596 82501 10254 20219 39408 40020 75065 8572/ 333 10295 5669/ 58008 6006/ 84720 85450 ="/>
    <m/>
    <s v="sbs"/>
    <s v="14/09/2012 12:22:44 PM"/>
    <n v="2012"/>
    <x v="6"/>
    <x v="5"/>
    <n v="21.9"/>
    <n v="29.5"/>
    <s v=""/>
  </r>
  <r>
    <s v="07/07/2012"/>
    <s v="43063"/>
    <x v="1"/>
    <s v="26"/>
    <s v="21"/>
    <s v="10026"/>
    <s v="7////"/>
    <s v="59010"/>
    <s v="///"/>
    <s v="23"/>
    <s v=""/>
    <s v=""/>
    <s v="56600"/>
    <s v=""/>
    <s v=""/>
    <s v=""/>
    <s v="230"/>
    <s v="22597"/>
    <s v="72704"/>
    <s v="87700"/>
    <s v="0260"/>
    <s v="0213"/>
    <s v=""/>
    <x v="188"/>
    <s v="43063 22597 72704 10260 20213 39413 40026 87700 333 20230 56600 59010 6006/ 83722 85626 555 00057 10048 ="/>
    <n v="230"/>
    <s v="sbs"/>
    <s v="14/09/2012 12:22:44 PM"/>
    <n v="2012"/>
    <x v="6"/>
    <x v="6"/>
    <n v="21.3"/>
    <s v=""/>
    <n v="23"/>
  </r>
  <r>
    <s v="07/07/2012"/>
    <s v="43063"/>
    <x v="0"/>
    <s v="27"/>
    <s v="22"/>
    <s v="10009"/>
    <s v="72165"/>
    <s v="59009"/>
    <s v="29"/>
    <s v="///"/>
    <s v=""/>
    <s v=""/>
    <s v="56690"/>
    <s v=""/>
    <s v=""/>
    <s v="293"/>
    <s v=""/>
    <s v="21597"/>
    <s v="72704"/>
    <s v="85730"/>
    <s v="0266"/>
    <s v="0220"/>
    <s v=""/>
    <x v="188"/>
    <s v="43063 21597 72704 10266 20220 39399 40009 72165 85730 333 10293 56690 59009 6002/ 82722 83626 85358 ="/>
    <m/>
    <s v="sbs"/>
    <s v="14/09/2012 12:22:44 PM"/>
    <n v="2012"/>
    <x v="6"/>
    <x v="6"/>
    <n v="22"/>
    <n v="29.3"/>
    <s v=""/>
  </r>
  <r>
    <s v="08/07/2012"/>
    <s v="43063"/>
    <x v="0"/>
    <s v="25"/>
    <s v="21"/>
    <s v="10014"/>
    <s v="72122"/>
    <s v="58003"/>
    <s v="30"/>
    <s v="///"/>
    <s v=""/>
    <s v=""/>
    <s v="56699"/>
    <s v=""/>
    <s v=""/>
    <s v="298"/>
    <s v=""/>
    <s v="21597"/>
    <s v="72503"/>
    <s v="85731"/>
    <s v="0255"/>
    <s v="0209"/>
    <s v=""/>
    <x v="189"/>
    <s v="43063 21597 72503 10255 20209 39402 40014 72122 85731 333 10298 56699 58003 6997/ 82720 85626 ="/>
    <m/>
    <s v="sbs"/>
    <s v="14/09/2012 12:22:44 PM"/>
    <n v="2012"/>
    <x v="6"/>
    <x v="7"/>
    <n v="20.9"/>
    <n v="29.8"/>
    <s v=""/>
  </r>
  <r>
    <s v="08/07/2012"/>
    <s v="43063"/>
    <x v="1"/>
    <s v="27"/>
    <s v="21"/>
    <s v="10014"/>
    <s v="7////"/>
    <s v="59009"/>
    <s v="///"/>
    <s v="23"/>
    <s v=""/>
    <s v=""/>
    <s v="56///"/>
    <s v=""/>
    <s v=""/>
    <s v=""/>
    <s v="233"/>
    <s v="22597"/>
    <s v="42703"/>
    <s v="81532"/>
    <s v="0266"/>
    <s v="0211"/>
    <s v=""/>
    <x v="189"/>
    <s v="43063 22597 42703 10266 20211 39404 40014 81532 333 20233 59009 6002/ 81626 83070 555 00023 10050 ="/>
    <n v="233"/>
    <s v="sbs"/>
    <s v="14/09/2012 12:22:44 PM"/>
    <n v="2012"/>
    <x v="6"/>
    <x v="7"/>
    <n v="21.1"/>
    <s v=""/>
    <n v="23.3"/>
  </r>
  <r>
    <s v="09/07/2012"/>
    <s v="43063"/>
    <x v="0"/>
    <s v="27"/>
    <s v="20"/>
    <s v="10007"/>
    <s v="7////"/>
    <s v="59005"/>
    <s v="30"/>
    <s v="///"/>
    <s v=""/>
    <s v=""/>
    <s v="56600"/>
    <s v=""/>
    <s v=""/>
    <s v="296"/>
    <s v=""/>
    <s v="22597"/>
    <s v="72705"/>
    <s v="87700"/>
    <s v="0266"/>
    <s v="0204"/>
    <s v=""/>
    <x v="190"/>
    <s v="43063 22597 72705 10266 20204 39397 40007 87700 333 10296 56600 59005 6994/ 83722 85626 ="/>
    <m/>
    <s v="sbs"/>
    <s v="14/09/2012 12:22:44 PM"/>
    <n v="2012"/>
    <x v="6"/>
    <x v="8"/>
    <n v="20.399999999999999"/>
    <n v="29.6"/>
    <s v=""/>
  </r>
  <r>
    <s v="09/07/2012"/>
    <s v="43063"/>
    <x v="1"/>
    <s v="26"/>
    <s v="21"/>
    <s v="10021"/>
    <s v="7////"/>
    <s v="58006"/>
    <s v="///"/>
    <s v="21"/>
    <s v=""/>
    <s v=""/>
    <s v="56699"/>
    <s v=""/>
    <s v=""/>
    <s v=""/>
    <s v="212"/>
    <s v="22597"/>
    <s v="72703"/>
    <s v="83731"/>
    <s v="0256"/>
    <s v="0212"/>
    <s v=""/>
    <x v="190"/>
    <s v="43063 22597 72703 10256 20212 39410 40021 83731 333 20212 56699 58006 6001/ 81722 83626 85356 555 00010 10051 ="/>
    <n v="212"/>
    <s v="sbs"/>
    <s v="14/09/2012 12:22:44 PM"/>
    <n v="2012"/>
    <x v="6"/>
    <x v="8"/>
    <n v="21.2"/>
    <s v=""/>
    <n v="21.2"/>
  </r>
  <r>
    <s v="10/07/2012"/>
    <s v="43063"/>
    <x v="1"/>
    <s v="25"/>
    <s v="21"/>
    <s v="10040"/>
    <s v="7////"/>
    <s v="58015"/>
    <s v="///"/>
    <s v="22"/>
    <s v=""/>
    <s v=""/>
    <s v="56600"/>
    <s v=""/>
    <s v=""/>
    <s v=""/>
    <s v="223"/>
    <s v="22597"/>
    <s v="62703"/>
    <s v="83730"/>
    <s v="0250"/>
    <s v="0212"/>
    <s v=""/>
    <x v="191"/>
    <s v="43063 22597 62703 10250 20212 39425 40040 83730 333 20223 56600 58015 6995/ 81722 83626 85358 555 00005 10052 ="/>
    <n v="223"/>
    <s v="sbs"/>
    <s v="14/09/2012 12:22:44 PM"/>
    <n v="2012"/>
    <x v="6"/>
    <x v="9"/>
    <n v="21.2"/>
    <s v=""/>
    <n v="22.3"/>
  </r>
  <r>
    <s v="10/07/2012"/>
    <s v="43063"/>
    <x v="0"/>
    <s v="30"/>
    <s v="20"/>
    <s v="9996"/>
    <s v="7////"/>
    <s v="59002"/>
    <s v="31"/>
    <s v="///"/>
    <s v=""/>
    <s v=""/>
    <s v="56///"/>
    <s v=""/>
    <s v=""/>
    <s v="314"/>
    <s v=""/>
    <s v="32597"/>
    <s v="52704"/>
    <s v="84801"/>
    <s v="0304"/>
    <s v="0198"/>
    <s v=""/>
    <x v="191"/>
    <s v="43063 32597 52704 10304 20198 39395 49996 84801 333 10314 59002 83626 ="/>
    <m/>
    <s v="sbs"/>
    <s v="14/09/2012 12:22:44 PM"/>
    <n v="2012"/>
    <x v="6"/>
    <x v="9"/>
    <n v="19.8"/>
    <n v="31.4"/>
    <s v=""/>
  </r>
  <r>
    <s v="11/07/2012"/>
    <s v="43063"/>
    <x v="1"/>
    <s v="26"/>
    <s v="20"/>
    <s v="10041"/>
    <s v="7////"/>
    <s v="58008"/>
    <s v="///"/>
    <s v="23"/>
    <s v=""/>
    <s v=""/>
    <s v="56600"/>
    <s v=""/>
    <s v=""/>
    <s v=""/>
    <s v="231"/>
    <s v="32597"/>
    <s v="72704"/>
    <s v="87700"/>
    <s v="0260"/>
    <s v="0204"/>
    <s v=""/>
    <x v="192"/>
    <s v="43063 32597 72704 10260 20204 39428 40041 87700 333 20231 56600 58008 83722 85626 555 00000 10052 ="/>
    <n v="231"/>
    <s v="sbs"/>
    <s v="14/09/2012 12:22:44 PM"/>
    <n v="2012"/>
    <x v="6"/>
    <x v="10"/>
    <n v="20.399999999999999"/>
    <s v=""/>
    <n v="23.1"/>
  </r>
  <r>
    <s v="11/07/2012"/>
    <s v="43063"/>
    <x v="0"/>
    <s v="29"/>
    <s v="21"/>
    <s v="10014"/>
    <s v="70252"/>
    <s v="58014"/>
    <s v="31"/>
    <s v="///"/>
    <s v=""/>
    <s v=""/>
    <s v="56600"/>
    <s v=""/>
    <s v=""/>
    <s v="311"/>
    <s v=""/>
    <s v="21597"/>
    <s v="62503"/>
    <s v="86700"/>
    <s v="0288"/>
    <s v="0210"/>
    <s v=""/>
    <x v="192"/>
    <s v="43063 21597 62503 10288 20210 39409 40014 70252 86700 333 10311 56600 58014 6990/ 82722 84626 ="/>
    <m/>
    <s v="sbs"/>
    <s v="14/09/2012 12:22:44 PM"/>
    <n v="2012"/>
    <x v="6"/>
    <x v="10"/>
    <n v="21"/>
    <n v="31.1"/>
    <s v=""/>
  </r>
  <r>
    <s v="12/07/2012"/>
    <s v="43063"/>
    <x v="0"/>
    <s v="27"/>
    <s v="20"/>
    <s v="10034"/>
    <s v="70262"/>
    <s v="58016"/>
    <s v="31"/>
    <s v="///"/>
    <s v=""/>
    <s v=""/>
    <s v="56690"/>
    <s v=""/>
    <s v=""/>
    <s v="305"/>
    <s v=""/>
    <s v="21597"/>
    <s v="72504"/>
    <s v="85730"/>
    <s v="0274"/>
    <s v="0203"/>
    <s v=""/>
    <x v="193"/>
    <s v="43063 21597 72504 10274 20203 39425 40034 70262 85730 333 10305 56690 58016 6994/ 82722 83626 85356 ="/>
    <m/>
    <s v="sbs"/>
    <s v="14/09/2012 12:22:44 PM"/>
    <n v="2012"/>
    <x v="6"/>
    <x v="11"/>
    <n v="20.3"/>
    <n v="30.5"/>
    <s v=""/>
  </r>
  <r>
    <s v="12/07/2012"/>
    <s v="43063"/>
    <x v="1"/>
    <s v="24"/>
    <s v="20"/>
    <s v="10056"/>
    <s v="7////"/>
    <s v="58011"/>
    <s v="///"/>
    <s v="23"/>
    <s v=""/>
    <s v=""/>
    <s v="56600"/>
    <s v=""/>
    <s v=""/>
    <s v=""/>
    <s v="227"/>
    <s v="22597"/>
    <s v="72503"/>
    <s v="87700"/>
    <s v="0244"/>
    <s v="0202"/>
    <s v=""/>
    <x v="193"/>
    <s v="43063 22597 72503 10244 20202 39439 40056 87700 333 20227 56600 58011 6990/ 84720 84626 555 00000 10052 ="/>
    <n v="227"/>
    <s v="sbs"/>
    <s v="14/09/2012 12:22:44 PM"/>
    <n v="2012"/>
    <x v="6"/>
    <x v="11"/>
    <n v="20.2"/>
    <s v=""/>
    <n v="22.7"/>
  </r>
  <r>
    <s v="13/07/2012"/>
    <s v="43063"/>
    <x v="0"/>
    <s v="28"/>
    <s v="20"/>
    <s v="10033"/>
    <s v="70262"/>
    <s v="59001"/>
    <s v="30"/>
    <s v="///"/>
    <s v=""/>
    <s v=""/>
    <s v="56600"/>
    <s v=""/>
    <s v=""/>
    <s v="303"/>
    <s v=""/>
    <s v="21597"/>
    <s v="62905"/>
    <s v="86700"/>
    <s v="0280"/>
    <s v="0200"/>
    <s v=""/>
    <x v="194"/>
    <s v="43063 21597 62905 10280 20200 39424 40033 70262 86700 333 10303 56600 59001 6990/ 82722 84626 ="/>
    <m/>
    <s v="sbs"/>
    <s v="14/09/2012 12:22:44 PM"/>
    <n v="2012"/>
    <x v="6"/>
    <x v="12"/>
    <n v="20"/>
    <n v="30.3"/>
    <s v=""/>
  </r>
  <r>
    <s v="13/07/2012"/>
    <s v="43063"/>
    <x v="1"/>
    <s v="26"/>
    <s v="21"/>
    <s v="10065"/>
    <s v="7////"/>
    <s v="58011"/>
    <s v="///"/>
    <s v="22"/>
    <s v=""/>
    <s v=""/>
    <s v="56699"/>
    <s v=""/>
    <s v=""/>
    <s v=""/>
    <s v="223"/>
    <s v="22597"/>
    <s v="72704"/>
    <s v="84731"/>
    <s v="0259"/>
    <s v="0209"/>
    <s v=""/>
    <x v="194"/>
    <s v="43063 22597 72704 10259 20209 39450 40065 84731 333 20223 56699 58011 6994/ 81722 83626 85356 555 00004 10052 ="/>
    <n v="223"/>
    <s v="sbs"/>
    <s v="14/09/2012 12:22:44 PM"/>
    <n v="2012"/>
    <x v="6"/>
    <x v="12"/>
    <n v="20.9"/>
    <s v=""/>
    <n v="22.3"/>
  </r>
  <r>
    <s v="14/07/2012"/>
    <s v="43063"/>
    <x v="0"/>
    <s v="27"/>
    <s v="21"/>
    <s v="10028"/>
    <s v="76065"/>
    <s v="59007"/>
    <s v="30"/>
    <s v="///"/>
    <s v=""/>
    <s v=""/>
    <s v="56600"/>
    <s v=""/>
    <s v=""/>
    <s v="304"/>
    <s v=""/>
    <s v="21597"/>
    <s v="72705"/>
    <s v="87700"/>
    <s v="0266"/>
    <s v="0207"/>
    <s v=""/>
    <x v="195"/>
    <s v="43063 21597 72705 10266 20207 39417 40028 76065 87700 333 10304 56600 59007 6992/ 85720 85626 ="/>
    <m/>
    <s v="sbs"/>
    <s v="14/09/2012 12:22:44 PM"/>
    <n v="2012"/>
    <x v="6"/>
    <x v="13"/>
    <n v="20.7"/>
    <n v="30.4"/>
    <s v=""/>
  </r>
  <r>
    <s v="14/07/2012"/>
    <s v="43063"/>
    <x v="1"/>
    <s v="25"/>
    <s v="20"/>
    <s v="10057"/>
    <s v="7////"/>
    <s v="59010"/>
    <s v="///"/>
    <s v="23"/>
    <s v=""/>
    <s v=""/>
    <s v="56600"/>
    <s v=""/>
    <s v=""/>
    <s v=""/>
    <s v="226"/>
    <s v="22597"/>
    <s v="62902"/>
    <s v="86700"/>
    <s v="0250"/>
    <s v="0203"/>
    <s v=""/>
    <x v="195"/>
    <s v="43063 22597 62902 10250 20203 39440 40057 86700 333 20226 56600 59010 6990/ 81722 85356 555 00000 10052 ="/>
    <n v="226"/>
    <s v="sbs"/>
    <s v="14/09/2012 12:22:44 PM"/>
    <n v="2012"/>
    <x v="6"/>
    <x v="13"/>
    <n v="20.3"/>
    <s v=""/>
    <n v="22.6"/>
  </r>
  <r>
    <s v="15/07/2012"/>
    <s v="43063"/>
    <x v="1"/>
    <s v="25"/>
    <s v="21"/>
    <s v="10052"/>
    <s v="70265"/>
    <s v="59002"/>
    <s v="///"/>
    <s v="23"/>
    <s v=""/>
    <s v=""/>
    <s v="56600"/>
    <s v=""/>
    <s v=""/>
    <s v=""/>
    <s v="226"/>
    <s v="21596"/>
    <s v="72703"/>
    <s v="87700"/>
    <s v="0251"/>
    <s v="0211"/>
    <s v=""/>
    <x v="196"/>
    <s v="43063 21596 72703 10251 20211 39438 40052 70265 87700 333 20226 56600 59002 6992/ 83720 85626 555 00002 10052 ="/>
    <n v="226"/>
    <s v="sbs"/>
    <s v="14/09/2012 12:22:44 PM"/>
    <n v="2012"/>
    <x v="6"/>
    <x v="14"/>
    <n v="21.1"/>
    <s v=""/>
    <n v="22.6"/>
  </r>
  <r>
    <s v="15/07/2012"/>
    <s v="43063"/>
    <x v="0"/>
    <s v="28"/>
    <s v="20"/>
    <s v="10029"/>
    <s v="7////"/>
    <s v="58003"/>
    <s v="30"/>
    <s v="///"/>
    <s v=""/>
    <s v=""/>
    <s v="56609"/>
    <s v=""/>
    <s v=""/>
    <s v="303"/>
    <s v=""/>
    <s v="22597"/>
    <s v="72905"/>
    <s v="84701"/>
    <s v="0276"/>
    <s v="0201"/>
    <s v=""/>
    <x v="196"/>
    <s v="43063 22597 72905 10276 20201 39420 40029 84701 333 10303 56609 58003 6990/ 81722 83626 85070 ="/>
    <m/>
    <s v="sbs"/>
    <s v="14/09/2012 12:22:44 PM"/>
    <n v="2012"/>
    <x v="6"/>
    <x v="14"/>
    <n v="20.100000000000001"/>
    <n v="30.3"/>
    <s v=""/>
  </r>
  <r>
    <s v="16/07/2012"/>
    <s v="43063"/>
    <x v="0"/>
    <s v="26"/>
    <s v="21"/>
    <s v="10049"/>
    <s v="75022"/>
    <s v="58015"/>
    <s v="32"/>
    <s v="///"/>
    <s v=""/>
    <s v=""/>
    <s v="56600"/>
    <s v=""/>
    <s v=""/>
    <s v="317"/>
    <s v=""/>
    <s v="21597"/>
    <s v="72704"/>
    <s v="86730"/>
    <s v="0260"/>
    <s v="0210"/>
    <s v=""/>
    <x v="197"/>
    <s v="43063 21597 72704 10260 20210 39435 40049 75022 86730 333 10317 56600 58015 6990/ 83720 84626 ="/>
    <m/>
    <s v="sbs"/>
    <s v="14/09/2012 12:22:44 PM"/>
    <n v="2012"/>
    <x v="6"/>
    <x v="15"/>
    <n v="21"/>
    <n v="31.7"/>
    <s v=""/>
  </r>
  <r>
    <s v="16/07/2012"/>
    <s v="43063"/>
    <x v="1"/>
    <s v="25"/>
    <s v="21"/>
    <s v="10065"/>
    <s v="7////"/>
    <s v="58012"/>
    <s v="///"/>
    <s v="23"/>
    <s v=""/>
    <s v=""/>
    <s v="56600"/>
    <s v=""/>
    <s v=""/>
    <s v=""/>
    <s v="226"/>
    <s v="22597"/>
    <s v="72701"/>
    <s v="87730"/>
    <s v="0254"/>
    <s v="0210"/>
    <s v=""/>
    <x v="197"/>
    <s v="43063 22597 72701 10254 20210 39450 40065 87730 333 20226 56600 58012 6990/ 81722 84626 555 00000 10052 ="/>
    <n v="226"/>
    <s v="sbs"/>
    <s v="14/09/2012 12:22:44 PM"/>
    <n v="2012"/>
    <x v="6"/>
    <x v="15"/>
    <n v="21"/>
    <s v=""/>
    <n v="22.6"/>
  </r>
  <r>
    <s v="17/07/2012"/>
    <s v="43063"/>
    <x v="1"/>
    <s v="26"/>
    <s v="21"/>
    <s v="10076"/>
    <s v="7////"/>
    <s v="58010"/>
    <s v="///"/>
    <s v="21"/>
    <s v=""/>
    <s v=""/>
    <s v="56699"/>
    <s v=""/>
    <s v=""/>
    <s v=""/>
    <s v="207"/>
    <s v="22597"/>
    <s v="72704"/>
    <s v="83731"/>
    <s v="0260"/>
    <s v="0207"/>
    <s v=""/>
    <x v="198"/>
    <s v="43063 22597 72704 10260 20207 39460 40076 83731 333 20207 56699 58010 6990/ 81722 83626 85070 555 00000 10052 ="/>
    <n v="207"/>
    <s v="sbs"/>
    <s v="14/09/2012 12:22:44 PM"/>
    <n v="2012"/>
    <x v="6"/>
    <x v="16"/>
    <n v="20.7"/>
    <s v=""/>
    <n v="20.7"/>
  </r>
  <r>
    <s v="17/07/2012"/>
    <s v="43063"/>
    <x v="0"/>
    <s v="29"/>
    <s v="21"/>
    <s v="10031"/>
    <s v="7////"/>
    <s v="59009"/>
    <s v="32"/>
    <s v="///"/>
    <s v=""/>
    <s v=""/>
    <s v="56///"/>
    <s v=""/>
    <s v=""/>
    <s v="322"/>
    <s v=""/>
    <s v="32596"/>
    <s v="42706"/>
    <s v="84500"/>
    <s v="0294"/>
    <s v="0207"/>
    <s v=""/>
    <x v="198"/>
    <s v="43063 32596 42706 10294 20207 39426 40031 84500 333 10322 59009 84626 ="/>
    <m/>
    <s v="sbs"/>
    <s v="14/09/2012 12:22:44 PM"/>
    <n v="2012"/>
    <x v="6"/>
    <x v="16"/>
    <n v="20.7"/>
    <n v="32.200000000000003"/>
    <s v=""/>
  </r>
  <r>
    <s v="18/07/2012"/>
    <s v="43063"/>
    <x v="1"/>
    <s v="23"/>
    <s v="22"/>
    <s v="10075"/>
    <s v="70262"/>
    <s v="59005"/>
    <s v="///"/>
    <s v="22"/>
    <s v=""/>
    <s v=""/>
    <s v="5660/"/>
    <s v=""/>
    <s v=""/>
    <s v=""/>
    <s v="221"/>
    <s v="21596"/>
    <s v="72502"/>
    <s v="87530"/>
    <s v="0234"/>
    <s v="0220"/>
    <s v=""/>
    <x v="199"/>
    <s v="43063 21596 72502 10234 20220 39455 40075 70262 87530 333 20221 5660/ 59005 6003/ 83722 84356 555 00035 10055 ="/>
    <n v="221"/>
    <s v="sbs"/>
    <s v="14/09/2012 12:22:44 PM"/>
    <n v="2012"/>
    <x v="6"/>
    <x v="17"/>
    <n v="22"/>
    <s v=""/>
    <n v="22.1"/>
  </r>
  <r>
    <s v="18/07/2012"/>
    <s v="43063"/>
    <x v="0"/>
    <s v="23"/>
    <s v="21"/>
    <s v="10054"/>
    <s v="76062"/>
    <s v="58007"/>
    <s v="28"/>
    <s v="///"/>
    <s v=""/>
    <s v=""/>
    <s v="5669/"/>
    <s v=""/>
    <s v=""/>
    <s v="283"/>
    <s v=""/>
    <s v="21596"/>
    <s v="82704"/>
    <s v="8572/"/>
    <s v="0230"/>
    <s v="0215"/>
    <s v=""/>
    <x v="199"/>
    <s v="43063 21596 82704 10230 20215 39433 40054 76062 8572/ 333 10283 5669/ 58007 6003/ 83720 85456 ="/>
    <m/>
    <s v="sbs"/>
    <s v="14/09/2012 12:22:44 PM"/>
    <n v="2012"/>
    <x v="6"/>
    <x v="17"/>
    <n v="21.5"/>
    <n v="28.3"/>
    <s v=""/>
  </r>
  <r>
    <s v="19/07/2012"/>
    <s v="43063"/>
    <x v="0"/>
    <s v="24"/>
    <s v="22"/>
    <s v="10035"/>
    <s v="75165"/>
    <s v="59015"/>
    <s v="26"/>
    <s v="///"/>
    <s v=""/>
    <s v=""/>
    <s v="56600"/>
    <s v=""/>
    <s v=""/>
    <s v="264"/>
    <s v=""/>
    <s v="21596"/>
    <s v="82703"/>
    <s v="88700"/>
    <s v="0240"/>
    <s v="0217"/>
    <s v=""/>
    <x v="200"/>
    <s v="43063 21596 82703 10240 20217 39418 40035 75165 88700 333 10264 56600 59015 6003/ 84720 84626 ="/>
    <m/>
    <s v="sbs"/>
    <s v="14/09/2012 12:22:44 PM"/>
    <n v="2012"/>
    <x v="6"/>
    <x v="18"/>
    <n v="21.7"/>
    <n v="26.4"/>
    <s v=""/>
  </r>
  <r>
    <s v="19/07/2012"/>
    <s v="43063"/>
    <x v="1"/>
    <s v="24"/>
    <s v="22"/>
    <s v="10054"/>
    <s v="75065"/>
    <s v="59018"/>
    <s v="///"/>
    <s v="22"/>
    <s v=""/>
    <s v=""/>
    <s v="56600"/>
    <s v=""/>
    <s v=""/>
    <s v=""/>
    <s v="221"/>
    <s v="21596"/>
    <s v="72501"/>
    <s v="87700"/>
    <s v="0242"/>
    <s v="0216"/>
    <s v=""/>
    <x v="200"/>
    <s v="43063 21596 72501 10242 20216 39437 40054 75065 87700 333 20221 56600 59018 6009/ 83720 85626 555 00090 10065 ="/>
    <n v="221"/>
    <s v="sbs"/>
    <s v="14/09/2012 12:22:44 PM"/>
    <n v="2012"/>
    <x v="6"/>
    <x v="18"/>
    <n v="21.6"/>
    <s v=""/>
    <n v="22.1"/>
  </r>
  <r>
    <s v="20/07/2012"/>
    <s v="43063"/>
    <x v="0"/>
    <s v="24"/>
    <s v="23"/>
    <s v="10027"/>
    <s v="76065"/>
    <s v="59008"/>
    <s v="26"/>
    <s v="///"/>
    <s v=""/>
    <s v=""/>
    <s v="5669/"/>
    <s v=""/>
    <s v=""/>
    <s v="261"/>
    <s v=""/>
    <s v="21596"/>
    <s v="82703"/>
    <s v="8672/"/>
    <s v="0239"/>
    <s v="0226"/>
    <s v=""/>
    <x v="201"/>
    <s v="43063 21596 82703 10239 20226 39410 40027 76065 8672/ 333 10261 5669/ 59008 6005/ 83722 85626 ="/>
    <m/>
    <s v="sbs"/>
    <s v="14/09/2012 12:22:44 PM"/>
    <n v="2012"/>
    <x v="6"/>
    <x v="19"/>
    <n v="22.6"/>
    <n v="26.1"/>
    <s v=""/>
  </r>
  <r>
    <s v="20/07/2012"/>
    <s v="43063"/>
    <x v="1"/>
    <s v="24"/>
    <s v="22"/>
    <s v="10035"/>
    <s v="76065"/>
    <s v="59019"/>
    <s v="///"/>
    <s v="23"/>
    <s v=""/>
    <s v=""/>
    <s v="56600"/>
    <s v=""/>
    <s v=""/>
    <s v=""/>
    <s v="227"/>
    <s v="21597"/>
    <s v="62703"/>
    <s v="85730"/>
    <s v="0240"/>
    <s v="0223"/>
    <s v=""/>
    <x v="201"/>
    <s v="43063 21597 62703 10240 20223 39418 40035 76065 85730 333 20227 56600 59019 6004/ 82720 84626 555 00038 10069 ="/>
    <n v="227"/>
    <s v="sbs"/>
    <s v="14/09/2012 12:22:44 PM"/>
    <n v="2012"/>
    <x v="6"/>
    <x v="19"/>
    <n v="22.3"/>
    <s v=""/>
    <n v="22.7"/>
  </r>
  <r>
    <s v="21/07/2012"/>
    <s v="43063"/>
    <x v="0"/>
    <s v="28"/>
    <s v="21"/>
    <s v="10028"/>
    <s v="7////"/>
    <s v="58009"/>
    <s v="29"/>
    <s v="///"/>
    <s v=""/>
    <s v=""/>
    <s v="56///"/>
    <s v=""/>
    <s v=""/>
    <s v="295"/>
    <s v=""/>
    <s v="22597"/>
    <s v="72706"/>
    <s v="85720"/>
    <s v="0276"/>
    <s v="0215"/>
    <s v=""/>
    <x v="202"/>
    <s v="43063 22597 72706 10276 20215 39419 40028 85720 333 10295 58009 6991/ 82720 83626 ="/>
    <m/>
    <s v="sbs"/>
    <s v="14/09/2012 12:22:44 PM"/>
    <n v="2012"/>
    <x v="6"/>
    <x v="20"/>
    <n v="21.5"/>
    <n v="29.5"/>
    <s v=""/>
  </r>
  <r>
    <s v="21/07/2012"/>
    <s v="43063"/>
    <x v="1"/>
    <s v="26"/>
    <s v="22"/>
    <s v="10041"/>
    <s v="7////"/>
    <s v="58010"/>
    <s v="///"/>
    <s v="23"/>
    <s v=""/>
    <s v=""/>
    <s v="56699"/>
    <s v=""/>
    <s v=""/>
    <s v=""/>
    <s v="230"/>
    <s v="22597"/>
    <s v="72503"/>
    <s v="83731"/>
    <s v="0256"/>
    <s v="0224"/>
    <s v=""/>
    <x v="202"/>
    <s v="43063 22597 72503 10256 20224 39428 40041 83731 333 20230 56699 58010 6006/ 81720 83626 85356 555 00059 10074 ="/>
    <n v="230"/>
    <s v="sbs"/>
    <s v="14/09/2012 12:22:44 PM"/>
    <n v="2012"/>
    <x v="6"/>
    <x v="20"/>
    <n v="22.4"/>
    <s v=""/>
    <n v="23"/>
  </r>
  <r>
    <s v="22/07/2012"/>
    <s v="43063"/>
    <x v="0"/>
    <s v="26"/>
    <s v="21"/>
    <s v="10020"/>
    <s v="75065"/>
    <s v="59011"/>
    <s v="27"/>
    <s v="///"/>
    <s v=""/>
    <s v=""/>
    <s v="566//"/>
    <s v=""/>
    <s v=""/>
    <s v="274"/>
    <s v=""/>
    <s v="21596"/>
    <s v="82711"/>
    <s v="887//"/>
    <s v="0260"/>
    <s v="0213"/>
    <s v=""/>
    <x v="203"/>
    <s v="43063 21596 82711 10260 20213 39408 40020 75065 887// 333 10274 566// 59011 6992/ 86720 ="/>
    <m/>
    <s v="sbs"/>
    <s v="14/09/2012 12:22:44 PM"/>
    <n v="2012"/>
    <x v="6"/>
    <x v="21"/>
    <n v="21.3"/>
    <n v="27.4"/>
    <s v=""/>
  </r>
  <r>
    <s v="22/07/2012"/>
    <s v="43063"/>
    <x v="1"/>
    <s v="25"/>
    <s v="21"/>
    <s v="10052"/>
    <s v="70262"/>
    <s v="58007"/>
    <s v="///"/>
    <s v="23"/>
    <s v=""/>
    <s v=""/>
    <s v="56600"/>
    <s v=""/>
    <s v=""/>
    <s v=""/>
    <s v="232"/>
    <s v="21596"/>
    <s v="82704"/>
    <s v="87800"/>
    <s v="0250"/>
    <s v="0215"/>
    <s v=""/>
    <x v="203"/>
    <s v="43063 21596 82704 10250 20215 39435 40052 70262 87800 333 20232 56600 58007 6994/ 84720 86626 555 00004 10075 ="/>
    <n v="232"/>
    <s v="sbs"/>
    <s v="14/09/2012 12:22:44 PM"/>
    <n v="2012"/>
    <x v="6"/>
    <x v="21"/>
    <n v="21.5"/>
    <s v=""/>
    <n v="23.2"/>
  </r>
  <r>
    <s v="23/07/2012"/>
    <s v="43063"/>
    <x v="0"/>
    <s v="25"/>
    <s v="21"/>
    <s v="10016"/>
    <s v="75062"/>
    <s v="59006"/>
    <s v="29"/>
    <s v="///"/>
    <s v=""/>
    <s v=""/>
    <s v="56600"/>
    <s v=""/>
    <s v=""/>
    <s v="287"/>
    <s v=""/>
    <s v="21597"/>
    <s v="72505"/>
    <s v="87700"/>
    <s v="0250"/>
    <s v="0215"/>
    <s v=""/>
    <x v="204"/>
    <s v="43063 21597 72505 10250 20215 39402 40016 75062 87700 333 10287 56600 59006 6992/ 84720 84626 ="/>
    <m/>
    <s v="sbs"/>
    <s v="14/09/2012 12:22:44 PM"/>
    <n v="2012"/>
    <x v="6"/>
    <x v="22"/>
    <n v="21.5"/>
    <n v="28.7"/>
    <s v=""/>
  </r>
  <r>
    <s v="23/07/2012"/>
    <s v="43063"/>
    <x v="1"/>
    <s v="25"/>
    <s v="21"/>
    <s v="10034"/>
    <s v="72065"/>
    <s v="59016"/>
    <s v="///"/>
    <s v="23"/>
    <s v=""/>
    <s v=""/>
    <s v="56600"/>
    <s v=""/>
    <s v=""/>
    <s v=""/>
    <s v="226"/>
    <s v="21597"/>
    <s v="72702"/>
    <s v="87700"/>
    <s v="0246"/>
    <s v="0214"/>
    <s v=""/>
    <x v="204"/>
    <s v="43063 21597 72702 10246 20214 39419 40034 72065 87700 333 20226 56600 59016 6999/ 83720 85626 555 00009 10076 ="/>
    <n v="226"/>
    <s v="sbs"/>
    <s v="14/09/2012 12:22:44 PM"/>
    <n v="2012"/>
    <x v="6"/>
    <x v="22"/>
    <n v="21.4"/>
    <s v=""/>
    <n v="22.6"/>
  </r>
  <r>
    <s v="24/07/2012"/>
    <s v="43063"/>
    <x v="0"/>
    <s v="26"/>
    <s v="21"/>
    <s v="10013"/>
    <s v="72062"/>
    <s v="58001"/>
    <s v="29"/>
    <s v="///"/>
    <s v=""/>
    <s v=""/>
    <s v="56690"/>
    <s v=""/>
    <s v=""/>
    <s v="293"/>
    <s v=""/>
    <s v="21597"/>
    <s v="72704"/>
    <s v="85730"/>
    <s v="0261"/>
    <s v="0208"/>
    <s v=""/>
    <x v="205"/>
    <s v="43063 21597 72704 10261 20208 39403 40013 72062 85730 333 10293 56690 58001 6001/ 82720 85626 ="/>
    <m/>
    <s v="sbs"/>
    <s v="14/09/2012 12:22:44 PM"/>
    <n v="2012"/>
    <x v="6"/>
    <x v="23"/>
    <n v="20.8"/>
    <n v="29.3"/>
    <s v=""/>
  </r>
  <r>
    <s v="24/07/2012"/>
    <s v="43063"/>
    <x v="1"/>
    <s v="25"/>
    <s v="22"/>
    <s v="10028"/>
    <s v="70262"/>
    <s v="59004"/>
    <s v="///"/>
    <s v="23"/>
    <s v=""/>
    <s v=""/>
    <s v="56600"/>
    <s v=""/>
    <s v=""/>
    <s v=""/>
    <s v="225"/>
    <s v="21597"/>
    <s v="72704"/>
    <s v="87700"/>
    <s v="0254"/>
    <s v="0219"/>
    <s v=""/>
    <x v="205"/>
    <s v="43063 21597 72704 10254 20219 39415 40028 70262 87700 333 20225 56600 59004 6002/ 83720 85626 555 00021 10078 ="/>
    <n v="225"/>
    <s v="sbs"/>
    <s v="14/09/2012 12:22:44 PM"/>
    <n v="2012"/>
    <x v="6"/>
    <x v="23"/>
    <n v="21.9"/>
    <s v=""/>
    <n v="22.5"/>
  </r>
  <r>
    <s v="25/07/2012"/>
    <s v="43063"/>
    <x v="0"/>
    <s v="26"/>
    <s v="21"/>
    <s v="10026"/>
    <s v="7////"/>
    <s v="58013"/>
    <s v="29"/>
    <s v="///"/>
    <s v=""/>
    <s v=""/>
    <s v="56600"/>
    <s v=""/>
    <s v=""/>
    <s v="286"/>
    <s v=""/>
    <s v="22597"/>
    <s v="72711"/>
    <s v="87700"/>
    <s v="0264"/>
    <s v="0208"/>
    <s v=""/>
    <x v="206"/>
    <s v="43063 22597 72711 10264 20208 39415 40026 87700 333 10286 56600 58013 6990/ 83720 85626 ="/>
    <m/>
    <s v="sbs"/>
    <s v="14/09/2012 12:22:44 PM"/>
    <n v="2012"/>
    <x v="6"/>
    <x v="24"/>
    <n v="20.8"/>
    <n v="28.6"/>
    <s v=""/>
  </r>
  <r>
    <s v="25/07/2012"/>
    <s v="43063"/>
    <x v="1"/>
    <s v="25"/>
    <s v="21"/>
    <s v="10040"/>
    <s v="7////"/>
    <s v="58010"/>
    <s v="///"/>
    <s v="23"/>
    <s v=""/>
    <s v=""/>
    <s v="56690"/>
    <s v=""/>
    <s v=""/>
    <s v=""/>
    <s v="231"/>
    <s v="22597"/>
    <s v="72703"/>
    <s v="85730"/>
    <s v="0248"/>
    <s v="0210"/>
    <s v=""/>
    <x v="206"/>
    <s v="43063 22597 72703 10248 20210 39425 40040 85730 333 20231 56690 58010 6001/ 82720 84626 555 00015 10079 ="/>
    <n v="231"/>
    <s v="sbs"/>
    <s v="14/09/2012 12:22:44 PM"/>
    <n v="2012"/>
    <x v="6"/>
    <x v="24"/>
    <n v="21"/>
    <s v=""/>
    <n v="23.1"/>
  </r>
  <r>
    <s v="26/07/2012"/>
    <s v="43063"/>
    <x v="1"/>
    <s v="25"/>
    <s v="21"/>
    <s v="10053"/>
    <s v="76052"/>
    <s v="58011"/>
    <s v="///"/>
    <s v="23"/>
    <s v=""/>
    <s v=""/>
    <s v="56600"/>
    <s v=""/>
    <s v=""/>
    <s v=""/>
    <s v="232"/>
    <s v="21596"/>
    <s v="82703"/>
    <s v="887//"/>
    <s v="0246"/>
    <s v="0214"/>
    <s v=""/>
    <x v="207"/>
    <s v="43063 21596 82703 10246 20214 39436 40053 76052 887// 333 20232 56600 58011 6990/ 84720 86626 555 00000 10079 ="/>
    <n v="232"/>
    <s v="sbs"/>
    <s v="14/09/2012 12:22:44 PM"/>
    <n v="2012"/>
    <x v="6"/>
    <x v="25"/>
    <n v="21.4"/>
    <s v=""/>
    <n v="23.2"/>
  </r>
  <r>
    <s v="26/07/2012"/>
    <s v="43063"/>
    <x v="0"/>
    <s v="25"/>
    <s v="21"/>
    <s v="10025"/>
    <s v="70265"/>
    <s v="59003"/>
    <s v="26"/>
    <s v="///"/>
    <s v=""/>
    <s v=""/>
    <s v="566//"/>
    <s v=""/>
    <s v=""/>
    <s v="256"/>
    <s v=""/>
    <s v="21596"/>
    <s v="82704"/>
    <s v="887//"/>
    <s v="0252"/>
    <s v="0211"/>
    <s v=""/>
    <x v="207"/>
    <s v="43063 21596 82704 10252 20211 39412 40025 70265 887// 333 10256 566// 59003 6003/ 86720 ="/>
    <m/>
    <s v="sbs"/>
    <s v="14/09/2012 12:22:44 PM"/>
    <n v="2012"/>
    <x v="6"/>
    <x v="25"/>
    <n v="21.1"/>
    <n v="25.6"/>
    <s v=""/>
  </r>
  <r>
    <s v="27/07/2012"/>
    <s v="43063"/>
    <x v="0"/>
    <s v="27"/>
    <s v="21"/>
    <s v="10012"/>
    <s v="70252"/>
    <s v="59010"/>
    <s v="28"/>
    <s v="///"/>
    <s v=""/>
    <s v=""/>
    <s v="56690"/>
    <s v=""/>
    <s v=""/>
    <s v="284"/>
    <s v=""/>
    <s v="21597"/>
    <s v="72704"/>
    <s v="86730"/>
    <s v="0266"/>
    <s v="0211"/>
    <s v=""/>
    <x v="208"/>
    <s v="43063 21597 72704 10266 20211 39402 40012 70252 86730 333 10284 56690 59010 6990/ 82722 83626 ="/>
    <m/>
    <s v="sbs"/>
    <s v="14/09/2012 12:22:44 PM"/>
    <n v="2012"/>
    <x v="6"/>
    <x v="26"/>
    <n v="21.1"/>
    <n v="28.4"/>
    <s v=""/>
  </r>
  <r>
    <s v="27/07/2012"/>
    <s v="43063"/>
    <x v="1"/>
    <s v="24"/>
    <s v="21"/>
    <s v="10032"/>
    <s v="72022"/>
    <s v="59019"/>
    <s v="///"/>
    <s v="23"/>
    <s v=""/>
    <s v=""/>
    <s v="56600"/>
    <s v=""/>
    <s v=""/>
    <s v=""/>
    <s v="231"/>
    <s v="21596"/>
    <s v="72704"/>
    <s v="87700"/>
    <s v="0244"/>
    <s v="0215"/>
    <s v=""/>
    <x v="208"/>
    <s v="43063 21596 72704 10244 20215 39417 40032 72022 87700 333 20231 56600 59019 6003/ 84720 85626 555 00035 10083 ="/>
    <n v="231"/>
    <s v="sbs"/>
    <s v="14/09/2012 12:22:44 PM"/>
    <n v="2012"/>
    <x v="6"/>
    <x v="26"/>
    <n v="21.5"/>
    <s v=""/>
    <n v="23.1"/>
  </r>
  <r>
    <s v="28/07/2012"/>
    <s v="43063"/>
    <x v="1"/>
    <s v="24"/>
    <s v="21"/>
    <s v="10043"/>
    <s v="72052"/>
    <s v="58011"/>
    <s v="///"/>
    <s v="22"/>
    <s v=""/>
    <s v=""/>
    <s v="5669/"/>
    <s v=""/>
    <s v=""/>
    <s v=""/>
    <s v="224"/>
    <s v="21597"/>
    <s v="72704"/>
    <s v="8573/"/>
    <s v="0242"/>
    <s v="0210"/>
    <s v=""/>
    <x v="209"/>
    <s v="43063 21597 72704 10242 20210 39428 40043 72052 8573/ 333 20224 5669/ 58011 6001/ 82720 84626 555 00014 10084 ="/>
    <n v="224"/>
    <s v="sbs"/>
    <s v="14/09/2012 12:22:44 PM"/>
    <n v="2012"/>
    <x v="6"/>
    <x v="27"/>
    <n v="21"/>
    <s v=""/>
    <n v="22.4"/>
  </r>
  <r>
    <s v="28/07/2012"/>
    <s v="43063"/>
    <x v="0"/>
    <s v="24"/>
    <s v="21"/>
    <s v="10023"/>
    <s v="75065"/>
    <s v="58005"/>
    <s v="28"/>
    <s v="///"/>
    <s v=""/>
    <s v=""/>
    <s v="56600"/>
    <s v=""/>
    <s v=""/>
    <s v="280"/>
    <s v=""/>
    <s v="21597"/>
    <s v="72705"/>
    <s v="87700"/>
    <s v="0238"/>
    <s v="0215"/>
    <s v=""/>
    <x v="209"/>
    <s v="43063 21597 72705 10238 20215 39407 40023 75065 87700 333 10280 56600 58005 6996/ 84720 84626 ="/>
    <m/>
    <s v="sbs"/>
    <s v="14/09/2012 12:22:44 PM"/>
    <n v="2012"/>
    <x v="6"/>
    <x v="27"/>
    <n v="21.5"/>
    <n v="28"/>
    <s v=""/>
  </r>
  <r>
    <s v="29/07/2012"/>
    <s v="43063"/>
    <x v="0"/>
    <s v="25"/>
    <s v="21"/>
    <s v="10040"/>
    <s v="72162"/>
    <s v="58018"/>
    <s v="28"/>
    <s v="///"/>
    <s v=""/>
    <s v=""/>
    <s v="56600"/>
    <s v=""/>
    <s v=""/>
    <s v="276"/>
    <s v=""/>
    <s v="21597"/>
    <s v="72705"/>
    <s v="85730"/>
    <s v="0246"/>
    <s v="0208"/>
    <s v=""/>
    <x v="210"/>
    <s v="43063 21597 72705 10246 20208 39425 40040 72162 85730 333 10276 56600 58018 6990/ 83722 85626 ="/>
    <m/>
    <s v="sbs"/>
    <s v="14/09/2012 12:22:44 PM"/>
    <n v="2012"/>
    <x v="6"/>
    <x v="28"/>
    <n v="20.8"/>
    <n v="27.6"/>
    <s v=""/>
  </r>
  <r>
    <s v="29/07/2012"/>
    <s v="43063"/>
    <x v="1"/>
    <s v="25"/>
    <s v="21"/>
    <s v="10056"/>
    <s v="72052"/>
    <s v="58011"/>
    <s v="///"/>
    <s v="23"/>
    <s v=""/>
    <s v=""/>
    <s v="56690"/>
    <s v=""/>
    <s v=""/>
    <s v=""/>
    <s v="227"/>
    <s v="21597"/>
    <s v="72903"/>
    <s v="86730"/>
    <s v="0250"/>
    <s v="0207"/>
    <s v=""/>
    <x v="210"/>
    <s v="43063 21597 72903 10250 20207 39439 40056 72052 86730 333 20227 56690 58011 6996/ 82720 85626 555 00006 10085 ="/>
    <n v="227"/>
    <s v="sbs"/>
    <s v="14/09/2012 12:22:44 PM"/>
    <n v="2012"/>
    <x v="6"/>
    <x v="28"/>
    <n v="20.7"/>
    <s v=""/>
    <n v="22.7"/>
  </r>
  <r>
    <s v="30/07/2012"/>
    <s v="43063"/>
    <x v="0"/>
    <s v="23"/>
    <s v="22"/>
    <s v="10044"/>
    <s v="76066"/>
    <s v="58002"/>
    <s v="27"/>
    <s v="///"/>
    <s v=""/>
    <s v=""/>
    <s v="5669/"/>
    <s v=""/>
    <s v=""/>
    <s v="269"/>
    <s v=""/>
    <s v="21596"/>
    <s v="82703"/>
    <s v="8572/"/>
    <s v="0232"/>
    <s v="0217"/>
    <s v=""/>
    <x v="211"/>
    <s v="43063 21596 82703 10232 20217 39427 40044 76066 8572/ 333 10269 5669/ 58002 6008/ 84720 85450 ="/>
    <m/>
    <s v="sbs"/>
    <s v="14/09/2012 12:22:44 PM"/>
    <n v="2012"/>
    <x v="6"/>
    <x v="29"/>
    <n v="21.7"/>
    <n v="26.9"/>
    <s v=""/>
  </r>
  <r>
    <s v="30/07/2012"/>
    <s v="43063"/>
    <x v="1"/>
    <s v="23"/>
    <s v="22"/>
    <s v="10059"/>
    <s v="75052"/>
    <s v="58001"/>
    <s v="///"/>
    <s v="23"/>
    <s v=""/>
    <s v=""/>
    <s v="56690"/>
    <s v=""/>
    <s v=""/>
    <s v=""/>
    <s v="226"/>
    <s v="21596"/>
    <s v="72703"/>
    <s v="85730"/>
    <s v="0232"/>
    <s v="0217"/>
    <s v=""/>
    <x v="211"/>
    <s v="43063 21596 72703 10232 20217 39440 40059 75052 85730 333 20226 56690 58001 6005/ 82722 84626 555 00049 10090 ="/>
    <n v="226"/>
    <s v="sbs"/>
    <s v="14/09/2012 12:22:44 PM"/>
    <n v="2012"/>
    <x v="6"/>
    <x v="29"/>
    <n v="21.7"/>
    <s v=""/>
    <n v="22.6"/>
  </r>
  <r>
    <s v="31/07/2012"/>
    <s v="43063"/>
    <x v="1"/>
    <s v="24"/>
    <s v="21"/>
    <s v="10058"/>
    <s v="76122"/>
    <s v="59001"/>
    <s v="///"/>
    <s v="22"/>
    <s v=""/>
    <s v=""/>
    <s v="5669/"/>
    <s v=""/>
    <s v=""/>
    <s v=""/>
    <s v="217"/>
    <s v="21596"/>
    <s v="82704"/>
    <s v="8472/"/>
    <s v="0236"/>
    <s v="0212"/>
    <s v=""/>
    <x v="212"/>
    <s v="43063 21596 82704 10236 20212 39439 40058 76122 8472/ 333 20217 5669/ 59001 6018/ 84720 86450 555 00182 10108 ="/>
    <n v="217"/>
    <s v="sbs"/>
    <s v="14/09/2012 12:22:44 PM"/>
    <n v="2012"/>
    <x v="6"/>
    <x v="30"/>
    <n v="21.2"/>
    <s v=""/>
    <n v="21.7"/>
  </r>
  <r>
    <s v="31/07/2012"/>
    <s v="43063"/>
    <x v="0"/>
    <s v="22"/>
    <s v="21"/>
    <s v="10044"/>
    <s v="76166"/>
    <s v="59002"/>
    <s v="24"/>
    <s v="///"/>
    <s v=""/>
    <s v=""/>
    <s v="5669/"/>
    <s v=""/>
    <s v=""/>
    <s v="241"/>
    <s v=""/>
    <s v="21596"/>
    <s v="82703"/>
    <s v="84721"/>
    <s v="0224"/>
    <s v="0211"/>
    <s v=""/>
    <x v="212"/>
    <s v="43063 21596 82703 10224 20211 39425 40044 76166 84721 333 10241 5669/ 59002 6049/ 83720 86450 ="/>
    <m/>
    <s v="Prakash"/>
    <s v="23/10/2012 4:16:30 PM"/>
    <n v="2012"/>
    <x v="6"/>
    <x v="30"/>
    <n v="21.1"/>
    <n v="24.1"/>
    <s v=""/>
  </r>
  <r>
    <s v="01/08/2012"/>
    <s v="43063"/>
    <x v="1"/>
    <s v="23"/>
    <s v="21"/>
    <s v="10069"/>
    <s v="70265"/>
    <s v="58009"/>
    <s v="///"/>
    <s v="19"/>
    <s v=""/>
    <s v=""/>
    <s v="5669/"/>
    <s v=""/>
    <s v=""/>
    <s v=""/>
    <s v="192"/>
    <s v="21596"/>
    <s v="72702"/>
    <s v="87700"/>
    <s v="0230"/>
    <s v="0215"/>
    <s v=""/>
    <x v="213"/>
    <s v="43063 21596 72702 10230 20215 39448 40069 70265 87700 333 20192 5669/ 58009 6084/ 84730 85626 555 00839 10192 ="/>
    <n v="192"/>
    <s v="Prakash"/>
    <s v="23/10/2012 4:16:30 PM"/>
    <n v="2012"/>
    <x v="7"/>
    <x v="0"/>
    <n v="21.5"/>
    <s v=""/>
    <n v="19.2"/>
  </r>
  <r>
    <s v="01/08/2012"/>
    <s v="43063"/>
    <x v="0"/>
    <s v="23"/>
    <s v="22"/>
    <s v="10063"/>
    <s v="75065"/>
    <s v="58019"/>
    <s v="26"/>
    <s v="///"/>
    <s v=""/>
    <s v=""/>
    <s v="56690"/>
    <s v=""/>
    <s v=""/>
    <s v="260"/>
    <s v=""/>
    <s v="21597"/>
    <s v="72703"/>
    <s v="86730"/>
    <s v="0230"/>
    <s v="0217"/>
    <s v=""/>
    <x v="213"/>
    <s v="43063 21597 72703 10230 20217 39442 40063 75065 86730 333 10260 56690 58019 6007/ 82720 86626 ="/>
    <m/>
    <s v="Prakash"/>
    <s v="23/10/2012 4:16:30 PM"/>
    <n v="2012"/>
    <x v="7"/>
    <x v="0"/>
    <n v="21.7"/>
    <n v="26"/>
    <s v=""/>
  </r>
  <r>
    <s v="02/08/2012"/>
    <s v="43063"/>
    <x v="1"/>
    <s v="24"/>
    <s v="22"/>
    <s v="10076"/>
    <s v="76052"/>
    <s v="58008"/>
    <s v="///"/>
    <s v="22"/>
    <s v=""/>
    <s v=""/>
    <s v="5669/"/>
    <s v=""/>
    <s v=""/>
    <s v=""/>
    <s v="220"/>
    <s v="21596"/>
    <s v="82702"/>
    <s v="8671/"/>
    <s v="0236"/>
    <s v="0218"/>
    <s v=""/>
    <x v="214"/>
    <s v="43063 21596 82702 10236 20218 39456 40076 76052 8671/ 333 20220 5669/ 58008 6008/ 84720 83626 85458 555 00076 10199 ="/>
    <n v="220"/>
    <s v="Prakash"/>
    <s v="23/10/2012 4:16:30 PM"/>
    <n v="2012"/>
    <x v="7"/>
    <x v="1"/>
    <n v="21.8"/>
    <s v=""/>
    <n v="22"/>
  </r>
  <r>
    <s v="02/08/2012"/>
    <s v="43063"/>
    <x v="0"/>
    <s v="26"/>
    <s v="22"/>
    <s v="10047"/>
    <s v="70262"/>
    <s v="59009"/>
    <s v="28"/>
    <s v="///"/>
    <s v=""/>
    <s v=""/>
    <s v="56600"/>
    <s v=""/>
    <s v=""/>
    <s v="281"/>
    <s v=""/>
    <s v="21597"/>
    <s v="72511"/>
    <s v="83730"/>
    <s v="0260"/>
    <s v="0216"/>
    <s v=""/>
    <x v="214"/>
    <s v="43063 21597 72511 10260 20216 39433 40047 70262 83730 333 10281 56600 59009 6003/ 82720 85626 ="/>
    <m/>
    <s v="Prakash"/>
    <s v="23/10/2012 4:16:30 PM"/>
    <n v="2012"/>
    <x v="7"/>
    <x v="1"/>
    <n v="21.6"/>
    <n v="28.1"/>
    <s v=""/>
  </r>
  <r>
    <s v="03/08/2012"/>
    <s v="43063"/>
    <x v="1"/>
    <s v="24"/>
    <s v="21"/>
    <s v="10049"/>
    <s v="70262"/>
    <s v="59024"/>
    <s v="///"/>
    <s v="23"/>
    <s v=""/>
    <s v=""/>
    <s v="56690"/>
    <s v=""/>
    <s v=""/>
    <s v=""/>
    <s v="225"/>
    <s v="21597"/>
    <s v="72711"/>
    <s v="84730"/>
    <s v="0244"/>
    <s v="0212"/>
    <s v=""/>
    <x v="215"/>
    <s v="43063 21597 72711 10244 20212 39432 40049 70262 84730 333 20225 56690 59024 6004/ 82720 83626 85356 555 00041 10203 ="/>
    <n v="225"/>
    <s v="Prakash"/>
    <s v="23/10/2012 4:16:30 PM"/>
    <n v="2012"/>
    <x v="7"/>
    <x v="2"/>
    <n v="21.2"/>
    <s v=""/>
    <n v="22.5"/>
  </r>
  <r>
    <s v="03/08/2012"/>
    <s v="43063"/>
    <x v="0"/>
    <s v="23"/>
    <s v="21"/>
    <s v="10034"/>
    <s v="76065"/>
    <s v="59018"/>
    <s v="28"/>
    <s v="///"/>
    <s v=""/>
    <s v=""/>
    <s v="5669/"/>
    <s v=""/>
    <s v=""/>
    <s v="276"/>
    <s v=""/>
    <s v="21596"/>
    <s v="82704"/>
    <s v="8572/"/>
    <s v="0230"/>
    <s v="0215"/>
    <s v=""/>
    <x v="215"/>
    <s v="43063 21596 82704 10230 20215 39415 40034 76065 8572/ 333 10276 5669/ 59018 6002/ 84720 85450 ="/>
    <m/>
    <s v="Prakash"/>
    <s v="23/10/2012 4:16:30 PM"/>
    <n v="2012"/>
    <x v="7"/>
    <x v="2"/>
    <n v="21.5"/>
    <n v="27.6"/>
    <s v=""/>
  </r>
  <r>
    <s v="04/08/2012"/>
    <s v="43063"/>
    <x v="0"/>
    <s v="24"/>
    <s v="22"/>
    <s v="10031"/>
    <s v="76065"/>
    <s v="59001"/>
    <s v="27"/>
    <s v="///"/>
    <s v=""/>
    <s v=""/>
    <s v="5669/"/>
    <s v=""/>
    <s v=""/>
    <s v="274"/>
    <s v=""/>
    <s v="21596"/>
    <s v="82705"/>
    <s v="8572/"/>
    <s v="0238"/>
    <s v="0218"/>
    <s v=""/>
    <x v="216"/>
    <s v="43063 21596 82705 10238 20218 39414 40031 76065 8572/ 333 10274 5669/ 59001 6997/ 85720 86450 ="/>
    <m/>
    <s v="Prakash"/>
    <s v="23/10/2012 4:16:30 PM"/>
    <n v="2012"/>
    <x v="7"/>
    <x v="3"/>
    <n v="21.8"/>
    <n v="27.4"/>
    <s v=""/>
  </r>
  <r>
    <s v="04/08/2012"/>
    <s v="43063"/>
    <x v="1"/>
    <s v="24"/>
    <s v="21"/>
    <s v="10032"/>
    <s v="72162"/>
    <s v="59015"/>
    <s v="///"/>
    <s v="22"/>
    <s v=""/>
    <s v=""/>
    <s v="56690"/>
    <s v=""/>
    <s v=""/>
    <s v=""/>
    <s v="222"/>
    <s v="21596"/>
    <s v="72705"/>
    <s v="86720"/>
    <s v="0244"/>
    <s v="0209"/>
    <s v=""/>
    <x v="216"/>
    <s v="43063 21596 72705 10244 20209 39417 40032 72162 86720 333 20222 56690 59015 6005/ 83720 85626 555 00054 10209 ="/>
    <n v="222"/>
    <s v="Prakash"/>
    <s v="23/10/2012 4:16:30 PM"/>
    <n v="2012"/>
    <x v="7"/>
    <x v="3"/>
    <n v="20.9"/>
    <s v=""/>
    <n v="22.2"/>
  </r>
  <r>
    <s v="05/08/2012"/>
    <s v="43063"/>
    <x v="0"/>
    <s v="25"/>
    <s v="22"/>
    <s v="10033"/>
    <s v="70252"/>
    <s v="58006"/>
    <s v="29"/>
    <s v="///"/>
    <s v=""/>
    <s v=""/>
    <s v="56690"/>
    <s v=""/>
    <s v=""/>
    <s v="286"/>
    <s v=""/>
    <s v="21597"/>
    <s v="72704"/>
    <s v="86730"/>
    <s v="0255"/>
    <s v="0217"/>
    <s v=""/>
    <x v="217"/>
    <s v="43063 21597 72704 10255 20217 39420 40033 70252 86730 333 10286 56690 58006 6991/ 83720 86626 ="/>
    <m/>
    <s v="Prakash"/>
    <s v="23/10/2012 4:16:30 PM"/>
    <n v="2012"/>
    <x v="7"/>
    <x v="4"/>
    <n v="21.7"/>
    <n v="28.6"/>
    <s v=""/>
  </r>
  <r>
    <s v="05/08/2012"/>
    <s v="43063"/>
    <x v="1"/>
    <s v="24"/>
    <s v="21"/>
    <s v="10048"/>
    <s v="70265"/>
    <s v="58014"/>
    <s v="///"/>
    <s v="22"/>
    <s v=""/>
    <s v=""/>
    <s v="56690"/>
    <s v=""/>
    <s v=""/>
    <s v=""/>
    <s v="222"/>
    <s v="21596"/>
    <s v="72703"/>
    <s v="87700"/>
    <s v="0243"/>
    <s v="0215"/>
    <s v=""/>
    <x v="217"/>
    <s v="43063 21596 72703 10243 20215 39431 40048 70265 87700 333 20222 56690 58014 6003/ 83720 85626 555 00035 10212 ="/>
    <n v="222"/>
    <s v="Prakash"/>
    <s v="23/10/2012 4:16:30 PM"/>
    <n v="2012"/>
    <x v="7"/>
    <x v="4"/>
    <n v="21.5"/>
    <s v=""/>
    <n v="22.2"/>
  </r>
  <r>
    <s v="06/08/2012"/>
    <s v="43063"/>
    <x v="1"/>
    <s v="24"/>
    <s v="22"/>
    <s v="10046"/>
    <s v="7////"/>
    <s v="58017"/>
    <s v="///"/>
    <s v="22"/>
    <s v=""/>
    <s v=""/>
    <s v="56690"/>
    <s v=""/>
    <s v=""/>
    <s v=""/>
    <s v="222"/>
    <s v="22597"/>
    <s v="72704"/>
    <s v="86730"/>
    <s v="0241"/>
    <s v="0217"/>
    <s v=""/>
    <x v="218"/>
    <s v="43063 22597 72704 10241 20217 39430 40046 86730 333 20222 56690 58017 6992/ 83720 85626 555 00002 10213 ="/>
    <n v="222"/>
    <s v="Prakash"/>
    <s v="23/10/2012 4:16:30 PM"/>
    <n v="2012"/>
    <x v="7"/>
    <x v="5"/>
    <n v="21.7"/>
    <s v=""/>
    <n v="22.2"/>
  </r>
  <r>
    <s v="06/08/2012"/>
    <s v="43063"/>
    <x v="0"/>
    <s v="24"/>
    <s v="22"/>
    <s v="10032"/>
    <s v="72152"/>
    <s v="59005"/>
    <s v="27"/>
    <s v="///"/>
    <s v=""/>
    <s v=""/>
    <s v="566//"/>
    <s v=""/>
    <s v=""/>
    <s v="268"/>
    <s v=""/>
    <s v="21597"/>
    <s v="82704"/>
    <s v="88700"/>
    <s v="0240"/>
    <s v="0223"/>
    <s v=""/>
    <x v="218"/>
    <s v="43063 21597 82704 10240 20223 39415 40032 72152 88700 333 10268 566// 59005 6998/ 84720 85626 ="/>
    <m/>
    <s v="Prakash"/>
    <s v="23/10/2012 4:16:30 PM"/>
    <n v="2012"/>
    <x v="7"/>
    <x v="5"/>
    <n v="22.3"/>
    <n v="26.8"/>
    <s v=""/>
  </r>
  <r>
    <s v="07/08/2012"/>
    <s v="43063"/>
    <x v="1"/>
    <s v="24"/>
    <s v="23"/>
    <s v="10052"/>
    <s v="72152"/>
    <s v="58003"/>
    <s v="///"/>
    <s v="22"/>
    <s v=""/>
    <s v=""/>
    <s v="56600"/>
    <s v=""/>
    <s v=""/>
    <s v=""/>
    <s v="221"/>
    <s v="21597"/>
    <s v="62705"/>
    <s v="86700"/>
    <s v="0240"/>
    <s v="0226"/>
    <s v=""/>
    <x v="219"/>
    <s v="43063 21597 62705 10240 20226 39433 40052 72152 86700 333 20221 56600 58003 6004/ 83720 84626 555 00038 10216 ="/>
    <n v="221"/>
    <s v="Prakash"/>
    <s v="23/10/2012 4:16:30 PM"/>
    <n v="2012"/>
    <x v="7"/>
    <x v="6"/>
    <n v="22.6"/>
    <s v=""/>
    <n v="22.1"/>
  </r>
  <r>
    <s v="07/08/2012"/>
    <s v="43063"/>
    <x v="0"/>
    <s v="26"/>
    <s v="22"/>
    <s v="10029"/>
    <s v="75065"/>
    <s v="58001"/>
    <s v="28"/>
    <s v="///"/>
    <s v=""/>
    <s v=""/>
    <s v="56600"/>
    <s v=""/>
    <s v=""/>
    <s v="284"/>
    <s v=""/>
    <s v="21596"/>
    <s v="72703"/>
    <s v="87700"/>
    <s v="0256"/>
    <s v="0221"/>
    <s v=""/>
    <x v="219"/>
    <s v="43063 21596 72703 10256 20221 39416 40029 75065 87700 333 10284 56600 58001 6002/ 83720 85626 ="/>
    <m/>
    <s v="Prakash"/>
    <s v="23/10/2012 4:16:30 PM"/>
    <n v="2012"/>
    <x v="7"/>
    <x v="6"/>
    <n v="22.1"/>
    <n v="28.4"/>
    <s v=""/>
  </r>
  <r>
    <s v="08/08/2012"/>
    <s v="43063"/>
    <x v="0"/>
    <s v="26"/>
    <s v="21"/>
    <s v="10042"/>
    <s v="76062"/>
    <s v="58013"/>
    <s v="28"/>
    <s v="///"/>
    <s v=""/>
    <s v=""/>
    <s v="56600"/>
    <s v=""/>
    <s v=""/>
    <s v="284"/>
    <s v=""/>
    <s v="21597"/>
    <s v="72706"/>
    <s v="87700"/>
    <s v="0256"/>
    <s v="0209"/>
    <s v=""/>
    <x v="220"/>
    <s v="43063 21597 72706 10256 20209 39429 40042 76062 87700 333 10284 56600 58013 6002/ 85720 ="/>
    <m/>
    <s v="Prakash"/>
    <s v="23/10/2012 4:16:30 PM"/>
    <n v="2012"/>
    <x v="7"/>
    <x v="7"/>
    <n v="20.9"/>
    <n v="28.4"/>
    <s v=""/>
  </r>
  <r>
    <s v="08/08/2012"/>
    <s v="43063"/>
    <x v="1"/>
    <s v="23"/>
    <s v="23"/>
    <s v="10062"/>
    <s v="76065"/>
    <s v="58010"/>
    <s v="///"/>
    <s v="22"/>
    <s v=""/>
    <s v=""/>
    <s v="5669/"/>
    <s v=""/>
    <s v=""/>
    <s v=""/>
    <s v="223"/>
    <s v="21596"/>
    <s v="82702"/>
    <s v="8772/"/>
    <s v="0234"/>
    <s v="0225"/>
    <s v=""/>
    <x v="220"/>
    <s v="43063 21596 82702 10234 20225 39443 40062 76065 8772/ 333 20223 5669/ 58010 6005/ 83720 85626 555 00052 10222 ="/>
    <n v="223"/>
    <s v="Prakash"/>
    <s v="23/10/2012 4:16:30 PM"/>
    <n v="2012"/>
    <x v="7"/>
    <x v="7"/>
    <n v="22.5"/>
    <s v=""/>
    <n v="22.3"/>
  </r>
  <r>
    <s v="09/08/2012"/>
    <s v="43063"/>
    <x v="1"/>
    <s v="24"/>
    <s v="21"/>
    <s v="10057"/>
    <s v="76065"/>
    <s v="59005"/>
    <s v="///"/>
    <s v="22"/>
    <s v=""/>
    <s v=""/>
    <s v="56600"/>
    <s v=""/>
    <s v=""/>
    <s v=""/>
    <s v="216"/>
    <s v="21596"/>
    <s v="72703"/>
    <s v="87700"/>
    <s v="0240"/>
    <s v="0214"/>
    <s v=""/>
    <x v="221"/>
    <s v="43063 21596 72703 10240 20214 39438 40057 76065 87700 333 20216 56600 59005 6006/ 83720 85626 555 00062 10228 ="/>
    <n v="216"/>
    <s v="Prakash"/>
    <s v="23/10/2012 4:16:30 PM"/>
    <n v="2012"/>
    <x v="7"/>
    <x v="8"/>
    <n v="21.4"/>
    <s v=""/>
    <n v="21.6"/>
  </r>
  <r>
    <s v="09/08/2012"/>
    <s v="43063"/>
    <x v="0"/>
    <s v="24"/>
    <s v="20"/>
    <s v="10036"/>
    <s v="76065"/>
    <s v="59008"/>
    <s v="28"/>
    <s v="///"/>
    <s v=""/>
    <s v=""/>
    <s v="566//"/>
    <s v=""/>
    <s v=""/>
    <s v="276"/>
    <s v=""/>
    <s v="21596"/>
    <s v="82505"/>
    <s v="887//"/>
    <s v="0244"/>
    <s v="0201"/>
    <s v=""/>
    <x v="221"/>
    <s v="43063 21596 82505 10244 20201 39421 40036 76065 887// 333 10276 566// 59008 6002/ 83720 86626 ="/>
    <m/>
    <s v="Prakash"/>
    <s v="23/10/2012 4:16:30 PM"/>
    <n v="2012"/>
    <x v="7"/>
    <x v="8"/>
    <n v="20.100000000000001"/>
    <n v="27.6"/>
    <s v=""/>
  </r>
  <r>
    <s v="10/08/2012"/>
    <s v="43063"/>
    <x v="1"/>
    <s v="23"/>
    <s v="22"/>
    <s v="10048"/>
    <s v="76065"/>
    <s v="59038"/>
    <s v="///"/>
    <s v="22"/>
    <s v=""/>
    <s v=""/>
    <s v="56600"/>
    <s v=""/>
    <s v=""/>
    <s v=""/>
    <s v="223"/>
    <s v="21596"/>
    <s v="72703"/>
    <s v="87700"/>
    <s v="0232"/>
    <s v="0220"/>
    <s v=""/>
    <x v="222"/>
    <s v="43063 21596 72703 10232 20220 39430 40048 76065 87700 333 20223 56600 59038 6019/ 83720 85626 555 00186 10246 ="/>
    <n v="223"/>
    <s v="Prakash"/>
    <s v="23/10/2012 4:16:30 PM"/>
    <n v="2012"/>
    <x v="7"/>
    <x v="9"/>
    <n v="22"/>
    <s v=""/>
    <n v="22.3"/>
  </r>
  <r>
    <s v="10/08/2012"/>
    <s v="43063"/>
    <x v="0"/>
    <s v="26"/>
    <s v="21"/>
    <s v="10016"/>
    <s v="70265"/>
    <s v="59017"/>
    <s v="27"/>
    <s v="///"/>
    <s v=""/>
    <s v=""/>
    <s v="56600"/>
    <s v=""/>
    <s v=""/>
    <s v="275"/>
    <s v=""/>
    <s v="21597"/>
    <s v="72705"/>
    <s v="87700"/>
    <s v="0260"/>
    <s v="0207"/>
    <s v=""/>
    <x v="222"/>
    <s v="43063 21597 72705 10260 20207 39404 40016 70265 87700 333 10275 56600 59017 6992/ 84720 84626 ="/>
    <m/>
    <s v="Prakash"/>
    <s v="23/10/2012 4:16:30 PM"/>
    <n v="2012"/>
    <x v="7"/>
    <x v="9"/>
    <n v="20.7"/>
    <n v="27.5"/>
    <s v=""/>
  </r>
  <r>
    <s v="11/08/2012"/>
    <s v="43063"/>
    <x v="1"/>
    <s v="23"/>
    <s v="21"/>
    <s v="10042"/>
    <s v="7////"/>
    <s v="59005"/>
    <s v="///"/>
    <s v="21"/>
    <s v=""/>
    <s v=""/>
    <s v="56600"/>
    <s v=""/>
    <s v=""/>
    <s v=""/>
    <s v="212"/>
    <s v="22597"/>
    <s v="72704"/>
    <s v="87700"/>
    <s v="0232"/>
    <s v="0208"/>
    <s v=""/>
    <x v="223"/>
    <s v="43063 22597 72704 10232 20208 39425 40042 87700 333 20212 56600 59005 6002/ 83720 85626 555 00019 10248 ="/>
    <n v="212"/>
    <s v="Prakash"/>
    <s v="23/10/2012 4:16:30 PM"/>
    <n v="2012"/>
    <x v="7"/>
    <x v="10"/>
    <n v="20.8"/>
    <s v=""/>
    <n v="21.2"/>
  </r>
  <r>
    <s v="11/08/2012"/>
    <s v="43063"/>
    <x v="0"/>
    <s v="25"/>
    <s v="21"/>
    <s v="10027"/>
    <s v="70262"/>
    <s v="58008"/>
    <s v="28"/>
    <s v="///"/>
    <s v=""/>
    <s v=""/>
    <s v="56600"/>
    <s v=""/>
    <s v=""/>
    <s v="279"/>
    <s v=""/>
    <s v="21597"/>
    <s v="72704"/>
    <s v="87700"/>
    <s v="0250"/>
    <s v="0209"/>
    <s v=""/>
    <x v="223"/>
    <s v="43063 21597 72704 10250 20209 39412 40027 70262 87700 333 10279 56600 58008 6997/ 84720 85626 ="/>
    <m/>
    <s v="Prakash"/>
    <s v="23/10/2012 4:16:30 PM"/>
    <n v="2012"/>
    <x v="7"/>
    <x v="10"/>
    <n v="20.9"/>
    <n v="27.9"/>
    <s v=""/>
  </r>
  <r>
    <s v="12/08/2012"/>
    <s v="43063"/>
    <x v="0"/>
    <s v="24"/>
    <s v="20"/>
    <s v="10036"/>
    <s v="70262"/>
    <s v="58007"/>
    <s v="28"/>
    <s v="///"/>
    <s v=""/>
    <s v=""/>
    <s v="56600"/>
    <s v=""/>
    <s v=""/>
    <s v="281"/>
    <s v=""/>
    <s v="21597"/>
    <s v="72703"/>
    <s v="87700"/>
    <s v="0240"/>
    <s v="0204"/>
    <s v=""/>
    <x v="224"/>
    <s v="43063 21597 72703 10240 20204 39419 40036 70262 87700 333 10281 56600 58007 6003/ 83720 85626 ="/>
    <m/>
    <s v="Prakash"/>
    <s v="23/10/2012 4:16:30 PM"/>
    <n v="2012"/>
    <x v="7"/>
    <x v="11"/>
    <n v="20.399999999999999"/>
    <n v="28.1"/>
    <s v=""/>
  </r>
  <r>
    <s v="12/08/2012"/>
    <s v="43063"/>
    <x v="1"/>
    <s v="25"/>
    <s v="21"/>
    <s v="10049"/>
    <s v="7////"/>
    <s v="58007"/>
    <s v="///"/>
    <s v="22"/>
    <s v=""/>
    <s v=""/>
    <s v="56600"/>
    <s v=""/>
    <s v=""/>
    <s v=""/>
    <s v="221"/>
    <s v="22597"/>
    <s v="72702"/>
    <s v="87700"/>
    <s v="0250"/>
    <s v="0209"/>
    <s v=""/>
    <x v="224"/>
    <s v="43063 22597 72702 10250 20209 39432 40049 87700 333 20221 56600 58007 6997/ 83720 85626 555 00007 10249 ="/>
    <n v="221"/>
    <s v="Prakash"/>
    <s v="23/10/2012 4:16:30 PM"/>
    <n v="2012"/>
    <x v="7"/>
    <x v="11"/>
    <n v="20.9"/>
    <s v=""/>
    <n v="22.1"/>
  </r>
  <r>
    <s v="13/08/2012"/>
    <s v="43063"/>
    <x v="1"/>
    <s v="24"/>
    <s v="21"/>
    <s v="10052"/>
    <s v="70262"/>
    <s v="58003"/>
    <s v="///"/>
    <s v="22"/>
    <s v=""/>
    <s v=""/>
    <s v="56600"/>
    <s v=""/>
    <s v=""/>
    <s v=""/>
    <s v="221"/>
    <s v="21597"/>
    <s v="62702"/>
    <s v="84701"/>
    <s v="0241"/>
    <s v="0213"/>
    <s v=""/>
    <x v="225"/>
    <s v="43063 21597 62702 10241 20213 39435 40052 70262 84701 333 20221 56600 58003 6004/ 81720 84626 555 00040 10253 ="/>
    <n v="221"/>
    <s v="Prakash"/>
    <s v="23/10/2012 4:16:30 PM"/>
    <n v="2012"/>
    <x v="7"/>
    <x v="12"/>
    <n v="21.3"/>
    <s v=""/>
    <n v="22.1"/>
  </r>
  <r>
    <s v="13/08/2012"/>
    <s v="43063"/>
    <x v="0"/>
    <s v="27"/>
    <s v="20"/>
    <s v="10031"/>
    <s v="70262"/>
    <s v="58001"/>
    <s v="29"/>
    <s v="///"/>
    <s v=""/>
    <s v=""/>
    <s v="56600"/>
    <s v=""/>
    <s v=""/>
    <s v="286"/>
    <s v=""/>
    <s v="21597"/>
    <s v="52704"/>
    <s v="85700"/>
    <s v="0265"/>
    <s v="0200"/>
    <s v=""/>
    <x v="225"/>
    <s v="43063 21597 52704 10265 20200 39420 40031 70262 85700 333 10286 56600 58001 6991/ 82720 83626 ="/>
    <m/>
    <s v="Prakash"/>
    <s v="23/10/2012 4:16:30 PM"/>
    <n v="2012"/>
    <x v="7"/>
    <x v="12"/>
    <n v="20"/>
    <n v="28.6"/>
    <s v=""/>
  </r>
  <r>
    <s v="14/08/2012"/>
    <s v="43063"/>
    <x v="0"/>
    <s v="26"/>
    <s v="20"/>
    <s v="10041"/>
    <s v="7////"/>
    <s v="58008"/>
    <s v="29"/>
    <s v="///"/>
    <s v=""/>
    <s v=""/>
    <s v="56690"/>
    <s v=""/>
    <s v=""/>
    <s v="289"/>
    <s v=""/>
    <s v="22596"/>
    <s v="62703"/>
    <s v="86730"/>
    <s v="0258"/>
    <s v="0202"/>
    <s v=""/>
    <x v="226"/>
    <s v="43063 22596 62703 10258 20202 39428 40041 86730 333 10289 56690 58008 6990/ 82720 84626 ="/>
    <m/>
    <s v="Prakash"/>
    <s v="23/10/2012 4:16:30 PM"/>
    <n v="2012"/>
    <x v="7"/>
    <x v="13"/>
    <n v="20.2"/>
    <n v="28.9"/>
    <s v=""/>
  </r>
  <r>
    <s v="14/08/2012"/>
    <s v="43063"/>
    <x v="1"/>
    <s v="25"/>
    <s v="21"/>
    <s v="10063"/>
    <s v="7////"/>
    <s v="58011"/>
    <s v="///"/>
    <s v="22"/>
    <s v=""/>
    <s v=""/>
    <s v="56600"/>
    <s v=""/>
    <s v=""/>
    <s v=""/>
    <s v="219"/>
    <s v="22597"/>
    <s v="52703"/>
    <s v="85700"/>
    <s v="0246"/>
    <s v="0205"/>
    <s v=""/>
    <x v="226"/>
    <s v="43063 22597 52703 10246 20205 39446 40063 85700 333 20219 56600 58011 6991/ 82720 83626 555 00001 10253 ="/>
    <n v="219"/>
    <s v="Prakash"/>
    <s v="23/10/2012 4:16:30 PM"/>
    <n v="2012"/>
    <x v="7"/>
    <x v="13"/>
    <n v="20.5"/>
    <s v=""/>
    <n v="21.9"/>
  </r>
  <r>
    <s v="15/08/2012"/>
    <s v="43063"/>
    <x v="0"/>
    <s v="26"/>
    <s v="20"/>
    <s v="10053"/>
    <s v="70252"/>
    <s v="58013"/>
    <s v="28"/>
    <s v="///"/>
    <s v=""/>
    <s v=""/>
    <s v="56609"/>
    <s v=""/>
    <s v=""/>
    <s v="284"/>
    <s v=""/>
    <s v="21597"/>
    <s v="62704"/>
    <s v="85701"/>
    <s v="0262"/>
    <s v="0203"/>
    <s v=""/>
    <x v="227"/>
    <s v="43063 21597 62704 10262 20203 39441 40053 70252 85701 333 10284 56609 58013 6990/ 82720 83626 ="/>
    <m/>
    <s v="Prakash"/>
    <s v="23/10/2012 4:16:30 PM"/>
    <n v="2012"/>
    <x v="7"/>
    <x v="14"/>
    <n v="20.3"/>
    <n v="28.4"/>
    <s v=""/>
  </r>
  <r>
    <s v="15/08/2012"/>
    <s v="43063"/>
    <x v="1"/>
    <s v="25"/>
    <s v="21"/>
    <s v="10072"/>
    <s v="7////"/>
    <s v="58008"/>
    <s v="///"/>
    <s v="22"/>
    <s v=""/>
    <s v=""/>
    <s v="56600"/>
    <s v=""/>
    <s v=""/>
    <s v=""/>
    <s v="221"/>
    <s v="22597"/>
    <s v="42704"/>
    <s v="84700"/>
    <s v="0250"/>
    <s v="0209"/>
    <s v=""/>
    <x v="227"/>
    <s v="43063 22597 42704 10250 20209 39454 40072 84700 333 20221 56600 58008 6990/ 82720 83626 555 00000 10253 ="/>
    <n v="221"/>
    <s v="Prakash"/>
    <s v="23/10/2012 4:16:30 PM"/>
    <n v="2012"/>
    <x v="7"/>
    <x v="14"/>
    <n v="20.9"/>
    <s v=""/>
    <n v="22.1"/>
  </r>
  <r>
    <s v="16/08/2012"/>
    <s v="43063"/>
    <x v="1"/>
    <s v="25"/>
    <s v="21"/>
    <s v="10072"/>
    <s v="70252"/>
    <s v="58000"/>
    <s v="///"/>
    <s v="22"/>
    <s v=""/>
    <s v=""/>
    <s v="56600"/>
    <s v=""/>
    <s v=""/>
    <s v=""/>
    <s v="216"/>
    <s v="21597"/>
    <s v="42703"/>
    <s v="84700"/>
    <s v="0250"/>
    <s v="0209"/>
    <s v=""/>
    <x v="228"/>
    <s v="43063 21597 42703 10250 20209 39454 40072 70252 84700 333 20216 56600 58000 6990/ 81720 83626 555 00000 10253 ="/>
    <n v="216"/>
    <s v="Prakash"/>
    <s v="23/10/2012 4:16:30 PM"/>
    <n v="2012"/>
    <x v="7"/>
    <x v="15"/>
    <n v="20.9"/>
    <s v=""/>
    <n v="21.6"/>
  </r>
  <r>
    <s v="16/08/2012"/>
    <s v="43063"/>
    <x v="0"/>
    <s v="27"/>
    <s v="20"/>
    <s v="10047"/>
    <s v="7////"/>
    <s v="59004"/>
    <s v="29"/>
    <s v="///"/>
    <s v=""/>
    <s v=""/>
    <s v="56609"/>
    <s v=""/>
    <s v=""/>
    <s v="289"/>
    <s v=""/>
    <s v="22597"/>
    <s v="62702"/>
    <s v="84701"/>
    <s v="0275"/>
    <s v="0199"/>
    <s v=""/>
    <x v="228"/>
    <s v="43063 22597 62702 10275 20199 39437 40047 84701 333 10289 56609 59004 6990/ 81720 83626 ="/>
    <m/>
    <s v="Prakash"/>
    <s v="23/10/2012 4:16:30 PM"/>
    <n v="2012"/>
    <x v="7"/>
    <x v="15"/>
    <n v="19.899999999999999"/>
    <n v="28.9"/>
    <s v=""/>
  </r>
  <r>
    <s v="17/08/2012"/>
    <s v="43063"/>
    <x v="1"/>
    <s v="24"/>
    <s v="20"/>
    <s v="10075"/>
    <s v="7////"/>
    <s v="58003"/>
    <s v="///"/>
    <s v="21"/>
    <s v=""/>
    <s v=""/>
    <s v="56///"/>
    <s v=""/>
    <s v=""/>
    <s v=""/>
    <s v="212"/>
    <s v="22597"/>
    <s v="62703"/>
    <s v="82501"/>
    <s v="0244"/>
    <s v="0199"/>
    <s v=""/>
    <x v="229"/>
    <s v="43063 22597 62703 10244 20199 39457 40075 82501 333 20212 58003 6990/ 82626 85070 555 00000 10253 ="/>
    <n v="212"/>
    <s v="Prakash"/>
    <s v="23/10/2012 4:16:30 PM"/>
    <n v="2012"/>
    <x v="7"/>
    <x v="16"/>
    <n v="19.899999999999999"/>
    <s v=""/>
    <n v="21.2"/>
  </r>
  <r>
    <s v="17/08/2012"/>
    <s v="43063"/>
    <x v="0"/>
    <s v="27"/>
    <s v="19"/>
    <s v="10045"/>
    <s v="70262"/>
    <s v="59002"/>
    <s v="29"/>
    <s v="///"/>
    <s v=""/>
    <s v=""/>
    <s v="56609"/>
    <s v=""/>
    <s v=""/>
    <s v="288"/>
    <s v=""/>
    <s v="21597"/>
    <s v="62704"/>
    <s v="84701"/>
    <s v="0271"/>
    <s v="0189"/>
    <s v=""/>
    <x v="229"/>
    <s v="43063 21597 62704 10271 20189 39435 40045 70262 84701 333 10288 56609 59002 6997/ 81720 83626 ="/>
    <m/>
    <s v="Prakash"/>
    <s v="23/10/2012 4:16:30 PM"/>
    <n v="2012"/>
    <x v="7"/>
    <x v="16"/>
    <n v="18.899999999999999"/>
    <n v="28.8"/>
    <s v=""/>
  </r>
  <r>
    <s v="18/08/2012"/>
    <s v="43063"/>
    <x v="1"/>
    <s v="25"/>
    <s v="21"/>
    <s v="10071"/>
    <s v="7////"/>
    <s v="59004"/>
    <s v="///"/>
    <s v="21"/>
    <s v=""/>
    <s v=""/>
    <s v="56609"/>
    <s v=""/>
    <s v=""/>
    <s v=""/>
    <s v="210"/>
    <s v="22596"/>
    <s v="72701"/>
    <s v="86701"/>
    <s v="0247"/>
    <s v="0213"/>
    <s v=""/>
    <x v="230"/>
    <s v="43063 22596 72701 10247 20213 39453 40071 86701 333 20210 56609 59004 6997/ 82720 85626 555 00007 10254 ="/>
    <n v="210"/>
    <s v="Prakash"/>
    <s v="23/10/2012 4:16:30 PM"/>
    <n v="2012"/>
    <x v="7"/>
    <x v="17"/>
    <n v="21.3"/>
    <s v=""/>
    <n v="21"/>
  </r>
  <r>
    <s v="18/08/2012"/>
    <s v="43063"/>
    <x v="0"/>
    <s v="26"/>
    <s v="20"/>
    <s v="10042"/>
    <s v="7////"/>
    <s v="59006"/>
    <s v="28"/>
    <s v="///"/>
    <s v=""/>
    <s v=""/>
    <s v="56600"/>
    <s v=""/>
    <s v=""/>
    <s v="283"/>
    <s v=""/>
    <s v="22596"/>
    <s v="52705"/>
    <s v="85700"/>
    <s v="0260"/>
    <s v="0204"/>
    <s v=""/>
    <x v="230"/>
    <s v="43063 22596 52705 10260 20204 39429 40042 85700 333 10283 56600 59006 6996/ 82720 84626 ="/>
    <m/>
    <s v="Prakash"/>
    <s v="23/10/2012 4:16:30 PM"/>
    <n v="2012"/>
    <x v="7"/>
    <x v="17"/>
    <n v="20.399999999999999"/>
    <n v="28.3"/>
    <s v=""/>
  </r>
  <r>
    <s v="19/08/2012"/>
    <s v="43063"/>
    <x v="0"/>
    <s v="24"/>
    <s v="21"/>
    <s v="10028"/>
    <s v="7////"/>
    <s v="59016"/>
    <s v="27"/>
    <s v="///"/>
    <s v=""/>
    <s v=""/>
    <s v="56600"/>
    <s v=""/>
    <s v=""/>
    <s v="269"/>
    <s v=""/>
    <s v="22597"/>
    <s v="72703"/>
    <s v="87700"/>
    <s v="0244"/>
    <s v="0209"/>
    <s v=""/>
    <x v="231"/>
    <s v="43063 22597 72703 10244 20209 39413 40028 87700 333 10269 56600 59016 6009/ 83720 84626 ="/>
    <m/>
    <s v="Prakash"/>
    <s v="23/10/2012 4:16:30 PM"/>
    <n v="2012"/>
    <x v="7"/>
    <x v="18"/>
    <n v="20.9"/>
    <n v="26.9"/>
    <s v=""/>
  </r>
  <r>
    <s v="19/08/2012"/>
    <s v="43063"/>
    <x v="1"/>
    <s v="22"/>
    <s v="22"/>
    <s v="10054"/>
    <s v="76165"/>
    <s v="59020"/>
    <s v="///"/>
    <s v="21"/>
    <s v=""/>
    <s v=""/>
    <s v="56///"/>
    <s v=""/>
    <s v=""/>
    <s v=""/>
    <s v="213"/>
    <s v="21596"/>
    <s v="82704"/>
    <s v="8672/"/>
    <s v="0222"/>
    <s v="0217"/>
    <s v=""/>
    <x v="231"/>
    <s v="43063 21596 82704 10222 20217 39433 40054 76165 8672/ 333 20213 59020 6009/ 84720 84626 85458 555 00088 10263 ="/>
    <n v="213"/>
    <s v="Prakash"/>
    <s v="23/10/2012 4:16:30 PM"/>
    <n v="2012"/>
    <x v="7"/>
    <x v="18"/>
    <n v="21.7"/>
    <s v=""/>
    <n v="21.3"/>
  </r>
  <r>
    <s v="20/08/2012"/>
    <s v="43063"/>
    <x v="1"/>
    <s v="24"/>
    <s v="21"/>
    <s v="10041"/>
    <s v="7////"/>
    <s v="59007"/>
    <s v="///"/>
    <s v="22"/>
    <s v=""/>
    <s v=""/>
    <s v="56600"/>
    <s v=""/>
    <s v=""/>
    <s v=""/>
    <s v="220"/>
    <s v="22597"/>
    <s v="72701"/>
    <s v="87700"/>
    <s v="0244"/>
    <s v="0209"/>
    <s v=""/>
    <x v="232"/>
    <s v="43063 22597 72701 10244 20209 39426 40041 87700 333 20220 56600 59007 6009/ 83720 85626 555 00086 10271 ="/>
    <n v="220"/>
    <s v="Prakash"/>
    <s v="23/10/2012 4:16:30 PM"/>
    <n v="2012"/>
    <x v="7"/>
    <x v="19"/>
    <n v="20.9"/>
    <s v=""/>
    <n v="22"/>
  </r>
  <r>
    <s v="20/08/2012"/>
    <s v="43063"/>
    <x v="0"/>
    <s v="26"/>
    <s v="20"/>
    <s v="10031"/>
    <s v="7////"/>
    <s v="58007"/>
    <s v="28"/>
    <s v="///"/>
    <s v=""/>
    <s v=""/>
    <s v="56699"/>
    <s v=""/>
    <s v=""/>
    <s v="284"/>
    <s v=""/>
    <s v="32597"/>
    <s v="62704"/>
    <s v="84731"/>
    <s v="0262"/>
    <s v="0203"/>
    <s v=""/>
    <x v="232"/>
    <s v="43063 32597 62704 10262 20203 39420 40031 84731 333 10284 56699 58007 82720 83626 ="/>
    <m/>
    <s v="Prakash"/>
    <s v="23/10/2012 4:16:30 PM"/>
    <n v="2012"/>
    <x v="7"/>
    <x v="19"/>
    <n v="20.3"/>
    <n v="28.4"/>
    <s v=""/>
  </r>
  <r>
    <s v="21/08/2012"/>
    <s v="43063"/>
    <x v="1"/>
    <s v="24"/>
    <s v="21"/>
    <s v="10066"/>
    <s v="7////"/>
    <s v="58021"/>
    <s v="///"/>
    <s v="21"/>
    <s v=""/>
    <s v=""/>
    <s v="56600"/>
    <s v=""/>
    <s v=""/>
    <s v=""/>
    <s v="208"/>
    <s v="22596"/>
    <s v="72701"/>
    <s v="87700"/>
    <s v="0240"/>
    <s v="0211"/>
    <s v=""/>
    <x v="233"/>
    <s v="43063 22596 72701 10240 20211 39447 40066 87700 333 20208 56600 58021 6990/ 83720 85626 555 00000 10271 ="/>
    <n v="208"/>
    <s v="Prakash"/>
    <s v="23/10/2012 4:16:30 PM"/>
    <n v="2012"/>
    <x v="7"/>
    <x v="20"/>
    <n v="21.1"/>
    <s v=""/>
    <n v="20.8"/>
  </r>
  <r>
    <s v="21/08/2012"/>
    <s v="43063"/>
    <x v="0"/>
    <s v="26"/>
    <s v="21"/>
    <s v="10041"/>
    <s v="7////"/>
    <s v="58010"/>
    <s v="28"/>
    <s v="///"/>
    <s v=""/>
    <s v=""/>
    <s v="56699"/>
    <s v=""/>
    <s v=""/>
    <s v="283"/>
    <s v=""/>
    <s v="32597"/>
    <s v="72903"/>
    <s v="85731"/>
    <s v="0261"/>
    <s v="0207"/>
    <s v=""/>
    <x v="233"/>
    <s v="43063 32597 72903 10261 20207 39430 40041 85731 333 10283 56699 58010 82720 84626 ="/>
    <m/>
    <s v="Prakash"/>
    <s v="23/10/2012 4:16:30 PM"/>
    <n v="2012"/>
    <x v="7"/>
    <x v="20"/>
    <n v="20.7"/>
    <n v="28.3"/>
    <s v=""/>
  </r>
  <r>
    <s v="22/08/2012"/>
    <s v="43063"/>
    <x v="1"/>
    <s v="24"/>
    <s v="20"/>
    <s v="10073"/>
    <s v="7////"/>
    <s v="58006"/>
    <s v="///"/>
    <s v="21"/>
    <s v=""/>
    <s v=""/>
    <s v="56699"/>
    <s v=""/>
    <s v=""/>
    <s v=""/>
    <s v="211"/>
    <s v="32597"/>
    <s v="72702"/>
    <s v="83739"/>
    <s v="0240"/>
    <s v="0201"/>
    <s v=""/>
    <x v="234"/>
    <s v="43063 32597 72702 10240 20201 39453 40073 83739 333 20211 56699 58006 81720 84626 555 00000 10271 ="/>
    <n v="211"/>
    <s v="Prakash"/>
    <s v="23/10/2012 4:16:30 PM"/>
    <n v="2012"/>
    <x v="7"/>
    <x v="21"/>
    <n v="20.100000000000001"/>
    <s v=""/>
    <n v="21.1"/>
  </r>
  <r>
    <s v="22/08/2012"/>
    <s v="43063"/>
    <x v="0"/>
    <s v="26"/>
    <s v="20"/>
    <s v="10047"/>
    <s v="75052"/>
    <s v="58003"/>
    <s v="29"/>
    <s v="///"/>
    <s v=""/>
    <s v=""/>
    <s v="56690"/>
    <s v=""/>
    <s v=""/>
    <s v="291"/>
    <s v=""/>
    <s v="21597"/>
    <s v="62303"/>
    <s v="85730"/>
    <s v="0260"/>
    <s v="0201"/>
    <s v=""/>
    <x v="234"/>
    <s v="43063 21597 62303 10260 20201 39433 40047 75052 85730 333 10291 56690 58003 6991/ 82720 84626 ="/>
    <m/>
    <s v="Prakash"/>
    <s v="23/10/2012 4:16:30 PM"/>
    <n v="2012"/>
    <x v="7"/>
    <x v="21"/>
    <n v="20.100000000000001"/>
    <n v="29.1"/>
    <s v=""/>
  </r>
  <r>
    <s v="23/08/2012"/>
    <s v="43063"/>
    <x v="0"/>
    <s v="27"/>
    <s v="21"/>
    <s v="10052"/>
    <s v="7////"/>
    <s v="58009"/>
    <s v="31"/>
    <s v="///"/>
    <s v=""/>
    <s v=""/>
    <s v="56///"/>
    <s v=""/>
    <s v=""/>
    <s v="309"/>
    <s v=""/>
    <s v="32597"/>
    <s v="52702"/>
    <s v="84830"/>
    <s v="0274"/>
    <s v="0213"/>
    <s v=""/>
    <x v="235"/>
    <s v="43063 32597 52702 10274 20213 39442 40052 84830 333 10309 58009 83626 ="/>
    <m/>
    <s v="Prakash"/>
    <s v="23/10/2012 4:16:30 PM"/>
    <n v="2012"/>
    <x v="7"/>
    <x v="22"/>
    <n v="21.3"/>
    <n v="30.9"/>
    <s v=""/>
  </r>
  <r>
    <s v="23/08/2012"/>
    <s v="43063"/>
    <x v="1"/>
    <s v="25"/>
    <s v="21"/>
    <s v="10085"/>
    <s v="7////"/>
    <s v="58014"/>
    <s v="///"/>
    <s v="21"/>
    <s v=""/>
    <s v=""/>
    <s v="56600"/>
    <s v=""/>
    <s v=""/>
    <s v=""/>
    <s v="206"/>
    <s v="22597"/>
    <s v="62702"/>
    <s v="86700"/>
    <s v="0246"/>
    <s v="0211"/>
    <s v=""/>
    <x v="235"/>
    <s v="43063 22597 62702 10246 20211 39467 40085 86700 333 20206 56600 58014 6991/ 83720 84626 555 00001 10271 ="/>
    <n v="206"/>
    <s v="Prakash"/>
    <s v="23/10/2012 4:16:30 PM"/>
    <n v="2012"/>
    <x v="7"/>
    <x v="22"/>
    <n v="21.1"/>
    <s v=""/>
    <n v="20.6"/>
  </r>
  <r>
    <s v="24/08/2012"/>
    <s v="43063"/>
    <x v="0"/>
    <s v="29"/>
    <s v="21"/>
    <s v="10048"/>
    <s v="7////"/>
    <s v="58000"/>
    <s v="31"/>
    <s v="///"/>
    <s v=""/>
    <s v=""/>
    <s v="56///"/>
    <s v=""/>
    <s v=""/>
    <s v="308"/>
    <s v=""/>
    <s v="32597"/>
    <s v="62703"/>
    <s v="84801"/>
    <s v="0294"/>
    <s v="0207"/>
    <s v=""/>
    <x v="236"/>
    <s v="43063 32597 62703 10294 20207 39442 40048 84801 333 10308 58000 82626 83828 ="/>
    <m/>
    <s v="Prakash"/>
    <s v="23/10/2012 4:16:30 PM"/>
    <n v="2012"/>
    <x v="7"/>
    <x v="23"/>
    <n v="20.7"/>
    <n v="30.8"/>
    <s v=""/>
  </r>
  <r>
    <s v="24/08/2012"/>
    <s v="43063"/>
    <x v="1"/>
    <s v="25"/>
    <s v="21"/>
    <s v="10088"/>
    <s v="7////"/>
    <s v="58004"/>
    <s v="///"/>
    <s v="22"/>
    <s v=""/>
    <s v=""/>
    <s v="56699"/>
    <s v=""/>
    <s v=""/>
    <s v=""/>
    <s v="217"/>
    <s v="32597"/>
    <s v="62702"/>
    <s v="84731"/>
    <s v="0252"/>
    <s v="0214"/>
    <s v=""/>
    <x v="236"/>
    <s v="43063 32597 62702 10252 20214 39471 40088 84731 333 20217 56699 58004 81722 83626 555 00000 10271 ="/>
    <n v="217"/>
    <s v="Prakash"/>
    <s v="23/10/2012 4:16:30 PM"/>
    <n v="2012"/>
    <x v="7"/>
    <x v="23"/>
    <n v="21.4"/>
    <s v=""/>
    <n v="21.7"/>
  </r>
  <r>
    <s v="25/08/2012"/>
    <s v="43063"/>
    <x v="0"/>
    <s v="28"/>
    <s v="20"/>
    <s v="10048"/>
    <s v="7////"/>
    <s v="59004"/>
    <s v="30"/>
    <s v="///"/>
    <s v=""/>
    <s v=""/>
    <s v="56690"/>
    <s v=""/>
    <s v=""/>
    <s v="301"/>
    <s v=""/>
    <s v="32597"/>
    <s v="62903"/>
    <s v="85730"/>
    <s v="0276"/>
    <s v="0197"/>
    <s v=""/>
    <x v="237"/>
    <s v="43063 32597 62903 10276 20197 39438 40048 85730 333 10301 56690 59004 82720 83626 ="/>
    <m/>
    <s v="Prakash"/>
    <s v="23/10/2012 4:16:30 PM"/>
    <n v="2012"/>
    <x v="7"/>
    <x v="24"/>
    <n v="19.7"/>
    <n v="30.1"/>
    <s v=""/>
  </r>
  <r>
    <s v="25/08/2012"/>
    <s v="43063"/>
    <x v="1"/>
    <s v="25"/>
    <s v="21"/>
    <s v="10086"/>
    <s v="7////"/>
    <s v="59003"/>
    <s v="///"/>
    <s v="22"/>
    <s v=""/>
    <s v=""/>
    <s v="56///"/>
    <s v=""/>
    <s v=""/>
    <s v=""/>
    <s v="217"/>
    <s v="32597"/>
    <s v="42702"/>
    <s v="83801"/>
    <s v="0250"/>
    <s v="0215"/>
    <s v=""/>
    <x v="237"/>
    <s v="43063 32597 42702 10250 20215 39468 40086 83801 333 20217 59003 81626 83828 555 10271 ="/>
    <n v="217"/>
    <s v="Prakash"/>
    <s v="23/10/2012 4:16:30 PM"/>
    <n v="2012"/>
    <x v="7"/>
    <x v="24"/>
    <n v="21.5"/>
    <s v=""/>
    <n v="21.7"/>
  </r>
  <r>
    <s v="26/08/2012"/>
    <s v="43063"/>
    <x v="1"/>
    <s v="24"/>
    <s v="20"/>
    <s v="10083"/>
    <s v="7////"/>
    <s v="59005"/>
    <s v="///"/>
    <s v="22"/>
    <s v=""/>
    <s v=""/>
    <s v="56699"/>
    <s v=""/>
    <s v=""/>
    <s v=""/>
    <s v="221"/>
    <s v="32597"/>
    <s v="72703"/>
    <s v="83731"/>
    <s v="0240"/>
    <s v="0203"/>
    <s v=""/>
    <x v="238"/>
    <s v="43063 32597 72703 10240 20203 39463 40083 83731 333 20221 56699 59005 81720 83626 85356 555 00000 10271 ="/>
    <n v="221"/>
    <s v="Prakash"/>
    <s v="23/10/2012 4:16:30 PM"/>
    <n v="2012"/>
    <x v="7"/>
    <x v="25"/>
    <n v="20.3"/>
    <s v=""/>
    <n v="22.1"/>
  </r>
  <r>
    <s v="26/08/2012"/>
    <s v="43063"/>
    <x v="0"/>
    <s v="27"/>
    <s v="21"/>
    <s v="10033"/>
    <s v="7////"/>
    <s v="59019"/>
    <s v="28"/>
    <s v="///"/>
    <s v=""/>
    <s v=""/>
    <s v="56690"/>
    <s v=""/>
    <s v=""/>
    <s v="283"/>
    <s v=""/>
    <s v="22597"/>
    <s v="62702"/>
    <s v="85730"/>
    <s v="0266"/>
    <s v="0207"/>
    <s v=""/>
    <x v="238"/>
    <s v="43063 22597 62702 10266 20207 39422 40033 85730 333 10283 56690 59019 6990/ 83720 85356 ="/>
    <m/>
    <s v="Prakash"/>
    <s v="23/10/2012 4:16:30 PM"/>
    <n v="2012"/>
    <x v="7"/>
    <x v="25"/>
    <n v="20.7"/>
    <n v="28.3"/>
    <s v=""/>
  </r>
  <r>
    <s v="27/08/2012"/>
    <s v="43063"/>
    <x v="0"/>
    <s v="23"/>
    <s v="21"/>
    <s v="10038"/>
    <s v="76065"/>
    <s v="59001"/>
    <s v="26"/>
    <s v="///"/>
    <s v=""/>
    <s v=""/>
    <s v="5669/"/>
    <s v=""/>
    <s v=""/>
    <s v="259"/>
    <s v=""/>
    <s v="21596"/>
    <s v="82701"/>
    <s v="8572/"/>
    <s v="0234"/>
    <s v="0213"/>
    <s v=""/>
    <x v="239"/>
    <s v="43063 21596 82701 10234 20213 39421 40038 76065 8572/ 333 10259 5669/ 59001 6992/ 84720 86450 ="/>
    <m/>
    <s v="Prakash"/>
    <s v="23/10/2012 4:16:30 PM"/>
    <n v="2012"/>
    <x v="7"/>
    <x v="26"/>
    <n v="21.3"/>
    <n v="25.9"/>
    <s v=""/>
  </r>
  <r>
    <s v="27/08/2012"/>
    <s v="43063"/>
    <x v="1"/>
    <s v="24"/>
    <s v="20"/>
    <s v="10057"/>
    <s v="7////"/>
    <s v="59025"/>
    <s v="///"/>
    <s v="21"/>
    <s v=""/>
    <s v=""/>
    <s v="56690"/>
    <s v=""/>
    <s v=""/>
    <s v=""/>
    <s v="215"/>
    <s v="22597"/>
    <s v="72704"/>
    <s v="86730"/>
    <s v="0238"/>
    <s v="0202"/>
    <s v=""/>
    <x v="239"/>
    <s v="43063 22597 72704 10238 20202 39438 40057 86730 333 20215 56690 59025 6999/ 83720 85626 555 00009 10272 ="/>
    <n v="215"/>
    <s v="Prakash"/>
    <s v="23/10/2012 4:16:30 PM"/>
    <n v="2012"/>
    <x v="7"/>
    <x v="26"/>
    <n v="20.2"/>
    <s v=""/>
    <n v="21.5"/>
  </r>
  <r>
    <s v="28/08/2012"/>
    <s v="43063"/>
    <x v="1"/>
    <s v="24"/>
    <s v="22"/>
    <s v="10057"/>
    <s v="70265"/>
    <s v="58000"/>
    <s v="///"/>
    <s v="22"/>
    <s v=""/>
    <s v=""/>
    <s v="56600"/>
    <s v=""/>
    <s v=""/>
    <s v=""/>
    <s v="216"/>
    <s v="21596"/>
    <s v="70000"/>
    <s v="87700"/>
    <s v="0236"/>
    <s v="0218"/>
    <s v=""/>
    <x v="240"/>
    <s v="43063 21596 70000 10236 20218 39438 40057 70265 87700 333 20216 56600 58000 6002/ 85720 555 00023 10275 ="/>
    <n v="216"/>
    <s v="Prakash"/>
    <s v="23/10/2012 4:16:30 PM"/>
    <n v="2012"/>
    <x v="7"/>
    <x v="27"/>
    <n v="21.8"/>
    <s v=""/>
    <n v="21.6"/>
  </r>
  <r>
    <s v="28/08/2012"/>
    <s v="43063"/>
    <x v="0"/>
    <s v="25"/>
    <s v="22"/>
    <s v="10029"/>
    <s v="70252"/>
    <s v="59007"/>
    <s v="28"/>
    <s v="///"/>
    <s v=""/>
    <s v=""/>
    <s v="56600"/>
    <s v=""/>
    <s v=""/>
    <s v="278"/>
    <s v=""/>
    <s v="21597"/>
    <s v="72702"/>
    <s v="87700"/>
    <s v="0250"/>
    <s v="0218"/>
    <s v=""/>
    <x v="240"/>
    <s v="43063 21597 72702 10250 20218 39414 40029 70252 87700 333 10278 56600 59007 6990/ 84720 ="/>
    <m/>
    <s v="Prakash"/>
    <s v="23/10/2012 4:16:30 PM"/>
    <n v="2012"/>
    <x v="7"/>
    <x v="27"/>
    <n v="21.8"/>
    <n v="27.8"/>
    <s v=""/>
  </r>
  <r>
    <s v="29/08/2012"/>
    <s v="43063"/>
    <x v="1"/>
    <s v="25"/>
    <s v="22"/>
    <s v="10052"/>
    <s v="7////"/>
    <s v="59003"/>
    <s v="///"/>
    <s v="22"/>
    <s v=""/>
    <s v=""/>
    <s v="56600"/>
    <s v=""/>
    <s v=""/>
    <s v=""/>
    <s v="220"/>
    <s v="22597"/>
    <s v="72701"/>
    <s v="87700"/>
    <s v="0245"/>
    <s v="0221"/>
    <s v=""/>
    <x v="241"/>
    <s v="43063 22597 72701 10245 20221 39435 40052 87700 333 20220 56600 59003 6993/ 83720 85626 555 00003 10275 ="/>
    <n v="220"/>
    <s v="Prakash"/>
    <s v="23/10/2012 4:16:30 PM"/>
    <n v="2012"/>
    <x v="7"/>
    <x v="28"/>
    <n v="22.1"/>
    <s v=""/>
    <n v="22"/>
  </r>
  <r>
    <s v="29/08/2012"/>
    <s v="43063"/>
    <x v="0"/>
    <s v="26"/>
    <s v="23"/>
    <s v="10018"/>
    <s v="70262"/>
    <s v="59009"/>
    <s v="30"/>
    <s v="///"/>
    <s v=""/>
    <s v=""/>
    <s v="56690"/>
    <s v=""/>
    <s v=""/>
    <s v="298"/>
    <s v=""/>
    <s v="21597"/>
    <s v="62704"/>
    <s v="85730"/>
    <s v="0258"/>
    <s v="0231"/>
    <s v=""/>
    <x v="241"/>
    <s v="43063 21597 62704 10258 20231 39405 40018 70262 85730 333 10298 56690 59009 6034/ 81720 84626 ="/>
    <m/>
    <s v="Prakash"/>
    <s v="23/10/2012 4:16:30 PM"/>
    <n v="2012"/>
    <x v="7"/>
    <x v="28"/>
    <n v="23.1"/>
    <n v="29.8"/>
    <s v=""/>
  </r>
  <r>
    <s v="30/08/2012"/>
    <s v="43063"/>
    <x v="1"/>
    <s v="24"/>
    <s v="21"/>
    <s v="10044"/>
    <s v="7////"/>
    <s v="59006"/>
    <s v="///"/>
    <s v="22"/>
    <s v=""/>
    <s v=""/>
    <s v="56699"/>
    <s v=""/>
    <s v=""/>
    <s v=""/>
    <s v="221"/>
    <s v="22597"/>
    <s v="72703"/>
    <s v="84731"/>
    <s v="0243"/>
    <s v="0215"/>
    <s v=""/>
    <x v="242"/>
    <s v="43063 22597 72703 10243 20215 39429 40044 84731 333 20221 56699 59006 6034/ 81720 84626 555 00342 10309 ="/>
    <n v="221"/>
    <s v="Prakash"/>
    <s v="23/10/2012 4:16:30 PM"/>
    <n v="2012"/>
    <x v="7"/>
    <x v="29"/>
    <n v="21.5"/>
    <s v=""/>
    <n v="22.1"/>
  </r>
  <r>
    <s v="30/08/2012"/>
    <s v="43063"/>
    <x v="0"/>
    <s v="26"/>
    <s v="22"/>
    <s v="10009"/>
    <s v="76022"/>
    <s v="59008"/>
    <s v="31"/>
    <s v="///"/>
    <s v=""/>
    <s v=""/>
    <s v="56690"/>
    <s v=""/>
    <s v=""/>
    <s v="311"/>
    <s v=""/>
    <s v="21597"/>
    <s v="72904"/>
    <s v="85730"/>
    <s v="0256"/>
    <s v="0218"/>
    <s v=""/>
    <x v="242"/>
    <s v="43063 21597 72904 10256 20218 39397 40009 76022 85730 333 10311 56690 59008 6990/ 82720 83626 85356 ="/>
    <m/>
    <s v="Prakash"/>
    <s v="23/10/2012 4:16:30 PM"/>
    <n v="2012"/>
    <x v="7"/>
    <x v="29"/>
    <n v="21.8"/>
    <n v="31.1"/>
    <s v=""/>
  </r>
  <r>
    <s v="31/08/2012"/>
    <s v="43063"/>
    <x v="0"/>
    <s v="25"/>
    <s v="23"/>
    <s v="10001"/>
    <s v="70296"/>
    <s v="59007"/>
    <s v="29"/>
    <s v="///"/>
    <s v=""/>
    <s v=""/>
    <s v="56///"/>
    <s v=""/>
    <s v=""/>
    <s v="295"/>
    <s v=""/>
    <s v="21597"/>
    <s v="70000"/>
    <s v="87800"/>
    <s v="0254"/>
    <s v="0234"/>
    <s v=""/>
    <x v="243"/>
    <s v="43063 21597 70000 10254 20234 39390 40001 70296 87800 333 10295 59007 6017/ 86626 ="/>
    <m/>
    <s v="sbs"/>
    <s v="04/12/2012 2:37:27 PM"/>
    <n v="2012"/>
    <x v="7"/>
    <x v="30"/>
    <n v="23.4"/>
    <n v="29.5"/>
    <s v=""/>
  </r>
  <r>
    <s v="31/08/2012"/>
    <s v="43063"/>
    <x v="1"/>
    <s v="25"/>
    <s v="22"/>
    <s v="10029"/>
    <s v="7////"/>
    <s v="59015"/>
    <s v="///"/>
    <s v="22"/>
    <s v=""/>
    <s v=""/>
    <s v="56690"/>
    <s v=""/>
    <s v=""/>
    <s v=""/>
    <s v="223"/>
    <s v="22597"/>
    <s v="72701"/>
    <s v="85730"/>
    <s v="0250"/>
    <s v="0221"/>
    <s v=""/>
    <x v="243"/>
    <s v="43063 22597 72701 10250 20221 39414 40029 85730 333 20223 56690 59015 6004/ 84720 83356 555 00038 10313 ="/>
    <n v="223"/>
    <s v="Prakash"/>
    <s v="23/10/2012 4:16:30 PM"/>
    <n v="2012"/>
    <x v="7"/>
    <x v="30"/>
    <n v="22.1"/>
    <s v=""/>
    <n v="22.3"/>
  </r>
  <r>
    <s v="01/09/2012"/>
    <s v="43063"/>
    <x v="1"/>
    <s v="26"/>
    <s v="21"/>
    <s v="10024"/>
    <s v="7////"/>
    <s v="59003"/>
    <s v="///"/>
    <s v="22"/>
    <s v=""/>
    <s v=""/>
    <s v="56///"/>
    <s v=""/>
    <s v=""/>
    <s v=""/>
    <s v="221"/>
    <s v="22597"/>
    <s v="52703"/>
    <s v="85500"/>
    <s v="0256"/>
    <s v="0212"/>
    <s v=""/>
    <x v="244"/>
    <s v="43063 22597 52703 10256 20212 39411 40024 85500 333 20221 59003 6017/ 85626 555 00172 10330 ="/>
    <n v="221"/>
    <s v="sbs"/>
    <s v="04/12/2012 2:37:27 PM"/>
    <n v="2012"/>
    <x v="8"/>
    <x v="0"/>
    <n v="21.2"/>
    <s v=""/>
    <n v="22.1"/>
  </r>
  <r>
    <s v="01/09/2012"/>
    <s v="43063"/>
    <x v="0"/>
    <s v="26"/>
    <s v="22"/>
    <s v="10013"/>
    <s v="7////"/>
    <s v="58011"/>
    <s v="30"/>
    <s v="///"/>
    <s v=""/>
    <s v=""/>
    <s v="56609"/>
    <s v=""/>
    <s v=""/>
    <s v="298"/>
    <s v=""/>
    <s v="32597"/>
    <s v="62701"/>
    <s v="85701"/>
    <s v="0260"/>
    <s v="0223"/>
    <s v=""/>
    <x v="244"/>
    <s v="43063 32597 62701 10260 20223 39401 40013 85701 333 10298 56609 58011 81720 83626 ="/>
    <m/>
    <s v="sbs"/>
    <s v="04/12/2012 2:37:27 PM"/>
    <n v="2012"/>
    <x v="8"/>
    <x v="0"/>
    <n v="22.3"/>
    <n v="29.8"/>
    <s v=""/>
  </r>
  <r>
    <s v="02/09/2012"/>
    <s v="43063"/>
    <x v="0"/>
    <s v="26"/>
    <s v="22"/>
    <s v="10018"/>
    <s v="70252"/>
    <s v="58007"/>
    <s v="30"/>
    <s v="///"/>
    <s v=""/>
    <s v=""/>
    <s v="56690"/>
    <s v=""/>
    <s v=""/>
    <s v="298"/>
    <s v=""/>
    <s v="21597"/>
    <s v="72504"/>
    <s v="86730"/>
    <s v="0264"/>
    <s v="0223"/>
    <s v=""/>
    <x v="245"/>
    <s v="43063 21597 72504 10264 20223 39408 40018 70252 86730 333 10298 56690 58007 6990/ 83720 85626 ="/>
    <m/>
    <s v="sbs"/>
    <s v="04/12/2012 2:37:27 PM"/>
    <n v="2012"/>
    <x v="8"/>
    <x v="1"/>
    <n v="22.3"/>
    <n v="29.8"/>
    <s v=""/>
  </r>
  <r>
    <s v="02/09/2012"/>
    <s v="43063"/>
    <x v="1"/>
    <s v="24"/>
    <s v="22"/>
    <s v="10048"/>
    <s v="7////"/>
    <s v="58020"/>
    <s v="///"/>
    <s v="22"/>
    <s v=""/>
    <s v=""/>
    <s v="56600"/>
    <s v=""/>
    <s v=""/>
    <s v=""/>
    <s v="221"/>
    <s v="32597"/>
    <s v="70000"/>
    <s v="85730"/>
    <s v="0244"/>
    <s v="0224"/>
    <s v=""/>
    <x v="245"/>
    <s v="43063 32597 70000 10244 20224 39431 40048 85730 333 20221 56600 58020 82722 84626 555 10330 ="/>
    <n v="221"/>
    <s v="sbs"/>
    <s v="04/12/2012 2:37:27 PM"/>
    <n v="2012"/>
    <x v="8"/>
    <x v="1"/>
    <n v="22.4"/>
    <s v=""/>
    <n v="22.1"/>
  </r>
  <r>
    <s v="03/09/2012"/>
    <s v="43063"/>
    <x v="0"/>
    <s v="25"/>
    <s v="22"/>
    <s v="10012"/>
    <s v="70265"/>
    <s v="59008"/>
    <s v="26"/>
    <s v="///"/>
    <s v=""/>
    <s v=""/>
    <s v="56600"/>
    <s v=""/>
    <s v=""/>
    <s v="263"/>
    <s v=""/>
    <s v="21597"/>
    <s v="72703"/>
    <s v="87700"/>
    <s v="0246"/>
    <s v="0217"/>
    <s v=""/>
    <x v="246"/>
    <s v="43063 21597 72703 10246 20217 39400 40012 70265 87700 333 10263 56600 59008 6002/ 83720 84626 ="/>
    <m/>
    <s v="sbs"/>
    <s v="04/12/2012 2:37:27 PM"/>
    <n v="2012"/>
    <x v="8"/>
    <x v="2"/>
    <n v="21.7"/>
    <n v="26.3"/>
    <s v=""/>
  </r>
  <r>
    <s v="03/09/2012"/>
    <s v="43063"/>
    <x v="1"/>
    <s v="25"/>
    <s v="23"/>
    <s v="10039"/>
    <s v="7////"/>
    <s v="59007"/>
    <s v="///"/>
    <s v="23"/>
    <s v=""/>
    <s v=""/>
    <s v="56600"/>
    <s v=""/>
    <s v=""/>
    <s v=""/>
    <s v="226"/>
    <s v="22597"/>
    <s v="72703"/>
    <s v="87700"/>
    <s v="0248"/>
    <s v="0228"/>
    <s v=""/>
    <x v="246"/>
    <s v="43063 22597 72703 10248 20228 39424 40039 87700 333 20226 56600 59007 6001/ 82722 85626 555 00011 10331 ="/>
    <n v="226"/>
    <s v="sbs"/>
    <s v="04/12/2012 2:37:27 PM"/>
    <n v="2012"/>
    <x v="8"/>
    <x v="2"/>
    <n v="22.8"/>
    <s v=""/>
    <n v="22.6"/>
  </r>
  <r>
    <s v="04/09/2012"/>
    <s v="43063"/>
    <x v="0"/>
    <s v="24"/>
    <s v="21"/>
    <s v="10016"/>
    <s v="75065"/>
    <s v="58002"/>
    <s v="25"/>
    <s v="///"/>
    <s v=""/>
    <s v=""/>
    <s v="5669/"/>
    <s v=""/>
    <s v=""/>
    <s v="254"/>
    <s v=""/>
    <s v="21596"/>
    <s v="82701"/>
    <s v="8672/"/>
    <s v="0244"/>
    <s v="0215"/>
    <s v=""/>
    <x v="247"/>
    <s v="43063 21596 82701 10244 20215 39402 40016 75065 8672/ 333 10254 5669/ 58002 6001/ 85720 ="/>
    <m/>
    <s v="sbs"/>
    <s v="04/12/2012 2:37:27 PM"/>
    <n v="2012"/>
    <x v="8"/>
    <x v="3"/>
    <n v="21.5"/>
    <n v="25.4"/>
    <s v=""/>
  </r>
  <r>
    <s v="04/09/2012"/>
    <s v="43063"/>
    <x v="1"/>
    <s v="23"/>
    <s v="21"/>
    <s v="10036"/>
    <s v="72162"/>
    <s v="59005"/>
    <s v="///"/>
    <s v="22"/>
    <s v=""/>
    <s v=""/>
    <s v="56690"/>
    <s v=""/>
    <s v=""/>
    <s v=""/>
    <s v="216"/>
    <s v="21596"/>
    <s v="70000"/>
    <s v="87630"/>
    <s v="0234"/>
    <s v="0213"/>
    <s v=""/>
    <x v="247"/>
    <s v="43063 21596 70000 10234 20213 39419 40036 72162 87630 333 20216 56690 59005 6004/ 82720 85626 555 00039 10335 ="/>
    <n v="216"/>
    <s v="sbs"/>
    <s v="04/12/2012 2:37:27 PM"/>
    <n v="2012"/>
    <x v="8"/>
    <x v="3"/>
    <n v="21.3"/>
    <s v=""/>
    <n v="21.6"/>
  </r>
  <r>
    <s v="05/09/2012"/>
    <s v="43063"/>
    <x v="1"/>
    <s v="24"/>
    <s v="21"/>
    <s v="10039"/>
    <s v="75065"/>
    <s v="58003"/>
    <s v="///"/>
    <s v="21"/>
    <s v=""/>
    <s v=""/>
    <s v="5669/"/>
    <s v=""/>
    <s v=""/>
    <s v=""/>
    <s v="215"/>
    <s v="21596"/>
    <s v="82501"/>
    <s v="8472/"/>
    <s v="0236"/>
    <s v="0215"/>
    <s v=""/>
    <x v="248"/>
    <s v="43063 21596 82501 10236 20215 39422 40039 75065 8472/ 333 20215 5669/ 58003 6009/ 83720 85450 555 00094 10344 ="/>
    <n v="215"/>
    <s v="sbs"/>
    <s v="04/12/2012 2:37:27 PM"/>
    <n v="2012"/>
    <x v="8"/>
    <x v="4"/>
    <n v="21.5"/>
    <s v=""/>
    <n v="21.5"/>
  </r>
  <r>
    <s v="05/09/2012"/>
    <s v="43063"/>
    <x v="0"/>
    <s v="25"/>
    <s v="23"/>
    <s v="10022"/>
    <s v="76065"/>
    <s v="58006"/>
    <s v="26"/>
    <s v="///"/>
    <s v=""/>
    <s v=""/>
    <s v="5669/"/>
    <s v=""/>
    <s v=""/>
    <s v="260"/>
    <s v=""/>
    <s v="21597"/>
    <s v="82703"/>
    <s v="8672/"/>
    <s v="0245"/>
    <s v="0229"/>
    <s v=""/>
    <x v="248"/>
    <s v="43063 21597 82703 10245 20229 39408 40022 76065 8672/ 333 10260 5669/ 58006 6995/ 84720 ="/>
    <m/>
    <s v="sbs"/>
    <s v="04/12/2012 2:37:27 PM"/>
    <n v="2012"/>
    <x v="8"/>
    <x v="4"/>
    <n v="22.9"/>
    <n v="26"/>
    <s v=""/>
  </r>
  <r>
    <s v="06/09/2012"/>
    <s v="43063"/>
    <x v="1"/>
    <s v="23"/>
    <s v="22"/>
    <s v="10057"/>
    <s v="70265"/>
    <s v="58016"/>
    <s v="///"/>
    <s v="22"/>
    <s v=""/>
    <s v=""/>
    <s v="56690"/>
    <s v=""/>
    <s v=""/>
    <s v=""/>
    <s v="219"/>
    <s v="21597"/>
    <s v="72503"/>
    <s v="85730"/>
    <s v="0232"/>
    <s v="0217"/>
    <s v=""/>
    <x v="249"/>
    <s v="43063 21597 72503 10232 20217 39438 40057 70265 85730 333 20219 56690 58016 6008/ 82720 84626 555 00078 10352 ="/>
    <n v="219"/>
    <s v="sbs"/>
    <s v="04/12/2012 2:37:27 PM"/>
    <n v="2012"/>
    <x v="8"/>
    <x v="5"/>
    <n v="21.7"/>
    <s v=""/>
    <n v="21.9"/>
  </r>
  <r>
    <s v="06/09/2012"/>
    <s v="43063"/>
    <x v="0"/>
    <s v="25"/>
    <s v="22"/>
    <s v="10033"/>
    <s v="72165"/>
    <s v="58010"/>
    <s v="28"/>
    <s v="///"/>
    <s v=""/>
    <s v=""/>
    <s v="56690"/>
    <s v=""/>
    <s v=""/>
    <s v="278"/>
    <s v=""/>
    <s v="21597"/>
    <s v="72002"/>
    <s v="86730"/>
    <s v="0246"/>
    <s v="0220"/>
    <s v=""/>
    <x v="249"/>
    <s v="43063 21597 72002 10246 20220 39418 40033 72165 86730 333 10278 56690 58010 6993/ 83720 86626 ="/>
    <m/>
    <s v="sbs"/>
    <s v="04/12/2012 2:37:27 PM"/>
    <n v="2012"/>
    <x v="8"/>
    <x v="5"/>
    <n v="22"/>
    <n v="27.8"/>
    <s v=""/>
  </r>
  <r>
    <s v="07/09/2012"/>
    <s v="43063"/>
    <x v="1"/>
    <s v="25"/>
    <s v="20"/>
    <s v="10057"/>
    <s v="7////"/>
    <s v="58002"/>
    <s v="///"/>
    <s v="21"/>
    <s v=""/>
    <s v=""/>
    <s v="56699"/>
    <s v=""/>
    <s v=""/>
    <s v=""/>
    <s v="212"/>
    <s v="22597"/>
    <s v="72702"/>
    <s v="85731"/>
    <s v="0245"/>
    <s v="0201"/>
    <s v=""/>
    <x v="250"/>
    <s v="43063 22597 72702 10245 20201 39440 40057 85731 333 20212 56699 58002 6993/ 82720 85626 555 00003 10353 ="/>
    <n v="212"/>
    <s v="sbs"/>
    <s v="04/12/2012 2:37:27 PM"/>
    <n v="2012"/>
    <x v="8"/>
    <x v="6"/>
    <n v="20.100000000000001"/>
    <s v=""/>
    <n v="21.2"/>
  </r>
  <r>
    <s v="07/09/2012"/>
    <s v="43063"/>
    <x v="0"/>
    <s v="26"/>
    <s v="22"/>
    <s v="10026"/>
    <s v="70265"/>
    <s v="59005"/>
    <s v="27"/>
    <s v="///"/>
    <s v=""/>
    <s v=""/>
    <s v="56600"/>
    <s v=""/>
    <s v=""/>
    <s v="269"/>
    <s v=""/>
    <s v="21597"/>
    <s v="72703"/>
    <s v="87700"/>
    <s v="0260"/>
    <s v="0216"/>
    <s v=""/>
    <x v="250"/>
    <s v="43063 21597 72703 10260 20216 39413 40026 70265 87700 333 10269 56600 59005 6990/ 83720 84626 ="/>
    <m/>
    <s v="sbs"/>
    <s v="04/12/2012 2:37:27 PM"/>
    <n v="2012"/>
    <x v="8"/>
    <x v="6"/>
    <n v="21.6"/>
    <n v="26.9"/>
    <s v=""/>
  </r>
  <r>
    <s v="08/09/2012"/>
    <s v="43063"/>
    <x v="1"/>
    <s v="24"/>
    <s v="21"/>
    <s v="10054"/>
    <s v="7////"/>
    <s v="59005"/>
    <s v="///"/>
    <s v="22"/>
    <s v=""/>
    <s v=""/>
    <s v="56600"/>
    <s v=""/>
    <s v=""/>
    <s v=""/>
    <s v="220"/>
    <s v="22596"/>
    <s v="70000"/>
    <s v="87700"/>
    <s v="0240"/>
    <s v="0214"/>
    <s v=""/>
    <x v="251"/>
    <s v="43063 22596 70000 10240 20214 39435 40054 87700 333 20220 56600 59005 6995/ 83720 85626 555 00005 10353 ="/>
    <n v="220"/>
    <s v="sbs"/>
    <s v="04/12/2012 2:37:27 PM"/>
    <n v="2012"/>
    <x v="8"/>
    <x v="7"/>
    <n v="21.4"/>
    <s v=""/>
    <n v="22"/>
  </r>
  <r>
    <s v="08/09/2012"/>
    <s v="43063"/>
    <x v="0"/>
    <s v="26"/>
    <s v="22"/>
    <s v="10035"/>
    <s v="75065"/>
    <s v="58011"/>
    <s v="29"/>
    <s v="///"/>
    <s v=""/>
    <s v=""/>
    <s v="56600"/>
    <s v=""/>
    <s v=""/>
    <s v="285"/>
    <s v=""/>
    <s v="21596"/>
    <s v="72501"/>
    <s v="87700"/>
    <s v="0262"/>
    <s v="0222"/>
    <s v=""/>
    <x v="251"/>
    <s v="43063 21596 72501 10262 20222 39424 40035 75065 87700 333 10285 56600 58011 6995/ 86720 ="/>
    <m/>
    <s v="sbs"/>
    <s v="04/12/2012 2:37:27 PM"/>
    <n v="2012"/>
    <x v="8"/>
    <x v="7"/>
    <n v="22.2"/>
    <n v="28.5"/>
    <s v=""/>
  </r>
  <r>
    <s v="09/09/2012"/>
    <s v="43063"/>
    <x v="0"/>
    <s v="26"/>
    <s v="22"/>
    <s v="10042"/>
    <s v="75065"/>
    <s v="58005"/>
    <s v="28"/>
    <s v="///"/>
    <s v=""/>
    <s v=""/>
    <s v="56600"/>
    <s v=""/>
    <s v=""/>
    <s v="284"/>
    <s v=""/>
    <s v="21597"/>
    <s v="72703"/>
    <s v="87700"/>
    <s v="0258"/>
    <s v="0223"/>
    <s v=""/>
    <x v="252"/>
    <s v="43063 21597 72703 10258 20223 39429 40042 75065 87700 333 10284 56600 58005 6001/ 82720 83626 ="/>
    <m/>
    <s v="sbs"/>
    <s v="04/12/2012 2:37:27 PM"/>
    <n v="2012"/>
    <x v="8"/>
    <x v="8"/>
    <n v="22.3"/>
    <n v="28.4"/>
    <s v=""/>
  </r>
  <r>
    <s v="09/09/2012"/>
    <s v="43063"/>
    <x v="1"/>
    <s v="24"/>
    <s v="21"/>
    <s v="10070"/>
    <s v="70252"/>
    <s v="58015"/>
    <s v="///"/>
    <s v="22"/>
    <s v=""/>
    <s v=""/>
    <s v="56600"/>
    <s v=""/>
    <s v=""/>
    <s v=""/>
    <s v="223"/>
    <s v="21596"/>
    <s v="72702"/>
    <s v="87700"/>
    <s v="0240"/>
    <s v="0208"/>
    <s v=""/>
    <x v="252"/>
    <s v="43063 21596 72702 10240 20208 39450 40070 70252 87700 333 20223 56600 58015 6996/ 83720 84626 555 00006 10354 ="/>
    <n v="223"/>
    <s v="sbs"/>
    <s v="04/12/2012 2:37:27 PM"/>
    <n v="2012"/>
    <x v="8"/>
    <x v="8"/>
    <n v="20.8"/>
    <s v=""/>
    <n v="22.3"/>
  </r>
  <r>
    <s v="10/09/2012"/>
    <s v="43063"/>
    <x v="0"/>
    <s v="23"/>
    <s v="22"/>
    <s v="10055"/>
    <s v="76065"/>
    <s v="58005"/>
    <s v="27"/>
    <s v="///"/>
    <s v=""/>
    <s v=""/>
    <s v="56690"/>
    <s v=""/>
    <s v=""/>
    <s v="269"/>
    <s v=""/>
    <s v="21597"/>
    <s v="72702"/>
    <s v="87780"/>
    <s v="0228"/>
    <s v="0216"/>
    <s v=""/>
    <x v="253"/>
    <s v="43063 21597 72702 10228 20216 39434 40055 76065 87780 333 10269 56690 58005 6006/ 83720 85626 ="/>
    <m/>
    <s v="sbs"/>
    <s v="04/12/2012 2:37:27 PM"/>
    <n v="2012"/>
    <x v="8"/>
    <x v="9"/>
    <n v="21.6"/>
    <n v="26.9"/>
    <s v=""/>
  </r>
  <r>
    <s v="10/09/2012"/>
    <s v="43063"/>
    <x v="1"/>
    <s v="24"/>
    <s v="23"/>
    <s v="10077"/>
    <s v="70265"/>
    <s v="58007"/>
    <s v="///"/>
    <s v="22"/>
    <s v=""/>
    <s v=""/>
    <s v="56690"/>
    <s v=""/>
    <s v=""/>
    <s v=""/>
    <s v="221"/>
    <s v="21597"/>
    <s v="72701"/>
    <s v="85730"/>
    <s v="0238"/>
    <s v="0226"/>
    <s v=""/>
    <x v="253"/>
    <s v="43063 21597 72701 10238 20226 39457 40077 70265 85730 333 20221 56690 58007 6002/ 82720 84626 555 00022 10356 ="/>
    <n v="221"/>
    <s v="sbs"/>
    <s v="04/12/2012 2:37:27 PM"/>
    <n v="2012"/>
    <x v="8"/>
    <x v="9"/>
    <n v="22.6"/>
    <s v=""/>
    <n v="22.1"/>
  </r>
  <r>
    <s v="11/09/2012"/>
    <s v="43063"/>
    <x v="1"/>
    <s v="23"/>
    <s v="21"/>
    <s v="10075"/>
    <s v="75052"/>
    <s v="59004"/>
    <s v="///"/>
    <s v="21"/>
    <s v=""/>
    <s v=""/>
    <s v="56690"/>
    <s v=""/>
    <s v=""/>
    <s v=""/>
    <s v="215"/>
    <s v="21597"/>
    <s v="62702"/>
    <s v="86730"/>
    <s v="0229"/>
    <s v="0214"/>
    <s v=""/>
    <x v="254"/>
    <s v="43063 21597 62702 10229 20214 39453 40075 75052 86730 333 20215 56690 59004 6007/ 83720 84626 555 00071 10363 ="/>
    <n v="215"/>
    <s v="sbs"/>
    <s v="04/12/2012 2:37:27 PM"/>
    <n v="2012"/>
    <x v="8"/>
    <x v="10"/>
    <n v="21.4"/>
    <s v=""/>
    <n v="21.5"/>
  </r>
  <r>
    <s v="11/09/2012"/>
    <s v="43063"/>
    <x v="0"/>
    <s v="24"/>
    <s v="20"/>
    <s v="10046"/>
    <s v="70265"/>
    <s v="59005"/>
    <s v="26"/>
    <s v="///"/>
    <s v=""/>
    <s v=""/>
    <s v="56600"/>
    <s v=""/>
    <s v=""/>
    <s v="259"/>
    <s v=""/>
    <s v="21597"/>
    <s v="72703"/>
    <s v="87700"/>
    <s v="0240"/>
    <s v="0204"/>
    <s v=""/>
    <x v="254"/>
    <s v="43063 21597 72703 10240 20204 39429 40046 70265 87700 333 10259 56600 59005 6992/ 83720 84626 ="/>
    <m/>
    <s v="sbs"/>
    <s v="04/12/2012 2:37:27 PM"/>
    <n v="2012"/>
    <x v="8"/>
    <x v="10"/>
    <n v="20.399999999999999"/>
    <n v="25.9"/>
    <s v=""/>
  </r>
  <r>
    <s v="12/09/2012"/>
    <s v="43063"/>
    <x v="1"/>
    <s v="24"/>
    <s v="20"/>
    <s v="10075"/>
    <s v="7////"/>
    <s v="58002"/>
    <s v="///"/>
    <s v="21"/>
    <s v=""/>
    <s v=""/>
    <s v="56600"/>
    <s v=""/>
    <s v=""/>
    <s v=""/>
    <s v="206"/>
    <s v="22597"/>
    <s v="52701"/>
    <s v="85700"/>
    <s v="0240"/>
    <s v="0204"/>
    <s v=""/>
    <x v="255"/>
    <s v="43063 22597 52701 10240 20204 39455 40075 85700 333 20206 56600 58002 6992/ 81720 84626 555 00002 10363 ="/>
    <n v="206"/>
    <s v="sbs"/>
    <s v="04/12/2012 2:37:27 PM"/>
    <n v="2012"/>
    <x v="8"/>
    <x v="11"/>
    <n v="20.399999999999999"/>
    <s v=""/>
    <n v="20.6"/>
  </r>
  <r>
    <s v="12/09/2012"/>
    <s v="43063"/>
    <x v="0"/>
    <s v="26"/>
    <s v="20"/>
    <s v="10050"/>
    <s v="7////"/>
    <s v="58007"/>
    <s v="28"/>
    <s v="///"/>
    <s v=""/>
    <s v=""/>
    <s v="56690"/>
    <s v=""/>
    <s v=""/>
    <s v="283"/>
    <s v=""/>
    <s v="32597"/>
    <s v="62704"/>
    <s v="85730"/>
    <s v="0258"/>
    <s v="0199"/>
    <s v=""/>
    <x v="255"/>
    <s v="43063 32597 62704 10258 20199 39436 40050 85730 333 10283 56690 58007 81720 85626 ="/>
    <m/>
    <s v="sbs"/>
    <s v="04/12/2012 2:37:27 PM"/>
    <n v="2012"/>
    <x v="8"/>
    <x v="11"/>
    <n v="19.899999999999999"/>
    <n v="28.3"/>
    <s v=""/>
  </r>
  <r>
    <s v="13/09/2012"/>
    <s v="43063"/>
    <x v="1"/>
    <s v="24"/>
    <s v="20"/>
    <s v="10084"/>
    <s v="7////"/>
    <s v="58009"/>
    <s v="///"/>
    <s v="20"/>
    <s v=""/>
    <s v=""/>
    <s v="56600"/>
    <s v=""/>
    <s v=""/>
    <s v=""/>
    <s v="196"/>
    <s v="22597"/>
    <s v="72701"/>
    <s v="87700"/>
    <s v="0238"/>
    <s v="0202"/>
    <s v=""/>
    <x v="256"/>
    <s v="43063 22597 72701 10238 20202 39464 40084 87700 333 20196 56600 58009 6990/ 83720 85626 555 00000 10363 ="/>
    <n v="196"/>
    <s v="sbs"/>
    <s v="04/12/2012 2:37:27 PM"/>
    <n v="2012"/>
    <x v="8"/>
    <x v="12"/>
    <n v="20.2"/>
    <s v=""/>
    <n v="19.600000000000001"/>
  </r>
  <r>
    <s v="13/09/2012"/>
    <s v="43063"/>
    <x v="0"/>
    <s v="26"/>
    <s v="20"/>
    <s v="10059"/>
    <s v="7////"/>
    <s v="58009"/>
    <s v="28"/>
    <s v="///"/>
    <s v=""/>
    <s v=""/>
    <s v="56600"/>
    <s v=""/>
    <s v=""/>
    <s v="278"/>
    <s v=""/>
    <s v="22597"/>
    <s v="52704"/>
    <s v="85700"/>
    <s v="0260"/>
    <s v="0201"/>
    <s v=""/>
    <x v="256"/>
    <s v="43063 22597 52704 10260 20201 39445 40059 85700 333 10278 56600 58009 6992/ 81720 85626 ="/>
    <m/>
    <s v="sbs"/>
    <s v="04/12/2012 2:37:27 PM"/>
    <n v="2012"/>
    <x v="8"/>
    <x v="12"/>
    <n v="20.100000000000001"/>
    <n v="27.8"/>
    <s v=""/>
  </r>
  <r>
    <s v="14/09/2012"/>
    <s v="43063"/>
    <x v="1"/>
    <s v="24"/>
    <s v="21"/>
    <s v="10079"/>
    <s v="7////"/>
    <s v="59003"/>
    <s v="///"/>
    <s v="20"/>
    <s v=""/>
    <s v=""/>
    <s v="56600"/>
    <s v=""/>
    <s v=""/>
    <s v=""/>
    <s v="200"/>
    <s v="22597"/>
    <s v="52701"/>
    <s v="85700"/>
    <s v="0242"/>
    <s v="0207"/>
    <s v=""/>
    <x v="257"/>
    <s v="43063 22597 52701 10242 20207 39461 40079 85700 333 20200 56600 59003 6992/ 82720 83626 555 00002 10363 ="/>
    <n v="200"/>
    <s v="sbs"/>
    <s v="04/12/2012 2:37:27 PM"/>
    <n v="2012"/>
    <x v="8"/>
    <x v="13"/>
    <n v="20.7"/>
    <s v=""/>
    <n v="20"/>
  </r>
  <r>
    <s v="14/09/2012"/>
    <s v="43063"/>
    <x v="0"/>
    <s v="26"/>
    <s v="20"/>
    <s v="10050"/>
    <s v="70262"/>
    <s v="59009"/>
    <s v="28"/>
    <s v="///"/>
    <s v=""/>
    <s v=""/>
    <s v="56600"/>
    <s v=""/>
    <s v=""/>
    <s v="278"/>
    <s v=""/>
    <s v="21597"/>
    <s v="52703"/>
    <s v="85700"/>
    <s v="0256"/>
    <s v="0203"/>
    <s v=""/>
    <x v="257"/>
    <s v="43063 21597 52703 10256 20203 39436 40050 70262 85700 333 10278 56600 59009 6990/ 82720 83626 ="/>
    <m/>
    <s v="sbs"/>
    <s v="04/12/2012 2:37:27 PM"/>
    <n v="2012"/>
    <x v="8"/>
    <x v="13"/>
    <n v="20.3"/>
    <n v="27.8"/>
    <s v=""/>
  </r>
  <r>
    <s v="15/09/2012"/>
    <s v="43063"/>
    <x v="1"/>
    <s v="23"/>
    <s v="21"/>
    <s v="10069"/>
    <s v="72055"/>
    <s v="59011"/>
    <s v="///"/>
    <s v="21"/>
    <s v=""/>
    <s v=""/>
    <s v="56690"/>
    <s v=""/>
    <s v=""/>
    <s v=""/>
    <s v="212"/>
    <s v="21597"/>
    <s v="72703"/>
    <s v="86730"/>
    <s v="0231"/>
    <s v="0211"/>
    <s v=""/>
    <x v="258"/>
    <s v="43063 21597 72703 10231 20211 39450 40069 72055 86730 333 20212 56690 59011 6002/ 83720 85626 555 00019 10365 ="/>
    <n v="212"/>
    <s v="sbs"/>
    <s v="04/12/2012 2:37:27 PM"/>
    <n v="2012"/>
    <x v="8"/>
    <x v="14"/>
    <n v="21.1"/>
    <s v=""/>
    <n v="21.2"/>
  </r>
  <r>
    <s v="15/09/2012"/>
    <s v="43063"/>
    <x v="0"/>
    <s v="26"/>
    <s v="20"/>
    <s v="10049"/>
    <s v="7////"/>
    <s v="59001"/>
    <s v="28"/>
    <s v="///"/>
    <s v=""/>
    <s v=""/>
    <s v="56600"/>
    <s v=""/>
    <s v=""/>
    <s v="281"/>
    <s v=""/>
    <s v="22597"/>
    <s v="52704"/>
    <s v="85700"/>
    <s v="0256"/>
    <s v="0196"/>
    <s v=""/>
    <x v="258"/>
    <s v="43063 22597 52704 10256 20196 39435 40049 85700 333 10281 56600 59001 6990/ 82720 83626 ="/>
    <m/>
    <s v="sbs"/>
    <s v="04/12/2012 2:37:27 PM"/>
    <n v="2012"/>
    <x v="8"/>
    <x v="14"/>
    <n v="19.600000000000001"/>
    <n v="28.1"/>
    <s v=""/>
  </r>
  <r>
    <s v="16/09/2012"/>
    <s v="43063"/>
    <x v="1"/>
    <s v="23"/>
    <s v="21"/>
    <s v="10072"/>
    <s v="75022"/>
    <s v="58000"/>
    <s v="///"/>
    <s v="21"/>
    <s v=""/>
    <s v=""/>
    <s v="56600"/>
    <s v=""/>
    <s v=""/>
    <s v=""/>
    <s v="213"/>
    <s v="21596"/>
    <s v="72702"/>
    <s v="87700"/>
    <s v="0230"/>
    <s v="0206"/>
    <s v=""/>
    <x v="259"/>
    <s v="43063 21596 72702 10230 20206 39450 40072 75022 87700 333 20213 56600 58000 6990/ 83720 84626 555 00000 10365 ="/>
    <n v="213"/>
    <s v="sbs"/>
    <s v="04/12/2012 2:37:27 PM"/>
    <n v="2012"/>
    <x v="8"/>
    <x v="15"/>
    <n v="20.6"/>
    <s v=""/>
    <n v="21.3"/>
  </r>
  <r>
    <s v="16/09/2012"/>
    <s v="43063"/>
    <x v="0"/>
    <s v="26"/>
    <s v="20"/>
    <s v="10048"/>
    <s v="7////"/>
    <s v="59001"/>
    <s v="29"/>
    <s v="///"/>
    <s v=""/>
    <s v=""/>
    <s v="56600"/>
    <s v=""/>
    <s v=""/>
    <s v="287"/>
    <s v=""/>
    <s v="32597"/>
    <s v="72704"/>
    <s v="87700"/>
    <s v="0260"/>
    <s v="0204"/>
    <s v=""/>
    <x v="259"/>
    <s v="43063 32597 72704 10260 20204 39434 40048 87700 333 10287 56600 59001 83720 85626 ="/>
    <m/>
    <s v="sbs"/>
    <s v="04/12/2012 2:37:27 PM"/>
    <n v="2012"/>
    <x v="8"/>
    <x v="15"/>
    <n v="20.399999999999999"/>
    <n v="28.7"/>
    <s v=""/>
  </r>
  <r>
    <s v="17/09/2012"/>
    <s v="43063"/>
    <x v="0"/>
    <s v="26"/>
    <s v="20"/>
    <s v="10054"/>
    <s v="7////"/>
    <s v="58006"/>
    <s v="29"/>
    <s v="///"/>
    <s v=""/>
    <s v=""/>
    <s v="56///"/>
    <s v=""/>
    <s v=""/>
    <s v="289"/>
    <s v=""/>
    <s v="32597"/>
    <s v="42503"/>
    <s v="83830"/>
    <s v="0260"/>
    <s v="0201"/>
    <s v=""/>
    <x v="260"/>
    <s v="43063 32597 42503 10260 20201 39440 40054 83830 333 10289 58006 82626 ="/>
    <m/>
    <s v="sbs"/>
    <s v="04/12/2012 2:37:27 PM"/>
    <n v="2012"/>
    <x v="8"/>
    <x v="16"/>
    <n v="20.100000000000001"/>
    <n v="28.9"/>
    <s v=""/>
  </r>
  <r>
    <s v="17/09/2012"/>
    <s v="43063"/>
    <x v="1"/>
    <s v="24"/>
    <s v="21"/>
    <s v="10072"/>
    <s v="7////"/>
    <s v="58004"/>
    <s v="///"/>
    <s v="19"/>
    <s v=""/>
    <s v=""/>
    <s v="56600"/>
    <s v=""/>
    <s v=""/>
    <s v=""/>
    <s v="192"/>
    <s v="22597"/>
    <s v="52701"/>
    <s v="85700"/>
    <s v="0242"/>
    <s v="0210"/>
    <s v=""/>
    <x v="260"/>
    <s v="43063 22597 52701 10242 20210 39454 40072 85700 333 20192 56600 58004 6995/ 81720 85626 555 00005 10366 ="/>
    <n v="192"/>
    <s v="sbs"/>
    <s v="04/12/2012 2:37:27 PM"/>
    <n v="2012"/>
    <x v="8"/>
    <x v="16"/>
    <n v="21"/>
    <s v=""/>
    <n v="19.2"/>
  </r>
  <r>
    <s v="18/09/2012"/>
    <s v="43063"/>
    <x v="1"/>
    <s v="24"/>
    <s v="20"/>
    <s v="10092"/>
    <s v="7////"/>
    <s v="58017"/>
    <s v="///"/>
    <s v="20"/>
    <s v=""/>
    <s v=""/>
    <s v="56///"/>
    <s v=""/>
    <s v=""/>
    <s v=""/>
    <s v="198"/>
    <s v="32597"/>
    <s v="30000"/>
    <s v="82501"/>
    <s v="0238"/>
    <s v="0199"/>
    <s v=""/>
    <x v="261"/>
    <s v="43063 32597 30000 10238 20199 39471 40092 82501 333 20198 58017 82626 555 00000 10366 ="/>
    <n v="198"/>
    <s v="sbs"/>
    <s v="04/12/2012 2:37:27 PM"/>
    <n v="2012"/>
    <x v="8"/>
    <x v="17"/>
    <n v="19.899999999999999"/>
    <s v=""/>
    <n v="19.8"/>
  </r>
  <r>
    <s v="18/09/2012"/>
    <s v="43063"/>
    <x v="0"/>
    <s v="24"/>
    <s v="20"/>
    <s v="10067"/>
    <s v="72062"/>
    <s v="58008"/>
    <s v="30"/>
    <s v="///"/>
    <s v=""/>
    <s v=""/>
    <s v="56690"/>
    <s v=""/>
    <s v=""/>
    <s v="300"/>
    <s v=""/>
    <s v="21597"/>
    <s v="72903"/>
    <s v="86730"/>
    <s v="0238"/>
    <s v="0197"/>
    <s v=""/>
    <x v="261"/>
    <s v="43063 21597 72903 10238 20197 39448 40067 72062 86730 333 10300 56690 58008 6994/ 81720 85626 ="/>
    <m/>
    <s v="sbs"/>
    <s v="04/12/2012 2:37:27 PM"/>
    <n v="2012"/>
    <x v="8"/>
    <x v="17"/>
    <n v="19.7"/>
    <n v="30"/>
    <s v=""/>
  </r>
  <r>
    <s v="19/09/2012"/>
    <s v="43063"/>
    <x v="1"/>
    <s v="23"/>
    <s v="20"/>
    <s v="10091"/>
    <s v="7////"/>
    <s v="59002"/>
    <s v="///"/>
    <s v="20"/>
    <s v=""/>
    <s v=""/>
    <s v="56690"/>
    <s v=""/>
    <s v=""/>
    <s v=""/>
    <s v="201"/>
    <s v="22597"/>
    <s v="72002"/>
    <s v="85730"/>
    <s v="0230"/>
    <s v="0199"/>
    <s v=""/>
    <x v="262"/>
    <s v="43063 22597 72002 10230 20199 39469 40091 85730 333 20201 56690 59002 6994/ 82720 85626 555 00004 10366 ="/>
    <n v="201"/>
    <s v="sbs"/>
    <s v="04/12/2012 2:37:27 PM"/>
    <n v="2012"/>
    <x v="8"/>
    <x v="18"/>
    <n v="19.899999999999999"/>
    <s v=""/>
    <n v="20.100000000000001"/>
  </r>
  <r>
    <s v="19/09/2012"/>
    <s v="43063"/>
    <x v="0"/>
    <s v="26"/>
    <s v="21"/>
    <s v="10047"/>
    <s v="70252"/>
    <s v="59013"/>
    <s v="29"/>
    <s v="///"/>
    <s v=""/>
    <s v=""/>
    <s v="56690"/>
    <s v=""/>
    <s v=""/>
    <s v="288"/>
    <s v=""/>
    <s v="21597"/>
    <s v="62702"/>
    <s v="83730"/>
    <s v="0264"/>
    <s v="0215"/>
    <s v=""/>
    <x v="262"/>
    <s v="43063 21597 62702 10264 20215 39435 40047 70252 83730 333 10288 56690 59013 6990/ 81720 83626 85356 ="/>
    <m/>
    <s v="sbs"/>
    <s v="04/12/2012 2:37:27 PM"/>
    <n v="2012"/>
    <x v="8"/>
    <x v="18"/>
    <n v="21.5"/>
    <n v="28.8"/>
    <s v=""/>
  </r>
  <r>
    <s v="20/09/2012"/>
    <s v="43063"/>
    <x v="1"/>
    <s v="24"/>
    <s v="21"/>
    <s v="10089"/>
    <s v="7////"/>
    <s v="58001"/>
    <s v="///"/>
    <s v="22"/>
    <s v=""/>
    <s v=""/>
    <s v="56///"/>
    <s v=""/>
    <s v=""/>
    <s v=""/>
    <s v="216"/>
    <s v="22597"/>
    <s v="50000"/>
    <s v="84530"/>
    <s v="0242"/>
    <s v="0207"/>
    <s v=""/>
    <x v="263"/>
    <s v="43063 22597 50000 10242 20207 39470 40089 84530 333 20216 58001 6990/ 85626 555 00000 10366 ="/>
    <n v="216"/>
    <s v="sbs"/>
    <s v="04/12/2012 2:37:27 PM"/>
    <n v="2012"/>
    <x v="8"/>
    <x v="19"/>
    <n v="20.7"/>
    <s v=""/>
    <n v="21.6"/>
  </r>
  <r>
    <s v="20/09/2012"/>
    <s v="43063"/>
    <x v="0"/>
    <s v="27"/>
    <s v="20"/>
    <s v="10052"/>
    <s v="7////"/>
    <s v="58007"/>
    <s v="31"/>
    <s v="///"/>
    <s v=""/>
    <s v=""/>
    <s v="56///"/>
    <s v=""/>
    <s v=""/>
    <s v="309"/>
    <s v=""/>
    <s v="32597"/>
    <s v="72704"/>
    <s v="87700"/>
    <s v="0274"/>
    <s v="0203"/>
    <s v=""/>
    <x v="263"/>
    <s v="43063 32597 72704 10274 20203 39442 40052 87700 333 10309 58007 83720 85626 ="/>
    <m/>
    <s v="sbs"/>
    <s v="04/12/2012 2:37:27 PM"/>
    <n v="2012"/>
    <x v="8"/>
    <x v="19"/>
    <n v="20.3"/>
    <n v="30.9"/>
    <s v=""/>
  </r>
  <r>
    <s v="21/09/2012"/>
    <s v="43063"/>
    <x v="0"/>
    <s v="26"/>
    <s v="22"/>
    <s v="10061"/>
    <s v="70262"/>
    <s v="58005"/>
    <s v="28"/>
    <s v="///"/>
    <s v=""/>
    <s v=""/>
    <s v="56///"/>
    <s v=""/>
    <s v=""/>
    <s v="280"/>
    <s v=""/>
    <s v="21597"/>
    <s v="42703"/>
    <s v="82830"/>
    <s v="0258"/>
    <s v="0217"/>
    <s v=""/>
    <x v="264"/>
    <s v="43063 21597 42703 10258 20217 39447 40061 70262 82830 333 10280 58005 6994/ 82626 83356 ="/>
    <m/>
    <s v="sbs"/>
    <s v="04/12/2012 2:37:27 PM"/>
    <n v="2012"/>
    <x v="8"/>
    <x v="20"/>
    <n v="21.7"/>
    <n v="28"/>
    <s v=""/>
  </r>
  <r>
    <s v="21/09/2012"/>
    <s v="43063"/>
    <x v="1"/>
    <s v="24"/>
    <s v="20"/>
    <s v="10100"/>
    <s v="75022"/>
    <s v="58009"/>
    <s v="///"/>
    <s v="23"/>
    <s v=""/>
    <s v=""/>
    <s v="5669/"/>
    <s v=""/>
    <s v=""/>
    <s v=""/>
    <s v="225"/>
    <s v="21596"/>
    <s v="82701"/>
    <s v="8377/"/>
    <s v="0236"/>
    <s v="0200"/>
    <s v=""/>
    <x v="264"/>
    <s v="43063 21596 82701 10236 20200 39479 40100 75022 8377/ 333 20225 5669/ 58009 6990/ 82720 85458 555 00000 10366 ="/>
    <n v="225"/>
    <s v="sbs"/>
    <s v="04/12/2012 2:37:27 PM"/>
    <n v="2012"/>
    <x v="8"/>
    <x v="20"/>
    <n v="20"/>
    <s v=""/>
    <n v="22.5"/>
  </r>
  <r>
    <s v="22/09/2012"/>
    <s v="43063"/>
    <x v="0"/>
    <s v="27"/>
    <s v="20"/>
    <s v="10075"/>
    <s v="7////"/>
    <s v="58015"/>
    <s v="31"/>
    <s v="///"/>
    <s v=""/>
    <s v=""/>
    <s v="56699"/>
    <s v=""/>
    <s v=""/>
    <s v="306"/>
    <s v=""/>
    <s v="32597"/>
    <s v="72904"/>
    <s v="83731"/>
    <s v="0269"/>
    <s v="0204"/>
    <s v=""/>
    <x v="265"/>
    <s v="43063 32597 72904 10269 20204 39462 40075 83731 333 10306 56699 58015 81626 83356 85056 85070 ="/>
    <m/>
    <s v="sbs"/>
    <s v="04/12/2012 2:37:27 PM"/>
    <n v="2012"/>
    <x v="8"/>
    <x v="21"/>
    <n v="20.399999999999999"/>
    <n v="30.6"/>
    <s v=""/>
  </r>
  <r>
    <s v="22/09/2012"/>
    <s v="43063"/>
    <x v="1"/>
    <s v="23"/>
    <s v="21"/>
    <s v="10117"/>
    <s v="72162"/>
    <s v="58013"/>
    <s v="///"/>
    <s v="22"/>
    <s v=""/>
    <s v=""/>
    <s v="56690"/>
    <s v=""/>
    <s v=""/>
    <s v=""/>
    <s v="217"/>
    <s v="21596"/>
    <s v="72701"/>
    <s v="85730"/>
    <s v="0230"/>
    <s v="0209"/>
    <s v=""/>
    <x v="265"/>
    <s v="43063 21596 72701 10230 20209 39492 40117 72162 85730 333 20217 56690 58013 6995/ 81722 84626 555 00005 10367 ="/>
    <n v="217"/>
    <s v="sbs"/>
    <s v="04/12/2012 2:37:27 PM"/>
    <n v="2012"/>
    <x v="8"/>
    <x v="21"/>
    <n v="20.9"/>
    <s v=""/>
    <n v="21.7"/>
  </r>
  <r>
    <s v="23/09/2012"/>
    <s v="43063"/>
    <x v="0"/>
    <s v="28"/>
    <s v="20"/>
    <s v="10061"/>
    <s v="7////"/>
    <s v="59012"/>
    <s v="30"/>
    <s v="///"/>
    <s v=""/>
    <s v=""/>
    <s v="56///"/>
    <s v=""/>
    <s v=""/>
    <s v="301"/>
    <s v=""/>
    <s v="32597"/>
    <s v="22702"/>
    <s v="82500"/>
    <s v="0280"/>
    <s v="0197"/>
    <s v=""/>
    <x v="266"/>
    <s v="43063 32597 22702 10280 20197 39450 40061 82500 333 10301 59012 82626 ="/>
    <m/>
    <s v="sbs"/>
    <s v="04/12/2012 2:37:27 PM"/>
    <n v="2012"/>
    <x v="8"/>
    <x v="22"/>
    <n v="19.7"/>
    <n v="30.1"/>
    <s v=""/>
  </r>
  <r>
    <s v="23/09/2012"/>
    <s v="43063"/>
    <x v="1"/>
    <s v="23"/>
    <s v="20"/>
    <s v="10115"/>
    <s v="7////"/>
    <s v="58001"/>
    <s v="///"/>
    <s v="19"/>
    <s v=""/>
    <s v=""/>
    <s v="56///"/>
    <s v=""/>
    <s v=""/>
    <s v=""/>
    <s v="193"/>
    <s v="32596"/>
    <s v="52903"/>
    <s v="84830"/>
    <s v="0231"/>
    <s v="0203"/>
    <s v=""/>
    <x v="266"/>
    <s v="43063 32596 52903 10231 20203 39493 40115 84830 333 20193 58001 82626 555 00000 10367 ="/>
    <n v="193"/>
    <s v="sbs"/>
    <s v="04/12/2012 2:37:27 PM"/>
    <n v="2012"/>
    <x v="8"/>
    <x v="22"/>
    <n v="20.3"/>
    <s v=""/>
    <n v="19.3"/>
  </r>
  <r>
    <s v="24/09/2012"/>
    <s v="43063"/>
    <x v="0"/>
    <s v="27"/>
    <s v="17"/>
    <s v="10067"/>
    <s v="7////"/>
    <s v="58006"/>
    <s v="30"/>
    <s v="///"/>
    <s v=""/>
    <s v=""/>
    <s v="56///"/>
    <s v=""/>
    <s v=""/>
    <s v="298"/>
    <s v=""/>
    <s v="32597"/>
    <s v="22703"/>
    <s v="82500"/>
    <s v="0275"/>
    <s v="0169"/>
    <s v=""/>
    <x v="267"/>
    <s v="43063 32597 22703 10275 20169 39456 40067 82500 333 10298 58006 82626 ="/>
    <m/>
    <s v="sbs"/>
    <s v="04/12/2012 2:37:27 PM"/>
    <n v="2012"/>
    <x v="8"/>
    <x v="23"/>
    <n v="16.899999999999999"/>
    <n v="29.8"/>
    <s v=""/>
  </r>
  <r>
    <s v="24/09/2012"/>
    <s v="43063"/>
    <x v="1"/>
    <s v="23"/>
    <s v="19"/>
    <s v="10116"/>
    <s v="7////"/>
    <s v="59002"/>
    <s v="///"/>
    <s v="19"/>
    <s v=""/>
    <s v=""/>
    <s v="56///"/>
    <s v=""/>
    <s v=""/>
    <s v=""/>
    <s v="187"/>
    <s v="32597"/>
    <s v="12701"/>
    <s v="81500"/>
    <s v="0230"/>
    <s v="0187"/>
    <s v=""/>
    <x v="267"/>
    <s v="43063 32597 12701 10230 20187 39491 40116 81500 333 20187 59002 81626 555 00000 10367 ="/>
    <n v="187"/>
    <s v="sbs"/>
    <s v="04/12/2012 2:37:27 PM"/>
    <n v="2012"/>
    <x v="8"/>
    <x v="23"/>
    <n v="18.7"/>
    <s v=""/>
    <n v="18.7"/>
  </r>
  <r>
    <s v="25/09/2012"/>
    <s v="43063"/>
    <x v="0"/>
    <s v="28"/>
    <s v="18"/>
    <s v="10073"/>
    <s v="7////"/>
    <s v="58006"/>
    <s v="30"/>
    <s v="///"/>
    <s v=""/>
    <s v=""/>
    <s v="56///"/>
    <s v=""/>
    <s v=""/>
    <s v="299"/>
    <s v=""/>
    <s v="32597"/>
    <s v="22702"/>
    <s v="82500"/>
    <s v="0280"/>
    <s v="0183"/>
    <s v=""/>
    <x v="268"/>
    <s v="43063 32597 22702 10280 20183 39462 40073 82500 333 10299 58006 82626 ="/>
    <m/>
    <s v="sbs"/>
    <s v="04/12/2012 2:37:27 PM"/>
    <n v="2012"/>
    <x v="8"/>
    <x v="24"/>
    <n v="18.3"/>
    <n v="29.9"/>
    <s v=""/>
  </r>
  <r>
    <s v="25/09/2012"/>
    <s v="43063"/>
    <x v="1"/>
    <s v="23"/>
    <s v="19"/>
    <s v="10114"/>
    <s v="7////"/>
    <s v="58002"/>
    <s v="///"/>
    <s v="19"/>
    <s v=""/>
    <s v=""/>
    <s v="56///"/>
    <s v=""/>
    <s v=""/>
    <s v=""/>
    <s v="191"/>
    <s v="32597"/>
    <s v="32701"/>
    <s v="83500"/>
    <s v="0232"/>
    <s v="0190"/>
    <s v=""/>
    <x v="268"/>
    <s v="43063 32597 32701 10232 20190 39492 40114 83500 333 20191 58002 83626 555 00000 10367 ="/>
    <n v="191"/>
    <s v="sbs"/>
    <s v="04/12/2012 2:37:27 PM"/>
    <n v="2012"/>
    <x v="8"/>
    <x v="24"/>
    <n v="19"/>
    <s v=""/>
    <n v="19.100000000000001"/>
  </r>
  <r>
    <s v="26/09/2012"/>
    <s v="43063"/>
    <x v="1"/>
    <s v="23"/>
    <s v="20"/>
    <s v="10130"/>
    <s v="7////"/>
    <s v="58016"/>
    <s v="///"/>
    <s v="19"/>
    <s v=""/>
    <s v=""/>
    <s v="56///"/>
    <s v=""/>
    <s v=""/>
    <s v=""/>
    <s v="185"/>
    <s v="32597"/>
    <s v="32701"/>
    <s v="81530"/>
    <s v="0234"/>
    <s v="0197"/>
    <s v=""/>
    <x v="269"/>
    <s v="43063 32597 32701 10234 20197 39508 40130 81530 333 20185 58016 81626 555 00000 10367 ="/>
    <n v="185"/>
    <s v="sbs"/>
    <s v="04/12/2012 2:37:27 PM"/>
    <n v="2012"/>
    <x v="8"/>
    <x v="25"/>
    <n v="19.7"/>
    <s v=""/>
    <n v="18.5"/>
  </r>
  <r>
    <s v="26/09/2012"/>
    <s v="43063"/>
    <x v="0"/>
    <s v="28"/>
    <s v="20"/>
    <s v="10085"/>
    <s v="7////"/>
    <s v="58012"/>
    <s v="31"/>
    <s v="///"/>
    <s v=""/>
    <s v=""/>
    <s v="56///"/>
    <s v=""/>
    <s v=""/>
    <s v="311"/>
    <s v=""/>
    <s v="32597"/>
    <s v="42903"/>
    <s v="84800"/>
    <s v="0281"/>
    <s v="0198"/>
    <s v=""/>
    <x v="269"/>
    <s v="43063 32597 42903 10281 20198 39474 40085 84800 333 10311 58012 82626 83828 ="/>
    <m/>
    <s v="sbs"/>
    <s v="04/12/2012 2:37:27 PM"/>
    <n v="2012"/>
    <x v="8"/>
    <x v="25"/>
    <n v="19.8"/>
    <n v="31.1"/>
    <s v=""/>
  </r>
  <r>
    <s v="27/09/2012"/>
    <s v="43063"/>
    <x v="0"/>
    <s v="28"/>
    <s v="20"/>
    <s v="10076"/>
    <s v="7////"/>
    <s v="59007"/>
    <s v="31"/>
    <s v="///"/>
    <s v=""/>
    <s v=""/>
    <s v="56///"/>
    <s v=""/>
    <s v=""/>
    <s v="314"/>
    <s v=""/>
    <s v="32597"/>
    <s v="62903"/>
    <s v="86800"/>
    <s v="0282"/>
    <s v="0203"/>
    <s v=""/>
    <x v="270"/>
    <s v="43063 32597 62903 10282 20203 39467 40076 86800 333 10314 59007 83626 84828 ="/>
    <m/>
    <s v="sbs"/>
    <s v="04/12/2012 2:37:27 PM"/>
    <n v="2012"/>
    <x v="8"/>
    <x v="26"/>
    <n v="20.3"/>
    <n v="31.4"/>
    <s v=""/>
  </r>
  <r>
    <s v="27/09/2012"/>
    <s v="43063"/>
    <x v="1"/>
    <s v="24"/>
    <s v="21"/>
    <s v="10136"/>
    <s v="70142"/>
    <s v="58006"/>
    <s v="///"/>
    <s v="20"/>
    <s v=""/>
    <s v=""/>
    <s v="56///"/>
    <s v=""/>
    <s v=""/>
    <s v=""/>
    <s v="201"/>
    <s v="31597"/>
    <s v="31101"/>
    <s v="82801"/>
    <s v="0244"/>
    <s v="0213"/>
    <s v=""/>
    <x v="270"/>
    <s v="43063 31597 31101 10244 20213 39514 40136 70142 82801 333 20201 58006 81626 555 00000 10367 ="/>
    <n v="201"/>
    <s v="sbs"/>
    <s v="04/12/2012 2:37:27 PM"/>
    <n v="2012"/>
    <x v="8"/>
    <x v="26"/>
    <n v="21.3"/>
    <s v=""/>
    <n v="20.100000000000001"/>
  </r>
  <r>
    <s v="28/09/2012"/>
    <s v="43063"/>
    <x v="0"/>
    <s v="28"/>
    <s v="20"/>
    <s v="10071"/>
    <s v="7////"/>
    <s v="59007"/>
    <s v="31"/>
    <s v="///"/>
    <s v=""/>
    <s v=""/>
    <s v="56///"/>
    <s v=""/>
    <s v=""/>
    <s v="311"/>
    <s v=""/>
    <s v="32597"/>
    <s v="73202"/>
    <s v="84830"/>
    <s v="0280"/>
    <s v="0197"/>
    <s v=""/>
    <x v="271"/>
    <s v="43063 32597 73202 10280 20197 39460 40071 84830 333 10311 59007 83626 85358 ="/>
    <m/>
    <s v="sbs"/>
    <s v="04/12/2012 2:37:27 PM"/>
    <n v="2012"/>
    <x v="8"/>
    <x v="27"/>
    <n v="19.7"/>
    <n v="31.1"/>
    <s v=""/>
  </r>
  <r>
    <s v="28/09/2012"/>
    <s v="43063"/>
    <x v="1"/>
    <s v="27"/>
    <s v="20"/>
    <s v="10116"/>
    <s v="7////"/>
    <s v="59014"/>
    <s v="///"/>
    <s v="22"/>
    <s v=""/>
    <s v=""/>
    <s v="56///"/>
    <s v=""/>
    <s v=""/>
    <s v=""/>
    <s v="217"/>
    <s v="32597"/>
    <s v="40000"/>
    <s v="84500"/>
    <s v="0266"/>
    <s v="0204"/>
    <s v=""/>
    <x v="271"/>
    <s v="43063 32597 40000 10266 20204 39500 40116 84500 333 20217 59014 84626 555 00000 10367 ="/>
    <n v="217"/>
    <s v="sbs"/>
    <s v="04/12/2012 2:37:27 PM"/>
    <n v="2012"/>
    <x v="8"/>
    <x v="27"/>
    <n v="20.399999999999999"/>
    <s v=""/>
    <n v="21.7"/>
  </r>
  <r>
    <s v="29/09/2012"/>
    <s v="43063"/>
    <x v="1"/>
    <s v="24"/>
    <s v="21"/>
    <s v="10108"/>
    <s v="7////"/>
    <s v="59013"/>
    <s v="///"/>
    <s v="21"/>
    <s v=""/>
    <s v=""/>
    <s v="56///"/>
    <s v=""/>
    <s v=""/>
    <s v=""/>
    <s v="206"/>
    <s v="22597"/>
    <s v="50000"/>
    <s v="81530"/>
    <s v="0236"/>
    <s v="0212"/>
    <s v=""/>
    <x v="272"/>
    <s v="43063 22597 50000 10236 20212 39487 40108 81530 333 20206 59013 6990/ 81626 85358 555 00000 10367 ="/>
    <n v="206"/>
    <s v="sbs"/>
    <s v="04/12/2012 2:37:27 PM"/>
    <n v="2012"/>
    <x v="8"/>
    <x v="28"/>
    <n v="21.2"/>
    <s v=""/>
    <n v="20.6"/>
  </r>
  <r>
    <s v="29/09/2012"/>
    <s v="43063"/>
    <x v="0"/>
    <s v="27"/>
    <s v="22"/>
    <s v="10058"/>
    <s v="70262"/>
    <s v="59014"/>
    <s v="32"/>
    <s v="///"/>
    <s v=""/>
    <s v=""/>
    <s v="56///"/>
    <s v=""/>
    <s v=""/>
    <s v="319"/>
    <s v=""/>
    <s v="21597"/>
    <s v="52701"/>
    <s v="85900"/>
    <s v="0270"/>
    <s v="0218"/>
    <s v=""/>
    <x v="272"/>
    <s v="43063 21597 52701 10270 20218 39446 40058 70262 85900 333 10319 59014 6001/ 82626 81930 ="/>
    <m/>
    <s v="sbs"/>
    <s v="04/12/2012 2:37:27 PM"/>
    <n v="2012"/>
    <x v="8"/>
    <x v="28"/>
    <n v="21.8"/>
    <n v="31.9"/>
    <s v=""/>
  </r>
  <r>
    <s v="30/09/2012"/>
    <s v="43063"/>
    <x v="1"/>
    <s v="24"/>
    <s v="22"/>
    <s v="10096"/>
    <s v="70522"/>
    <s v="59010"/>
    <s v="///"/>
    <s v="20"/>
    <s v=""/>
    <s v=""/>
    <s v="56///"/>
    <s v=""/>
    <s v=""/>
    <s v=""/>
    <s v="204"/>
    <s v="21996"/>
    <s v="40000"/>
    <s v="80001"/>
    <s v="0242"/>
    <s v="0219"/>
    <s v=""/>
    <x v="273"/>
    <s v="43063 21996 40000 10242 20219 39477 40096 70522 80001 333 20204 59010 6001/ 84070 555 00011 10368 ="/>
    <n v="204"/>
    <s v="sbs"/>
    <s v="04/12/2012 2:37:27 PM"/>
    <n v="2012"/>
    <x v="8"/>
    <x v="29"/>
    <n v="21.9"/>
    <s v=""/>
    <n v="20.399999999999999"/>
  </r>
  <r>
    <s v="30/09/2012"/>
    <s v="43063"/>
    <x v="0"/>
    <s v="29"/>
    <s v="21"/>
    <s v="10048"/>
    <s v="7////"/>
    <s v="59006"/>
    <s v="32"/>
    <s v="///"/>
    <s v=""/>
    <s v=""/>
    <s v="56///"/>
    <s v=""/>
    <s v=""/>
    <s v="318"/>
    <s v=""/>
    <s v="32597"/>
    <s v="72902"/>
    <s v="82531"/>
    <s v="0289"/>
    <s v="0207"/>
    <s v=""/>
    <x v="273"/>
    <s v="43063 32597 72902 10289 20207 39440 40048 82531 333 10318 59006 82526 85358 ="/>
    <m/>
    <s v="ckk"/>
    <s v="07/01/2013 2:33:44 PM"/>
    <n v="2012"/>
    <x v="8"/>
    <x v="29"/>
    <n v="20.7"/>
    <n v="31.8"/>
    <s v=""/>
  </r>
  <r>
    <s v="01/10/2012"/>
    <s v="43063"/>
    <x v="0"/>
    <s v="26"/>
    <s v="22"/>
    <s v="10049"/>
    <s v="71762"/>
    <s v="59003"/>
    <s v="30"/>
    <s v="///"/>
    <s v=""/>
    <s v=""/>
    <s v="56///"/>
    <s v=""/>
    <s v=""/>
    <s v="301"/>
    <s v=""/>
    <s v="21597"/>
    <s v="70000"/>
    <s v="84930"/>
    <s v="0264"/>
    <s v="0224"/>
    <s v=""/>
    <x v="274"/>
    <s v="43063 21597 70000 10264 20224 39437 40049 71762 84930 333 10301 59003 6990/ 82626 81930 85356 ="/>
    <m/>
    <s v="ckk"/>
    <s v="07/01/2013 2:33:44 PM"/>
    <n v="2012"/>
    <x v="9"/>
    <x v="0"/>
    <n v="22.4"/>
    <n v="30.1"/>
    <s v=""/>
  </r>
  <r>
    <s v="01/10/2012"/>
    <s v="43063"/>
    <x v="1"/>
    <s v="24"/>
    <s v="23"/>
    <s v="10086"/>
    <s v="70262"/>
    <s v="59009"/>
    <s v="///"/>
    <s v="21"/>
    <s v=""/>
    <s v=""/>
    <s v="56///"/>
    <s v=""/>
    <s v=""/>
    <s v=""/>
    <s v="215"/>
    <s v="21597"/>
    <s v="70000"/>
    <s v="81531"/>
    <s v="0241"/>
    <s v="0225"/>
    <s v=""/>
    <x v="274"/>
    <s v="43063 21597 70000 10241 20225 39468 40086 70262 81531 333 20215 59009 6027/ 81626 83356 85070 555 00274 10027 ="/>
    <n v="215"/>
    <s v="ckk"/>
    <s v="07/01/2013 2:33:44 PM"/>
    <n v="2012"/>
    <x v="9"/>
    <x v="0"/>
    <n v="22.5"/>
    <s v=""/>
    <n v="21.5"/>
  </r>
  <r>
    <s v="02/10/2012"/>
    <s v="43063"/>
    <x v="1"/>
    <s v="24"/>
    <s v="22"/>
    <s v="10083"/>
    <s v="7////"/>
    <s v="59005"/>
    <s v="///"/>
    <s v="21"/>
    <s v=""/>
    <s v=""/>
    <s v="56///"/>
    <s v=""/>
    <s v=""/>
    <s v=""/>
    <s v="206"/>
    <s v="22597"/>
    <s v="60000"/>
    <s v="82630"/>
    <s v="0236"/>
    <s v="0218"/>
    <s v=""/>
    <x v="275"/>
    <s v="43063 22597 60000 10236 20218 39463 40083 82630 333 20206 59005 6038/ 82626 85358 555 00377 10065 ="/>
    <n v="206"/>
    <s v="ckk"/>
    <s v="07/01/2013 2:33:44 PM"/>
    <n v="2012"/>
    <x v="9"/>
    <x v="1"/>
    <n v="21.8"/>
    <s v=""/>
    <n v="20.6"/>
  </r>
  <r>
    <s v="02/10/2012"/>
    <s v="43063"/>
    <x v="0"/>
    <s v="25"/>
    <s v="22"/>
    <s v="10046"/>
    <s v="7////"/>
    <s v="59005"/>
    <s v="31"/>
    <s v="///"/>
    <s v=""/>
    <s v=""/>
    <s v="56///"/>
    <s v=""/>
    <s v=""/>
    <s v="308"/>
    <s v=""/>
    <s v="32597"/>
    <s v="73201"/>
    <s v="84830"/>
    <s v="0252"/>
    <s v="0217"/>
    <s v=""/>
    <x v="275"/>
    <s v="43063 32597 73201 10252 20217 39432 40046 84830 333 10308 59005 82626 83828 85356 ="/>
    <m/>
    <s v="ckk"/>
    <s v="07/01/2013 2:33:44 PM"/>
    <n v="2012"/>
    <x v="9"/>
    <x v="1"/>
    <n v="21.7"/>
    <n v="30.8"/>
    <s v=""/>
  </r>
  <r>
    <s v="03/10/2012"/>
    <s v="43063"/>
    <x v="0"/>
    <s v="25"/>
    <s v="22"/>
    <s v="10050"/>
    <s v="7////"/>
    <s v="58004"/>
    <s v="30"/>
    <s v="///"/>
    <s v=""/>
    <s v=""/>
    <s v="56///"/>
    <s v=""/>
    <s v=""/>
    <s v="301"/>
    <s v=""/>
    <s v="32597"/>
    <s v="82502"/>
    <s v="85831"/>
    <s v="0254"/>
    <s v="0219"/>
    <s v=""/>
    <x v="276"/>
    <s v="43063 32597 82502 10254 20219 39436 40050 85831 333 10301 58004 83628 85358 ="/>
    <m/>
    <s v="ckk"/>
    <s v="07/01/2013 2:33:44 PM"/>
    <n v="2012"/>
    <x v="9"/>
    <x v="2"/>
    <n v="21.9"/>
    <n v="30.1"/>
    <s v=""/>
  </r>
  <r>
    <s v="03/10/2012"/>
    <s v="43063"/>
    <x v="1"/>
    <s v="23"/>
    <s v="21"/>
    <s v="10086"/>
    <s v="7////"/>
    <s v="58003"/>
    <s v="///"/>
    <s v="21"/>
    <s v=""/>
    <s v=""/>
    <s v="56///"/>
    <s v=""/>
    <s v=""/>
    <s v=""/>
    <s v="213"/>
    <s v="22597"/>
    <s v="70000"/>
    <s v="81531"/>
    <s v="0234"/>
    <s v="0207"/>
    <s v=""/>
    <x v="276"/>
    <s v="43063 22597 70000 10234 20207 39466 40086 81531 333 20213 58003 6992/ 81626 86358 555 00002 10065 ="/>
    <n v="213"/>
    <s v="ckk"/>
    <s v="07/01/2013 2:33:44 PM"/>
    <n v="2012"/>
    <x v="9"/>
    <x v="2"/>
    <n v="20.7"/>
    <s v=""/>
    <n v="21.3"/>
  </r>
  <r>
    <s v="04/10/2012"/>
    <s v="43063"/>
    <x v="0"/>
    <s v="24"/>
    <s v="23"/>
    <s v="10061"/>
    <s v="70296"/>
    <s v="58008"/>
    <s v="31"/>
    <s v="///"/>
    <s v=""/>
    <s v=""/>
    <s v="56///"/>
    <s v=""/>
    <s v=""/>
    <s v="305"/>
    <s v=""/>
    <s v="21597"/>
    <s v="70000"/>
    <s v="82530"/>
    <s v="0242"/>
    <s v="0230"/>
    <s v=""/>
    <x v="277"/>
    <s v="43063 21597 70000 10242 20230 39444 40061 70296 82530 333 10305 58008 6033/ 82626 87358 ="/>
    <m/>
    <s v="ckk"/>
    <s v="07/01/2013 2:33:44 PM"/>
    <n v="2012"/>
    <x v="9"/>
    <x v="3"/>
    <n v="23"/>
    <n v="30.5"/>
    <s v=""/>
  </r>
  <r>
    <s v="04/10/2012"/>
    <s v="43063"/>
    <x v="1"/>
    <s v="24"/>
    <s v="23"/>
    <s v="10084"/>
    <s v="7////"/>
    <s v="59002"/>
    <s v="///"/>
    <s v="22"/>
    <s v=""/>
    <s v=""/>
    <s v="56///"/>
    <s v=""/>
    <s v=""/>
    <s v=""/>
    <s v="220"/>
    <s v="22597"/>
    <s v="70000"/>
    <s v="83530"/>
    <s v="0240"/>
    <s v="0228"/>
    <s v=""/>
    <x v="277"/>
    <s v="43063 22597 70000 10240 20228 39464 40084 83530 333 20220 59002 6001/ 83626 84358 555 00012 10067 ="/>
    <n v="220"/>
    <s v="ckk"/>
    <s v="07/01/2013 2:33:44 PM"/>
    <n v="2012"/>
    <x v="9"/>
    <x v="3"/>
    <n v="22.8"/>
    <s v=""/>
    <n v="22"/>
  </r>
  <r>
    <s v="05/10/2012"/>
    <s v="43063"/>
    <x v="1"/>
    <s v="23"/>
    <s v="22"/>
    <s v="10105"/>
    <s v="70562"/>
    <s v="58018"/>
    <s v="///"/>
    <s v="22"/>
    <s v=""/>
    <s v=""/>
    <s v="56///"/>
    <s v=""/>
    <s v=""/>
    <s v=""/>
    <s v="220"/>
    <s v="21596"/>
    <s v="70000"/>
    <s v="85530"/>
    <s v="0230"/>
    <s v="0224"/>
    <s v=""/>
    <x v="278"/>
    <s v="43063 21596 70000 10230 20224 39482 40105 70562 85530 333 20220 58018 6037/ 85626 83358 555 00366 10103 ="/>
    <n v="220"/>
    <s v="ckk"/>
    <s v="07/01/2013 2:33:44 PM"/>
    <n v="2012"/>
    <x v="9"/>
    <x v="4"/>
    <n v="22.4"/>
    <s v=""/>
    <n v="22"/>
  </r>
  <r>
    <s v="05/10/2012"/>
    <s v="43063"/>
    <x v="0"/>
    <s v="27"/>
    <s v="22"/>
    <s v="10060"/>
    <s v="71722"/>
    <s v="58004"/>
    <s v="30"/>
    <s v="///"/>
    <s v=""/>
    <s v=""/>
    <s v="56///"/>
    <s v=""/>
    <s v=""/>
    <s v="301"/>
    <s v=""/>
    <s v="31597"/>
    <s v="62701"/>
    <s v="86600"/>
    <s v="0266"/>
    <s v="0220"/>
    <s v=""/>
    <x v="278"/>
    <s v="43063 31597 62701 10266 20220 39448 40060 71722 86600 333 10301 58004 82626 83828 81930 ="/>
    <m/>
    <s v="ckk"/>
    <s v="07/01/2013 2:33:44 PM"/>
    <n v="2012"/>
    <x v="9"/>
    <x v="4"/>
    <n v="22"/>
    <n v="30.1"/>
    <s v=""/>
  </r>
  <r>
    <s v="06/10/2012"/>
    <s v="43063"/>
    <x v="1"/>
    <s v="25"/>
    <s v="22"/>
    <s v="10109"/>
    <s v="7////"/>
    <s v="58009"/>
    <s v="///"/>
    <s v="21"/>
    <s v=""/>
    <s v=""/>
    <s v="56///"/>
    <s v=""/>
    <s v=""/>
    <s v=""/>
    <s v="213"/>
    <s v="22597"/>
    <s v="50000"/>
    <s v="85500"/>
    <s v="0248"/>
    <s v="0222"/>
    <s v=""/>
    <x v="279"/>
    <s v="43063 22597 50000 10248 20222 39491 40109 85500 333 20213 58009 6007/ 85626 555 00071 10110 ="/>
    <n v="213"/>
    <s v="ckk"/>
    <s v="07/01/2013 2:33:44 PM"/>
    <n v="2012"/>
    <x v="9"/>
    <x v="5"/>
    <n v="22.2"/>
    <s v=""/>
    <n v="21.3"/>
  </r>
  <r>
    <s v="06/10/2012"/>
    <s v="43063"/>
    <x v="0"/>
    <s v="28"/>
    <s v="21"/>
    <s v="10072"/>
    <s v="7////"/>
    <s v="58015"/>
    <s v="31"/>
    <s v="///"/>
    <s v=""/>
    <s v=""/>
    <s v="56///"/>
    <s v=""/>
    <s v=""/>
    <s v="311"/>
    <s v=""/>
    <s v="32597"/>
    <s v="60000"/>
    <s v="84801"/>
    <s v="0284"/>
    <s v="0211"/>
    <s v=""/>
    <x v="279"/>
    <s v="43063 32597 60000 10284 20211 39463 40072 84801 333 10311 58015 81626 84828 ="/>
    <m/>
    <s v="ckk"/>
    <s v="07/01/2013 2:33:44 PM"/>
    <n v="2012"/>
    <x v="9"/>
    <x v="5"/>
    <n v="21.1"/>
    <n v="31.1"/>
    <s v=""/>
  </r>
  <r>
    <s v="07/10/2012"/>
    <s v="43063"/>
    <x v="1"/>
    <s v="25"/>
    <s v="23"/>
    <s v="10118"/>
    <s v="7////"/>
    <s v="58006"/>
    <s v="///"/>
    <s v="22"/>
    <s v=""/>
    <s v=""/>
    <s v="56///"/>
    <s v=""/>
    <s v=""/>
    <s v=""/>
    <s v="216"/>
    <s v="22597"/>
    <s v="70000"/>
    <s v="86830"/>
    <s v="0250"/>
    <s v="0227"/>
    <s v=""/>
    <x v="280"/>
    <s v="43063 22597 70000 10250 20227 39497 40118 86830 333 20216 58006 6010/ 84626 555 00100 10120 ="/>
    <n v="216"/>
    <s v="ckk"/>
    <s v="07/01/2013 2:33:44 PM"/>
    <n v="2012"/>
    <x v="9"/>
    <x v="6"/>
    <n v="22.7"/>
    <s v=""/>
    <n v="21.6"/>
  </r>
  <r>
    <s v="07/10/2012"/>
    <s v="43063"/>
    <x v="0"/>
    <s v="27"/>
    <s v="23"/>
    <s v="10080"/>
    <s v="7////"/>
    <s v="58004"/>
    <s v="31"/>
    <s v="///"/>
    <s v=""/>
    <s v=""/>
    <s v="56///"/>
    <s v=""/>
    <s v=""/>
    <s v="309"/>
    <s v=""/>
    <s v="32597"/>
    <s v="70000"/>
    <s v="87800"/>
    <s v="0268"/>
    <s v="0225"/>
    <s v=""/>
    <x v="280"/>
    <s v="43063 32597 70000 10268 20225 39467 40080 87800 333 10309 58004 85626 ="/>
    <m/>
    <s v="ckk"/>
    <s v="07/01/2013 2:33:44 PM"/>
    <n v="2012"/>
    <x v="9"/>
    <x v="6"/>
    <n v="22.5"/>
    <n v="30.9"/>
    <s v=""/>
  </r>
  <r>
    <s v="08/10/2012"/>
    <s v="43063"/>
    <x v="1"/>
    <s v="24"/>
    <s v="22"/>
    <s v="10114"/>
    <s v="7////"/>
    <s v="59005"/>
    <s v="///"/>
    <s v="21"/>
    <s v=""/>
    <s v=""/>
    <s v="56///"/>
    <s v=""/>
    <s v=""/>
    <s v=""/>
    <s v="205"/>
    <s v="32597"/>
    <s v="30000"/>
    <s v="82830"/>
    <s v="0240"/>
    <s v="0220"/>
    <s v=""/>
    <x v="281"/>
    <s v="43063 32597 30000 10240 20220 39492 40114 82830 333 20205 59005 81626 555 10120 ="/>
    <n v="205"/>
    <s v="ckk"/>
    <s v="07/01/2013 2:33:44 PM"/>
    <n v="2012"/>
    <x v="9"/>
    <x v="7"/>
    <n v="22"/>
    <s v=""/>
    <n v="20.5"/>
  </r>
  <r>
    <s v="08/10/2012"/>
    <s v="43063"/>
    <x v="0"/>
    <s v="29"/>
    <s v="18"/>
    <s v="10062"/>
    <s v="7////"/>
    <s v="59012"/>
    <s v="31"/>
    <s v="///"/>
    <s v=""/>
    <s v=""/>
    <s v="56///"/>
    <s v=""/>
    <s v=""/>
    <s v="313"/>
    <s v=""/>
    <s v="32597"/>
    <s v="30000"/>
    <s v="82801"/>
    <s v="0295"/>
    <s v="0183"/>
    <s v=""/>
    <x v="281"/>
    <s v="43063 32597 30000 10295 20183 39455 40062 82801 333 10313 59012 81626 ="/>
    <m/>
    <s v="ckk"/>
    <s v="07/01/2013 2:33:44 PM"/>
    <n v="2012"/>
    <x v="9"/>
    <x v="7"/>
    <n v="18.3"/>
    <n v="31.3"/>
    <s v=""/>
  </r>
  <r>
    <s v="09/10/2012"/>
    <s v="43063"/>
    <x v="1"/>
    <s v="25"/>
    <s v="22"/>
    <s v="10105"/>
    <s v="7////"/>
    <s v="59006"/>
    <s v="///"/>
    <s v="21"/>
    <s v=""/>
    <s v=""/>
    <s v="56///"/>
    <s v=""/>
    <s v=""/>
    <s v=""/>
    <s v="210"/>
    <s v="32597"/>
    <s v="32501"/>
    <s v="82530"/>
    <s v="0250"/>
    <s v="0223"/>
    <s v=""/>
    <x v="282"/>
    <s v="43063 32597 32501 10250 20223 39486 40105 82530 333 20210 59006 82626 555 10120 ="/>
    <n v="210"/>
    <s v="ckk"/>
    <s v="07/01/2013 2:33:44 PM"/>
    <n v="2012"/>
    <x v="9"/>
    <x v="8"/>
    <n v="22.3"/>
    <s v=""/>
    <n v="21"/>
  </r>
  <r>
    <s v="09/10/2012"/>
    <s v="43063"/>
    <x v="0"/>
    <s v="28"/>
    <s v="22"/>
    <s v="10056"/>
    <s v="7////"/>
    <s v="59009"/>
    <s v="32"/>
    <s v="///"/>
    <s v=""/>
    <s v=""/>
    <s v="56///"/>
    <s v=""/>
    <s v=""/>
    <s v="321"/>
    <s v=""/>
    <s v="32597"/>
    <s v="50000"/>
    <s v="85800"/>
    <s v="0280"/>
    <s v="0223"/>
    <s v=""/>
    <x v="282"/>
    <s v="43063 32597 50000 10280 20223 39446 40056 85800 333 10321 59009 83826 83528 ="/>
    <m/>
    <s v="ckk"/>
    <s v="07/01/2013 2:33:44 PM"/>
    <n v="2012"/>
    <x v="9"/>
    <x v="8"/>
    <n v="22.3"/>
    <n v="32.1"/>
    <s v=""/>
  </r>
  <r>
    <s v="10/10/2012"/>
    <s v="43063"/>
    <x v="0"/>
    <s v="29"/>
    <s v="19"/>
    <s v="10064"/>
    <s v="7////"/>
    <s v="58009"/>
    <s v="33"/>
    <s v="///"/>
    <s v=""/>
    <s v=""/>
    <s v="56///"/>
    <s v=""/>
    <s v=""/>
    <s v="329"/>
    <s v=""/>
    <s v="32597"/>
    <s v="63202"/>
    <s v="86800"/>
    <s v="0286"/>
    <s v="0187"/>
    <s v=""/>
    <x v="283"/>
    <s v="43063 32597 63202 10286 20187 39455 40064 86800 333 10329 58009 84626 ="/>
    <m/>
    <s v="ckk"/>
    <s v="07/01/2013 2:33:44 PM"/>
    <n v="2012"/>
    <x v="9"/>
    <x v="9"/>
    <n v="18.7"/>
    <n v="32.9"/>
    <s v=""/>
  </r>
  <r>
    <s v="10/10/2012"/>
    <s v="43063"/>
    <x v="1"/>
    <s v="25"/>
    <s v="23"/>
    <s v="10106"/>
    <s v="70542"/>
    <s v="58003"/>
    <s v="///"/>
    <s v="21"/>
    <s v=""/>
    <s v=""/>
    <s v="56///"/>
    <s v=""/>
    <s v=""/>
    <s v=""/>
    <s v="212"/>
    <s v="31996"/>
    <s v="00000"/>
    <s v="/////"/>
    <s v="0252"/>
    <s v="0226"/>
    <s v=""/>
    <x v="283"/>
    <s v="43063 31996 00000 10252 20226 39489 40106 70542 333 20212 58003 555 00000 10120 ="/>
    <n v="212"/>
    <s v="ckk"/>
    <s v="07/01/2013 2:33:44 PM"/>
    <n v="2012"/>
    <x v="9"/>
    <x v="9"/>
    <n v="22.6"/>
    <s v=""/>
    <n v="21.2"/>
  </r>
  <r>
    <s v="11/10/2012"/>
    <s v="43063"/>
    <x v="1"/>
    <s v="25"/>
    <s v="21"/>
    <s v="10109"/>
    <s v="7////"/>
    <s v="58002"/>
    <s v="///"/>
    <s v="20"/>
    <s v=""/>
    <s v=""/>
    <s v="56///"/>
    <s v=""/>
    <s v=""/>
    <s v=""/>
    <s v="201"/>
    <s v="32997"/>
    <s v="00000"/>
    <s v="/////"/>
    <s v="0252"/>
    <s v="0211"/>
    <s v=""/>
    <x v="284"/>
    <s v="43063 32997 00000 10252 20211 39491 40109 333 20201 58002 555 00000 10120 ="/>
    <n v="201"/>
    <s v="ckk"/>
    <s v="07/01/2013 2:33:44 PM"/>
    <n v="2012"/>
    <x v="9"/>
    <x v="10"/>
    <n v="21.1"/>
    <s v=""/>
    <n v="20.100000000000001"/>
  </r>
  <r>
    <s v="11/10/2012"/>
    <s v="43063"/>
    <x v="0"/>
    <s v="31"/>
    <s v="19"/>
    <s v="10065"/>
    <s v="7////"/>
    <s v="58005"/>
    <s v="32"/>
    <s v="///"/>
    <s v=""/>
    <s v=""/>
    <s v="56///"/>
    <s v=""/>
    <s v=""/>
    <s v="324"/>
    <s v=""/>
    <s v="32597"/>
    <s v="20000"/>
    <s v="82500"/>
    <s v="0306"/>
    <s v="0194"/>
    <s v=""/>
    <x v="284"/>
    <s v="43063 32597 20000 10306 20194 39460 40065 82500 333 10324 58005 82628 ="/>
    <m/>
    <s v="ckk"/>
    <s v="07/01/2013 2:33:44 PM"/>
    <n v="2012"/>
    <x v="9"/>
    <x v="10"/>
    <n v="19.399999999999999"/>
    <n v="32.4"/>
    <s v=""/>
  </r>
  <r>
    <s v="12/10/2012"/>
    <s v="43063"/>
    <x v="1"/>
    <s v="25"/>
    <s v="19"/>
    <s v="10122"/>
    <s v="7////"/>
    <s v="58010"/>
    <s v="///"/>
    <s v="17"/>
    <s v=""/>
    <s v=""/>
    <s v="56///"/>
    <s v=""/>
    <s v=""/>
    <s v=""/>
    <s v="175"/>
    <s v="32996"/>
    <s v="00000"/>
    <s v="/////"/>
    <s v="0248"/>
    <s v="0191"/>
    <s v=""/>
    <x v="285"/>
    <s v="43063 32996 00000 10248 20191 39501 40122 333 20175 58010 555 10120 ="/>
    <n v="175"/>
    <s v="ckk"/>
    <s v="07/01/2013 2:33:44 PM"/>
    <n v="2012"/>
    <x v="9"/>
    <x v="11"/>
    <n v="19.100000000000001"/>
    <s v=""/>
    <n v="17.5"/>
  </r>
  <r>
    <s v="12/10/2012"/>
    <s v="43063"/>
    <x v="0"/>
    <s v="28"/>
    <s v="20"/>
    <s v="10072"/>
    <s v="7////"/>
    <s v="58003"/>
    <s v="33"/>
    <s v="///"/>
    <s v=""/>
    <s v=""/>
    <s v="56///"/>
    <s v=""/>
    <s v=""/>
    <s v="331"/>
    <s v=""/>
    <s v="32597"/>
    <s v="42302"/>
    <s v="83830"/>
    <s v="0281"/>
    <s v="0197"/>
    <s v=""/>
    <x v="285"/>
    <s v="43063 32597 42302 10281 20197 39463 40072 83830 333 10331 58003 82626 ="/>
    <m/>
    <s v="ckk"/>
    <s v="07/01/2013 2:33:44 PM"/>
    <n v="2012"/>
    <x v="9"/>
    <x v="11"/>
    <n v="19.7"/>
    <n v="33.1"/>
    <s v=""/>
  </r>
  <r>
    <s v="13/10/2012"/>
    <s v="43063"/>
    <x v="1"/>
    <s v="24"/>
    <s v="20"/>
    <s v="10121"/>
    <s v="7////"/>
    <s v="59001"/>
    <s v="///"/>
    <s v="20"/>
    <s v=""/>
    <s v=""/>
    <s v="56///"/>
    <s v=""/>
    <s v=""/>
    <s v=""/>
    <s v="196"/>
    <s v="32996"/>
    <s v="00000"/>
    <s v="/////"/>
    <s v="0244"/>
    <s v="0199"/>
    <s v=""/>
    <x v="286"/>
    <s v="43063 32996 00000 10244 20199 39500 40121 333 20196 59001 555 00000 10120 ="/>
    <n v="196"/>
    <s v="ckk"/>
    <s v="07/01/2013 2:33:44 PM"/>
    <n v="2012"/>
    <x v="9"/>
    <x v="12"/>
    <n v="19.899999999999999"/>
    <s v=""/>
    <n v="19.600000000000001"/>
  </r>
  <r>
    <s v="13/10/2012"/>
    <s v="43063"/>
    <x v="0"/>
    <s v="30"/>
    <s v="19"/>
    <s v="10069"/>
    <s v="7////"/>
    <s v="59001"/>
    <s v="32"/>
    <s v="///"/>
    <s v=""/>
    <s v=""/>
    <s v="56///"/>
    <s v=""/>
    <s v=""/>
    <s v="324"/>
    <s v=""/>
    <s v="32597"/>
    <s v="10000"/>
    <s v="81500"/>
    <s v="0300"/>
    <s v="0186"/>
    <s v=""/>
    <x v="286"/>
    <s v="43063 32597 10000 10300 20186 39462 40069 81500 333 10324 59001 81626 ="/>
    <m/>
    <s v="ckk"/>
    <s v="07/01/2013 2:33:44 PM"/>
    <n v="2012"/>
    <x v="9"/>
    <x v="12"/>
    <n v="18.600000000000001"/>
    <n v="32.4"/>
    <s v=""/>
  </r>
  <r>
    <s v="14/10/2012"/>
    <s v="43063"/>
    <x v="1"/>
    <s v="24"/>
    <s v="21"/>
    <s v="10136"/>
    <s v="70541"/>
    <s v="58014"/>
    <s v="///"/>
    <s v="18"/>
    <s v=""/>
    <s v=""/>
    <s v="56///"/>
    <s v=""/>
    <s v=""/>
    <s v=""/>
    <s v="176"/>
    <s v="31996"/>
    <s v="00000"/>
    <s v="/////"/>
    <s v="0242"/>
    <s v="0210"/>
    <s v=""/>
    <x v="287"/>
    <s v="43063 31996 00000 10242 20210 39514 40136 70541 333 20176 58014 555 00000 10120 ="/>
    <n v="176"/>
    <s v="ckk"/>
    <s v="07/01/2013 2:33:44 PM"/>
    <n v="2012"/>
    <x v="9"/>
    <x v="13"/>
    <n v="21"/>
    <s v=""/>
    <n v="17.600000000000001"/>
  </r>
  <r>
    <s v="14/10/2012"/>
    <s v="43063"/>
    <x v="0"/>
    <s v="30"/>
    <s v="18"/>
    <s v="10085"/>
    <s v="7////"/>
    <s v="58014"/>
    <s v="32"/>
    <s v="///"/>
    <s v=""/>
    <s v=""/>
    <s v="56///"/>
    <s v=""/>
    <s v=""/>
    <s v="318"/>
    <s v=""/>
    <s v="32597"/>
    <s v="20000"/>
    <s v="82500"/>
    <s v="0296"/>
    <s v="0182"/>
    <s v=""/>
    <x v="287"/>
    <s v="43063 32597 20000 10296 20182 39476 40085 82500 333 10318 58014 82626 ="/>
    <m/>
    <s v="ckk"/>
    <s v="07/01/2013 2:33:44 PM"/>
    <n v="2012"/>
    <x v="9"/>
    <x v="13"/>
    <n v="18.2"/>
    <n v="31.8"/>
    <s v=""/>
  </r>
  <r>
    <s v="15/10/2012"/>
    <s v="43063"/>
    <x v="0"/>
    <s v="30"/>
    <s v="19"/>
    <s v="10103"/>
    <s v="7////"/>
    <s v="58019"/>
    <s v="32"/>
    <s v="///"/>
    <s v=""/>
    <s v=""/>
    <s v="56///"/>
    <s v=""/>
    <s v=""/>
    <s v="319"/>
    <s v=""/>
    <s v="32597"/>
    <s v="20000"/>
    <s v="82200"/>
    <s v="0300"/>
    <s v="0186"/>
    <s v=""/>
    <x v="288"/>
    <s v="43063 32597 20000 10300 20186 39493 40103 82200 333 10319 58019 82830 ="/>
    <m/>
    <s v="ckk"/>
    <s v="07/01/2013 2:33:44 PM"/>
    <n v="2012"/>
    <x v="9"/>
    <x v="14"/>
    <n v="18.600000000000001"/>
    <n v="31.9"/>
    <s v=""/>
  </r>
  <r>
    <s v="15/10/2012"/>
    <s v="43063"/>
    <x v="1"/>
    <s v="23"/>
    <s v="18"/>
    <s v="10151"/>
    <s v="70511"/>
    <s v="58011"/>
    <s v="///"/>
    <s v="17"/>
    <s v=""/>
    <s v=""/>
    <s v="56///"/>
    <s v=""/>
    <s v=""/>
    <s v=""/>
    <s v="166"/>
    <s v="31996"/>
    <s v="30000"/>
    <s v="80001"/>
    <s v="0226"/>
    <s v="0176"/>
    <s v=""/>
    <x v="288"/>
    <s v="43063 31996 30000 10226 20176 39525 40151 70511 80001 333 20166 58011 83070 555 00000 10120 ="/>
    <n v="166"/>
    <s v="ckk"/>
    <s v="07/01/2013 2:33:44 PM"/>
    <n v="2012"/>
    <x v="9"/>
    <x v="14"/>
    <n v="17.600000000000001"/>
    <s v=""/>
    <n v="16.600000000000001"/>
  </r>
  <r>
    <s v="16/10/2012"/>
    <s v="43063"/>
    <x v="1"/>
    <s v="23"/>
    <s v="17"/>
    <s v="10161"/>
    <s v="7////"/>
    <s v="58009"/>
    <s v="///"/>
    <s v="17"/>
    <s v=""/>
    <s v=""/>
    <s v="56///"/>
    <s v=""/>
    <s v=""/>
    <s v=""/>
    <s v="171"/>
    <s v="32996"/>
    <s v="10000"/>
    <s v="80001"/>
    <s v="0228"/>
    <s v="0175"/>
    <s v=""/>
    <x v="289"/>
    <s v="43063 32996 10000 10228 20175 39534 40161 80001 333 20171 58009 81072 555 00000 10120 ="/>
    <n v="171"/>
    <s v="ckk"/>
    <s v="07/01/2013 2:33:44 PM"/>
    <n v="2012"/>
    <x v="9"/>
    <x v="15"/>
    <n v="17.5"/>
    <s v=""/>
    <n v="17.100000000000001"/>
  </r>
  <r>
    <s v="16/10/2012"/>
    <s v="43063"/>
    <x v="0"/>
    <s v="28"/>
    <s v="18"/>
    <s v="10116"/>
    <s v="7////"/>
    <s v="58011"/>
    <s v="31"/>
    <s v="///"/>
    <s v=""/>
    <s v=""/>
    <s v="56///"/>
    <s v=""/>
    <s v=""/>
    <s v="312"/>
    <s v=""/>
    <s v="32597"/>
    <s v="70000"/>
    <s v="84530"/>
    <s v="0282"/>
    <s v="0184"/>
    <s v=""/>
    <x v="289"/>
    <s v="43063 32597 70000 10282 20184 39504 40116 84530 333 10312 58011 84626 ="/>
    <m/>
    <s v="ckk"/>
    <s v="07/01/2013 2:33:44 PM"/>
    <n v="2012"/>
    <x v="9"/>
    <x v="15"/>
    <n v="18.399999999999999"/>
    <n v="31.2"/>
    <s v=""/>
  </r>
  <r>
    <s v="17/10/2012"/>
    <s v="43063"/>
    <x v="1"/>
    <s v="23"/>
    <s v="18"/>
    <s v="10159"/>
    <s v="7////"/>
    <s v="58000"/>
    <s v="///"/>
    <s v="17"/>
    <s v=""/>
    <s v=""/>
    <s v="56///"/>
    <s v=""/>
    <s v=""/>
    <s v=""/>
    <s v="174"/>
    <s v="32796"/>
    <s v="20502"/>
    <s v="82030"/>
    <s v="0234"/>
    <s v="0179"/>
    <s v=""/>
    <x v="290"/>
    <s v="43063 32796 20502 10234 20179 39534 40159 82030 333 20174 58000 82358 555 00000 10120 ="/>
    <n v="174"/>
    <s v="ckk"/>
    <s v="07/01/2013 2:33:44 PM"/>
    <n v="2012"/>
    <x v="9"/>
    <x v="16"/>
    <n v="17.899999999999999"/>
    <s v=""/>
    <n v="17.399999999999999"/>
  </r>
  <r>
    <s v="17/10/2012"/>
    <s v="43063"/>
    <x v="0"/>
    <s v="30"/>
    <s v="15"/>
    <s v="10100"/>
    <s v="7////"/>
    <s v="59014"/>
    <s v="32"/>
    <s v="///"/>
    <s v=""/>
    <s v=""/>
    <s v="56///"/>
    <s v=""/>
    <s v=""/>
    <s v="319"/>
    <s v=""/>
    <s v="32597"/>
    <s v="40000"/>
    <s v="84500"/>
    <s v="0296"/>
    <s v="0155"/>
    <s v=""/>
    <x v="290"/>
    <s v="43063 32597 40000 10296 20155 39490 40100 84500 333 10319 59014 84626 ="/>
    <m/>
    <s v="ckk"/>
    <s v="07/01/2013 2:33:44 PM"/>
    <n v="2012"/>
    <x v="9"/>
    <x v="16"/>
    <n v="15.5"/>
    <n v="31.9"/>
    <s v=""/>
  </r>
  <r>
    <s v="18/10/2012"/>
    <s v="43063"/>
    <x v="1"/>
    <s v="24"/>
    <s v="18"/>
    <s v="10143"/>
    <s v="70521"/>
    <s v="59014"/>
    <s v="///"/>
    <s v="17"/>
    <s v=""/>
    <s v=""/>
    <s v="56///"/>
    <s v=""/>
    <s v=""/>
    <s v=""/>
    <s v="165"/>
    <s v="31996"/>
    <s v="00000"/>
    <s v="/////"/>
    <s v="0244"/>
    <s v="0183"/>
    <s v=""/>
    <x v="291"/>
    <s v="43063 31996 00000 10244 20183 39521 40143 70521 333 20165 59014 555 00000 10120 ="/>
    <n v="165"/>
    <s v="ckk"/>
    <s v="07/01/2013 2:33:44 PM"/>
    <n v="2012"/>
    <x v="9"/>
    <x v="17"/>
    <n v="18.3"/>
    <s v=""/>
    <n v="16.5"/>
  </r>
  <r>
    <s v="18/10/2012"/>
    <s v="43063"/>
    <x v="0"/>
    <s v="30"/>
    <s v="15"/>
    <s v="10084"/>
    <s v="7////"/>
    <s v="59012"/>
    <s v="32"/>
    <s v="///"/>
    <s v=""/>
    <s v=""/>
    <s v="56///"/>
    <s v=""/>
    <s v=""/>
    <s v="321"/>
    <s v=""/>
    <s v="32597"/>
    <s v="40902"/>
    <s v="81530"/>
    <s v="0302"/>
    <s v="0151"/>
    <s v=""/>
    <x v="291"/>
    <s v="43063 32597 40902 10302 20151 39478 40084 81530 333 10321 59012 81626 83358 ="/>
    <m/>
    <s v="ckk"/>
    <s v="07/01/2013 2:33:44 PM"/>
    <n v="2012"/>
    <x v="9"/>
    <x v="17"/>
    <n v="15.1"/>
    <n v="32.1"/>
    <s v=""/>
  </r>
  <r>
    <s v="19/10/2012"/>
    <s v="43063"/>
    <x v="0"/>
    <s v="31"/>
    <s v="11"/>
    <s v="10085"/>
    <s v="7////"/>
    <s v="58001"/>
    <s v="32"/>
    <s v="///"/>
    <s v=""/>
    <s v=""/>
    <s v="56///"/>
    <s v=""/>
    <s v=""/>
    <s v="316"/>
    <s v=""/>
    <s v="32597"/>
    <s v="40901"/>
    <s v="81530"/>
    <s v="0306"/>
    <s v="0114"/>
    <s v=""/>
    <x v="292"/>
    <s v="43063 32597 40901 10306 20114 39479 40085 81530 333 10316 58001 81626 83358 ="/>
    <m/>
    <s v="ckk"/>
    <s v="07/01/2013 2:33:44 PM"/>
    <n v="2012"/>
    <x v="9"/>
    <x v="18"/>
    <n v="11.4"/>
    <n v="31.6"/>
    <s v=""/>
  </r>
  <r>
    <s v="19/10/2012"/>
    <s v="43063"/>
    <x v="1"/>
    <s v="23"/>
    <s v="17"/>
    <s v="10146"/>
    <s v="70500"/>
    <s v="58001"/>
    <s v="///"/>
    <s v="16"/>
    <s v=""/>
    <s v=""/>
    <s v="56///"/>
    <s v=""/>
    <s v=""/>
    <s v=""/>
    <s v="157"/>
    <s v="31996"/>
    <s v="00000"/>
    <s v="/////"/>
    <s v="0232"/>
    <s v="0166"/>
    <s v=""/>
    <x v="292"/>
    <s v="43063 31996 00000 10232 20166 39522 40146 70500 333 20157 58001 555 00000 10120 ="/>
    <n v="157"/>
    <s v="ckk"/>
    <s v="07/01/2013 2:33:44 PM"/>
    <n v="2012"/>
    <x v="9"/>
    <x v="18"/>
    <n v="16.600000000000001"/>
    <s v=""/>
    <n v="15.7"/>
  </r>
  <r>
    <s v="20/10/2012"/>
    <s v="43063"/>
    <x v="0"/>
    <s v="29"/>
    <s v="14"/>
    <s v="10092"/>
    <s v="7////"/>
    <s v="58002"/>
    <s v="32"/>
    <s v="///"/>
    <s v=""/>
    <s v=""/>
    <s v="56///"/>
    <s v=""/>
    <s v=""/>
    <s v="317"/>
    <s v=""/>
    <s v="32597"/>
    <s v="50000"/>
    <s v="80001"/>
    <s v="0289"/>
    <s v="0144"/>
    <s v=""/>
    <x v="293"/>
    <s v="43063 32597 50000 10289 20144 39481 40092 80001 333 10317 58002 85072 ="/>
    <m/>
    <s v="ckk"/>
    <s v="07/01/2013 2:33:44 PM"/>
    <n v="2012"/>
    <x v="9"/>
    <x v="19"/>
    <n v="14.4"/>
    <n v="31.7"/>
    <s v=""/>
  </r>
  <r>
    <s v="20/10/2012"/>
    <s v="43063"/>
    <x v="1"/>
    <s v="22"/>
    <s v="14"/>
    <s v="10150"/>
    <s v="7////"/>
    <s v="58000"/>
    <s v="///"/>
    <s v="15"/>
    <s v=""/>
    <s v=""/>
    <s v="56///"/>
    <s v=""/>
    <s v=""/>
    <s v=""/>
    <s v="148"/>
    <s v="32996"/>
    <s v="20701"/>
    <s v="80001"/>
    <s v="0216"/>
    <s v="0140"/>
    <s v=""/>
    <x v="293"/>
    <s v="43063 32996 20701 10216 20140 39522 40150 80001 333 20148 58000 82074 555 10120 ="/>
    <n v="148"/>
    <s v="ckk"/>
    <s v="07/01/2013 2:33:44 PM"/>
    <n v="2012"/>
    <x v="9"/>
    <x v="19"/>
    <n v="14"/>
    <s v=""/>
    <n v="14.8"/>
  </r>
  <r>
    <s v="21/10/2012"/>
    <s v="43063"/>
    <x v="1"/>
    <s v="23"/>
    <s v="21"/>
    <s v="10152"/>
    <s v="76042"/>
    <s v="58004"/>
    <s v="///"/>
    <s v="20"/>
    <s v=""/>
    <s v=""/>
    <s v="56///"/>
    <s v=""/>
    <s v=""/>
    <s v=""/>
    <s v="201"/>
    <s v="21596"/>
    <s v="80000"/>
    <s v="8252/"/>
    <s v="0230"/>
    <s v="0206"/>
    <s v=""/>
    <x v="294"/>
    <s v="43063 21596 80000 10230 20206 39526 40152 76042 8252/ 333 20201 58004 6991/ 82628 86452 555 00001 10120 ="/>
    <n v="201"/>
    <s v="ckk"/>
    <s v="07/01/2013 2:33:44 PM"/>
    <n v="2012"/>
    <x v="9"/>
    <x v="20"/>
    <n v="20.6"/>
    <s v=""/>
    <n v="20.100000000000001"/>
  </r>
  <r>
    <s v="21/10/2012"/>
    <s v="43063"/>
    <x v="0"/>
    <s v="28"/>
    <s v="18"/>
    <s v="10099"/>
    <s v="7////"/>
    <s v="58005"/>
    <s v="29"/>
    <s v="///"/>
    <s v=""/>
    <s v=""/>
    <s v="56///"/>
    <s v=""/>
    <s v=""/>
    <s v="292"/>
    <s v=""/>
    <s v="32596"/>
    <s v="60000"/>
    <s v="83530"/>
    <s v="0280"/>
    <s v="0180"/>
    <s v=""/>
    <x v="294"/>
    <s v="43063 32596 60000 10280 20180 39486 40099 83530 333 10292 58005 83626 84356 ="/>
    <m/>
    <s v="ckk"/>
    <s v="07/01/2013 2:33:44 PM"/>
    <n v="2012"/>
    <x v="9"/>
    <x v="20"/>
    <n v="18"/>
    <n v="29.2"/>
    <s v=""/>
  </r>
  <r>
    <s v="22/10/2012"/>
    <s v="43063"/>
    <x v="1"/>
    <s v="23"/>
    <s v="13"/>
    <s v="10148"/>
    <s v="7////"/>
    <s v="59002"/>
    <s v="///"/>
    <s v="20"/>
    <s v=""/>
    <s v=""/>
    <s v="56///"/>
    <s v=""/>
    <s v=""/>
    <s v=""/>
    <s v="202"/>
    <s v="32596"/>
    <s v="70902"/>
    <s v="87500"/>
    <s v="0234"/>
    <s v="0135"/>
    <s v=""/>
    <x v="295"/>
    <s v="43063 32596 70902 10234 20135 39524 40148 87500 333 20202 59002 87626 555 00000 10120 ="/>
    <n v="202"/>
    <s v="ckk"/>
    <s v="07/01/2013 2:33:44 PM"/>
    <n v="2012"/>
    <x v="9"/>
    <x v="21"/>
    <n v="13.5"/>
    <s v=""/>
    <n v="20.2"/>
  </r>
  <r>
    <s v="22/10/2012"/>
    <s v="43063"/>
    <x v="0"/>
    <s v="28"/>
    <s v="20"/>
    <s v="10100"/>
    <s v="7////"/>
    <s v="58001"/>
    <s v="29"/>
    <s v="///"/>
    <s v=""/>
    <s v=""/>
    <s v="56///"/>
    <s v=""/>
    <s v=""/>
    <s v="295"/>
    <s v=""/>
    <s v="32597"/>
    <s v="70000"/>
    <s v="82530"/>
    <s v="0276"/>
    <s v="0196"/>
    <s v=""/>
    <x v="295"/>
    <s v="43063 32597 70000 10276 20196 39487 40100 82530 333 10295 58001 82626 87356 ="/>
    <m/>
    <s v="ckk"/>
    <s v="07/01/2013 2:33:44 PM"/>
    <n v="2012"/>
    <x v="9"/>
    <x v="21"/>
    <n v="19.600000000000001"/>
    <n v="29.5"/>
    <s v=""/>
  </r>
  <r>
    <s v="23/10/2012"/>
    <s v="43063"/>
    <x v="0"/>
    <s v="29"/>
    <s v="18"/>
    <s v="10088"/>
    <s v="7////"/>
    <s v="59008"/>
    <s v="32"/>
    <s v="///"/>
    <s v=""/>
    <s v=""/>
    <s v="56///"/>
    <s v=""/>
    <s v=""/>
    <s v="317"/>
    <s v=""/>
    <s v="32597"/>
    <s v="60901"/>
    <s v="83801"/>
    <s v="0294"/>
    <s v="0179"/>
    <s v=""/>
    <x v="296"/>
    <s v="43063 32597 60901 10294 20179 39479 40088 83801 333 10317 59008 82626 83072 ="/>
    <m/>
    <s v="ckk"/>
    <s v="07/01/2013 2:33:44 PM"/>
    <n v="2012"/>
    <x v="9"/>
    <x v="22"/>
    <n v="17.899999999999999"/>
    <n v="31.7"/>
    <s v=""/>
  </r>
  <r>
    <s v="23/10/2012"/>
    <s v="43063"/>
    <x v="1"/>
    <s v="24"/>
    <s v="20"/>
    <s v="10140"/>
    <s v="70522"/>
    <s v="59008"/>
    <s v="///"/>
    <s v="22"/>
    <s v=""/>
    <s v=""/>
    <s v="56///"/>
    <s v=""/>
    <s v=""/>
    <s v=""/>
    <s v="218"/>
    <s v="21596"/>
    <s v="60000"/>
    <s v="81530"/>
    <s v="0240"/>
    <s v="0201"/>
    <s v=""/>
    <x v="296"/>
    <s v="43063 21596 60000 10240 20201 39516 40140 70522 81530 333 20218 59008 6991/ 81626 85358 555 00001 10120 ="/>
    <n v="218"/>
    <s v="ckk"/>
    <s v="07/01/2013 2:33:44 PM"/>
    <n v="2012"/>
    <x v="9"/>
    <x v="22"/>
    <n v="20.100000000000001"/>
    <s v=""/>
    <n v="21.8"/>
  </r>
  <r>
    <s v="24/10/2012"/>
    <s v="43063"/>
    <x v="1"/>
    <s v="24"/>
    <s v="21"/>
    <s v="10130"/>
    <s v="70522"/>
    <s v="59007"/>
    <s v="///"/>
    <s v="21"/>
    <s v=""/>
    <s v=""/>
    <s v="56///"/>
    <s v=""/>
    <s v=""/>
    <s v=""/>
    <s v="206"/>
    <s v="31596"/>
    <s v="70000"/>
    <s v="82530"/>
    <s v="0242"/>
    <s v="0211"/>
    <s v=""/>
    <x v="297"/>
    <s v="43063 31596 70000 10242 20211 39509 40130 70522 82530 333 20206 59007 82626 87358 555 10120 ="/>
    <n v="206"/>
    <s v="ckk"/>
    <s v="07/01/2013 2:33:44 PM"/>
    <n v="2012"/>
    <x v="9"/>
    <x v="23"/>
    <n v="21.1"/>
    <s v=""/>
    <n v="20.6"/>
  </r>
  <r>
    <s v="24/10/2012"/>
    <s v="43063"/>
    <x v="0"/>
    <s v="30"/>
    <s v="20"/>
    <s v="10080"/>
    <s v="70262"/>
    <s v="59008"/>
    <s v="31"/>
    <s v="///"/>
    <s v=""/>
    <s v=""/>
    <s v="56///"/>
    <s v=""/>
    <s v=""/>
    <s v="315"/>
    <s v=""/>
    <s v="21597"/>
    <s v="60702"/>
    <s v="84830"/>
    <s v="0300"/>
    <s v="0204"/>
    <s v=""/>
    <x v="297"/>
    <s v="43063 21597 60702 10300 20204 39471 40080 70262 84830 333 10315 59008 6990/ 82626 83656 ="/>
    <m/>
    <s v="ckk"/>
    <s v="07/01/2013 2:33:44 PM"/>
    <n v="2012"/>
    <x v="9"/>
    <x v="23"/>
    <n v="20.399999999999999"/>
    <n v="31.5"/>
    <s v=""/>
  </r>
  <r>
    <s v="25/10/2012"/>
    <s v="43063"/>
    <x v="0"/>
    <s v="30"/>
    <s v="19"/>
    <s v="10051"/>
    <s v="7////"/>
    <s v="59015"/>
    <s v="32"/>
    <s v="///"/>
    <s v=""/>
    <s v=""/>
    <s v="56///"/>
    <s v=""/>
    <s v=""/>
    <s v="319"/>
    <s v=""/>
    <s v="32597"/>
    <s v="30000"/>
    <s v="83800"/>
    <s v="0302"/>
    <s v="0189"/>
    <s v=""/>
    <x v="298"/>
    <s v="43063 32597 30000 10302 20189 39456 40051 83800 333 10319 59015 81626 83828 ="/>
    <m/>
    <s v="ckk"/>
    <s v="07/01/2013 2:33:44 PM"/>
    <n v="2012"/>
    <x v="9"/>
    <x v="24"/>
    <n v="18.899999999999999"/>
    <n v="31.9"/>
    <s v=""/>
  </r>
  <r>
    <s v="25/10/2012"/>
    <s v="43063"/>
    <x v="1"/>
    <s v="23"/>
    <s v="21"/>
    <s v="10128"/>
    <s v="70555"/>
    <s v="59003"/>
    <s v="///"/>
    <s v="20"/>
    <s v=""/>
    <s v=""/>
    <s v="56///"/>
    <s v=""/>
    <s v=""/>
    <s v=""/>
    <s v="199"/>
    <s v="21796"/>
    <s v="50000"/>
    <s v="85030"/>
    <s v="0234"/>
    <s v="0207"/>
    <s v=""/>
    <x v="298"/>
    <s v="43063 21796 50000 10234 20207 39506 40128 70555 85030 333 20199 59003 6017/ 85356 555 00175 10138 ="/>
    <n v="199"/>
    <s v="ckk"/>
    <s v="07/01/2013 2:33:44 PM"/>
    <n v="2012"/>
    <x v="9"/>
    <x v="24"/>
    <n v="20.7"/>
    <s v=""/>
    <n v="19.899999999999999"/>
  </r>
  <r>
    <s v="26/10/2012"/>
    <s v="43063"/>
    <x v="0"/>
    <s v="24"/>
    <s v="22"/>
    <s v="10083"/>
    <s v="70292"/>
    <s v="58009"/>
    <s v="31"/>
    <s v="///"/>
    <s v=""/>
    <s v=""/>
    <s v="56///"/>
    <s v=""/>
    <s v=""/>
    <s v="315"/>
    <s v=""/>
    <s v="21597"/>
    <s v="50000"/>
    <s v="85500"/>
    <s v="0242"/>
    <s v="0216"/>
    <s v=""/>
    <x v="299"/>
    <s v="43063 21597 50000 10242 20216 39465 40083 70292 85500 333 10315 58009 6007/ 85626 ="/>
    <m/>
    <s v="ckk"/>
    <s v="07/01/2013 2:33:44 PM"/>
    <n v="2012"/>
    <x v="9"/>
    <x v="25"/>
    <n v="21.6"/>
    <n v="31.5"/>
    <s v=""/>
  </r>
  <r>
    <s v="26/10/2012"/>
    <s v="43063"/>
    <x v="1"/>
    <s v="25"/>
    <s v="21"/>
    <s v="10110"/>
    <s v="70542"/>
    <s v="59014"/>
    <s v="///"/>
    <s v="20"/>
    <s v=""/>
    <s v=""/>
    <s v="56///"/>
    <s v=""/>
    <s v=""/>
    <s v=""/>
    <s v="202"/>
    <s v="31596"/>
    <s v="40000"/>
    <s v="84500"/>
    <s v="0252"/>
    <s v="0211"/>
    <s v=""/>
    <x v="299"/>
    <s v="43063 31596 40000 10252 20211 39492 40110 70542 84500 333 20202 59014 84626 555 00000 10138 ="/>
    <n v="202"/>
    <s v="ckk"/>
    <s v="07/01/2013 2:33:44 PM"/>
    <n v="2012"/>
    <x v="9"/>
    <x v="25"/>
    <n v="21.1"/>
    <s v=""/>
    <n v="20.2"/>
  </r>
  <r>
    <s v="27/10/2012"/>
    <s v="43063"/>
    <x v="0"/>
    <s v="29"/>
    <s v="17"/>
    <s v="10077"/>
    <s v="7////"/>
    <s v="58003"/>
    <s v="31"/>
    <s v="///"/>
    <s v=""/>
    <s v=""/>
    <s v="56///"/>
    <s v=""/>
    <s v=""/>
    <s v="309"/>
    <s v=""/>
    <s v="32597"/>
    <s v="31401"/>
    <s v="81501"/>
    <s v="0286"/>
    <s v="0173"/>
    <s v=""/>
    <x v="300"/>
    <s v="43063 32597 31401 10286 20173 39468 40077 81501 333 10309 58003 ="/>
    <m/>
    <s v="ckk"/>
    <s v="07/01/2013 2:33:44 PM"/>
    <n v="2012"/>
    <x v="9"/>
    <x v="26"/>
    <n v="17.3"/>
    <n v="30.9"/>
    <s v=""/>
  </r>
  <r>
    <s v="27/10/2012"/>
    <s v="43063"/>
    <x v="1"/>
    <s v="23"/>
    <s v="20"/>
    <s v="10127"/>
    <s v="70500"/>
    <s v="58010"/>
    <s v="///"/>
    <s v="18"/>
    <s v=""/>
    <s v=""/>
    <s v="56///"/>
    <s v=""/>
    <s v=""/>
    <s v=""/>
    <s v="180"/>
    <s v="21996"/>
    <s v="00000"/>
    <s v="/////"/>
    <s v="0226"/>
    <s v="0202"/>
    <s v=""/>
    <x v="300"/>
    <s v="43063 21996 00000 10226 20202 39502 40127 70500 333 20180 58010 6007/ 555 00066 10145 ="/>
    <n v="180"/>
    <s v="ckk"/>
    <s v="07/01/2013 2:33:44 PM"/>
    <n v="2012"/>
    <x v="9"/>
    <x v="26"/>
    <n v="20.2"/>
    <s v=""/>
    <n v="18"/>
  </r>
  <r>
    <s v="28/10/2012"/>
    <s v="43063"/>
    <x v="1"/>
    <s v="23"/>
    <s v="19"/>
    <s v="10139"/>
    <s v="70500"/>
    <s v="58011"/>
    <s v="///"/>
    <s v="17"/>
    <s v=""/>
    <s v=""/>
    <s v="56///"/>
    <s v=""/>
    <s v=""/>
    <s v=""/>
    <s v="171"/>
    <s v="31996"/>
    <s v="00000"/>
    <s v="/////"/>
    <s v="0226"/>
    <s v="0191"/>
    <s v=""/>
    <x v="301"/>
    <s v="43063 31996 00000 10226 20191 39513 40139 70500 333 20171 58011 555 10145 ="/>
    <n v="171"/>
    <s v="ckk"/>
    <s v="07/01/2013 2:33:44 PM"/>
    <n v="2012"/>
    <x v="9"/>
    <x v="27"/>
    <n v="19.100000000000001"/>
    <s v=""/>
    <n v="17.100000000000001"/>
  </r>
  <r>
    <s v="28/10/2012"/>
    <s v="43063"/>
    <x v="0"/>
    <s v="28"/>
    <s v="17"/>
    <s v="10092"/>
    <s v="7////"/>
    <s v="58013"/>
    <s v="31"/>
    <s v="///"/>
    <s v=""/>
    <s v=""/>
    <s v="56///"/>
    <s v=""/>
    <s v=""/>
    <s v="307"/>
    <s v=""/>
    <s v="32597"/>
    <s v="40502"/>
    <s v="84800"/>
    <s v="0284"/>
    <s v="0169"/>
    <s v=""/>
    <x v="301"/>
    <s v="43063 32597 40502 10284 20169 39481 40092 84800 333 10307 58013 83626 ="/>
    <m/>
    <s v="ckk"/>
    <s v="07/01/2013 2:33:44 PM"/>
    <n v="2012"/>
    <x v="9"/>
    <x v="27"/>
    <n v="16.899999999999999"/>
    <n v="30.7"/>
    <s v=""/>
  </r>
  <r>
    <s v="29/10/2012"/>
    <s v="43063"/>
    <x v="0"/>
    <s v="28"/>
    <s v="23"/>
    <s v="10078"/>
    <s v="7////"/>
    <s v="59014"/>
    <s v="30"/>
    <s v="///"/>
    <s v=""/>
    <s v=""/>
    <s v="56///"/>
    <s v=""/>
    <s v=""/>
    <s v="301"/>
    <s v=""/>
    <s v="32597"/>
    <s v="60902"/>
    <s v="82501"/>
    <s v="0280"/>
    <s v="0229"/>
    <s v=""/>
    <x v="302"/>
    <s v="43063 32597 60902 10280 20229 39467 40078 82501 333 10301 59014 82626 85072 ="/>
    <m/>
    <s v="ckk"/>
    <s v="07/01/2013 2:33:44 PM"/>
    <n v="2012"/>
    <x v="9"/>
    <x v="28"/>
    <n v="22.9"/>
    <n v="30.1"/>
    <s v=""/>
  </r>
  <r>
    <s v="29/10/2012"/>
    <s v="43063"/>
    <x v="1"/>
    <s v="23"/>
    <s v="19"/>
    <s v="10134"/>
    <s v="70500"/>
    <s v="59004"/>
    <s v="///"/>
    <s v="18"/>
    <s v=""/>
    <s v=""/>
    <s v="56///"/>
    <s v=""/>
    <s v=""/>
    <s v=""/>
    <s v="177"/>
    <s v="31996"/>
    <s v="00000"/>
    <s v="/////"/>
    <s v="0230"/>
    <s v="0191"/>
    <s v=""/>
    <x v="302"/>
    <s v="43063 31996 00000 10230 20191 39509 40134 70500 333 20177 59004 555 00000 10145 ="/>
    <n v="177"/>
    <s v="ckk"/>
    <s v="07/01/2013 2:33:44 PM"/>
    <n v="2012"/>
    <x v="9"/>
    <x v="28"/>
    <n v="19.100000000000001"/>
    <s v=""/>
    <n v="17.7"/>
  </r>
  <r>
    <s v="30/10/2012"/>
    <s v="43063"/>
    <x v="1"/>
    <s v="21"/>
    <s v="15"/>
    <s v="10131"/>
    <s v="70542"/>
    <s v="59007"/>
    <s v="///"/>
    <s v="13"/>
    <s v=""/>
    <s v=""/>
    <s v="56///"/>
    <s v=""/>
    <s v=""/>
    <s v=""/>
    <s v="127"/>
    <s v="31596"/>
    <s v="60000"/>
    <s v="80001"/>
    <s v="0206"/>
    <s v="0151"/>
    <s v=""/>
    <x v="303"/>
    <s v="43063 31596 60000 10206 20151 39502 40131 70542 80001 333 20127 59007 86072 555 00000 10145 ="/>
    <n v="127"/>
    <s v="ckk"/>
    <s v="07/01/2013 2:33:44 PM"/>
    <n v="2012"/>
    <x v="9"/>
    <x v="29"/>
    <n v="15.1"/>
    <s v=""/>
    <n v="12.7"/>
  </r>
  <r>
    <s v="30/10/2012"/>
    <s v="43063"/>
    <x v="0"/>
    <s v="28"/>
    <s v="6"/>
    <s v="10070"/>
    <s v="7////"/>
    <s v="59008"/>
    <s v="31"/>
    <s v="///"/>
    <s v=""/>
    <s v=""/>
    <s v="56///"/>
    <s v=""/>
    <s v=""/>
    <s v="305"/>
    <s v=""/>
    <s v="32997"/>
    <s v="60901"/>
    <s v="80001"/>
    <s v="0276"/>
    <s v="0060"/>
    <s v=""/>
    <x v="303"/>
    <s v="43063 32997 60901 10276 20060 39459 40070 80001 333 10305 59008 86070 ="/>
    <m/>
    <s v="ckk"/>
    <s v="07/01/2013 2:33:44 PM"/>
    <n v="2012"/>
    <x v="9"/>
    <x v="29"/>
    <n v="6"/>
    <n v="30.5"/>
    <s v=""/>
  </r>
  <r>
    <s v="31/10/2012"/>
    <s v="43063"/>
    <x v="1"/>
    <s v="21"/>
    <s v="13"/>
    <s v="10124"/>
    <s v="70522"/>
    <s v="59007"/>
    <s v="///"/>
    <s v="13"/>
    <s v=""/>
    <s v=""/>
    <s v="56///"/>
    <s v=""/>
    <s v=""/>
    <s v=""/>
    <s v="131"/>
    <s v="31996"/>
    <s v="30000"/>
    <s v="80001"/>
    <s v="0206"/>
    <s v="0129"/>
    <s v=""/>
    <x v="304"/>
    <s v="43063 31996 30000 10206 20129 39495 40124 70522 80001 333 20131 59007 83070 555 00000 10145 ="/>
    <n v="131"/>
    <s v="ckk"/>
    <s v="07/01/2013 2:33:44 PM"/>
    <n v="2012"/>
    <x v="9"/>
    <x v="30"/>
    <n v="12.9"/>
    <s v=""/>
    <n v="13.1"/>
  </r>
  <r>
    <s v="31/10/2012"/>
    <s v="43063"/>
    <x v="0"/>
    <s v="27"/>
    <s v="14"/>
    <s v="10070"/>
    <s v="7////"/>
    <s v="59002"/>
    <s v="29"/>
    <s v="///"/>
    <s v=""/>
    <s v=""/>
    <s v="56///"/>
    <s v=""/>
    <s v=""/>
    <s v="289"/>
    <s v=""/>
    <s v="32997"/>
    <s v="70501"/>
    <s v="80001"/>
    <s v="0267"/>
    <s v="0143"/>
    <s v=""/>
    <x v="304"/>
    <s v="43063 32997 70501 10267 20143 39457 40070 80001 333 10289 59002 87070 ="/>
    <m/>
    <s v="Prakash"/>
    <s v="29/01/2013 5:50:49 PM"/>
    <n v="2012"/>
    <x v="9"/>
    <x v="30"/>
    <n v="14.3"/>
    <n v="28.9"/>
    <s v=""/>
  </r>
  <r>
    <s v="01/11/2012"/>
    <s v="43063"/>
    <x v="1"/>
    <s v="19"/>
    <s v="17"/>
    <s v="10113"/>
    <s v="70522"/>
    <s v="59014"/>
    <s v="///"/>
    <s v="15"/>
    <s v=""/>
    <s v=""/>
    <s v="56///"/>
    <s v=""/>
    <s v=""/>
    <s v=""/>
    <s v="151"/>
    <s v="31796"/>
    <s v="60000"/>
    <s v="82031"/>
    <s v="0188"/>
    <s v="0166"/>
    <s v=""/>
    <x v="305"/>
    <s v="43063 31796 60000 10188 20166 40113 70522 82031 333 20151 59014 555 00000 ="/>
    <n v="151"/>
    <s v="Prakash"/>
    <s v="29/01/2013 5:50:49 PM"/>
    <n v="2012"/>
    <x v="10"/>
    <x v="0"/>
    <n v="16.600000000000001"/>
    <s v=""/>
    <n v="15.1"/>
  </r>
  <r>
    <s v="01/11/2012"/>
    <s v="43063"/>
    <x v="0"/>
    <s v="26"/>
    <s v="17"/>
    <s v="10065"/>
    <s v="7////"/>
    <s v="59005"/>
    <s v="28"/>
    <s v="///"/>
    <s v=""/>
    <s v=""/>
    <s v="56///"/>
    <s v=""/>
    <s v=""/>
    <s v="281"/>
    <s v=""/>
    <s v="32597"/>
    <s v="80901"/>
    <s v="82531"/>
    <s v="0262"/>
    <s v="0169"/>
    <s v=""/>
    <x v="305"/>
    <s v="43063 32597 80901 10262 20169 39452 40065 82531 333 10281 59005 82628 85358 ="/>
    <m/>
    <s v="Prakash"/>
    <s v="29/01/2013 5:50:49 PM"/>
    <n v="2012"/>
    <x v="10"/>
    <x v="0"/>
    <n v="16.899999999999999"/>
    <n v="28.1"/>
    <s v=""/>
  </r>
  <r>
    <s v="02/11/2012"/>
    <s v="43063"/>
    <x v="0"/>
    <s v="26"/>
    <s v="21"/>
    <s v="10049"/>
    <s v="72122"/>
    <s v="59015"/>
    <s v="31"/>
    <s v="///"/>
    <s v=""/>
    <s v=""/>
    <s v="56///"/>
    <s v=""/>
    <s v=""/>
    <s v="308"/>
    <s v=""/>
    <s v="21597"/>
    <s v="60000"/>
    <s v="84530"/>
    <s v="0264"/>
    <s v="0211"/>
    <s v=""/>
    <x v="306"/>
    <s v="43063 21597 60000 10264 20211 39437 40049 72122 84530 333 10308 59015 6992/ 84626 83356 ="/>
    <m/>
    <s v="Prakash"/>
    <s v="29/01/2013 5:50:49 PM"/>
    <n v="2012"/>
    <x v="10"/>
    <x v="1"/>
    <n v="21.1"/>
    <n v="30.8"/>
    <s v=""/>
  </r>
  <r>
    <s v="02/11/2012"/>
    <s v="43063"/>
    <x v="1"/>
    <s v="23"/>
    <s v="17"/>
    <s v="10098"/>
    <s v="7////"/>
    <s v="59006"/>
    <s v="///"/>
    <s v="19"/>
    <s v=""/>
    <s v=""/>
    <s v="56///"/>
    <s v=""/>
    <s v=""/>
    <s v=""/>
    <s v="190"/>
    <s v="32597"/>
    <s v="50000"/>
    <s v="82530"/>
    <s v="0227"/>
    <s v="0173"/>
    <s v=""/>
    <x v="306"/>
    <s v="43063 32597 50000 10227 20173 39475 40098 82530 333 20190 59006 82626 83358 555 00000 10145 ="/>
    <n v="190"/>
    <s v="Prakash"/>
    <s v="29/01/2013 5:50:49 PM"/>
    <n v="2012"/>
    <x v="10"/>
    <x v="1"/>
    <n v="17.3"/>
    <s v=""/>
    <n v="19"/>
  </r>
  <r>
    <s v="03/11/2012"/>
    <s v="43063"/>
    <x v="1"/>
    <s v="24"/>
    <s v="20"/>
    <s v="10099"/>
    <s v="70500"/>
    <s v="58003"/>
    <s v="///"/>
    <s v="19"/>
    <s v=""/>
    <s v=""/>
    <s v="56///"/>
    <s v=""/>
    <s v=""/>
    <s v=""/>
    <s v="192"/>
    <s v="21996"/>
    <s v="20000"/>
    <s v="80001"/>
    <s v="0236"/>
    <s v="0203"/>
    <s v=""/>
    <x v="307"/>
    <s v="43063 21996 20000 10236 20203 39478 40099 70500 80001 333 20192 58003 6001/ 82072 555 00012 10146 ="/>
    <n v="192"/>
    <s v="Prakash"/>
    <s v="29/01/2013 5:50:49 PM"/>
    <n v="2012"/>
    <x v="10"/>
    <x v="2"/>
    <n v="20.3"/>
    <s v=""/>
    <n v="19.2"/>
  </r>
  <r>
    <s v="03/11/2012"/>
    <s v="43063"/>
    <x v="0"/>
    <s v="29"/>
    <s v="20"/>
    <s v="10062"/>
    <s v="7////"/>
    <s v="58016"/>
    <s v="32"/>
    <s v="///"/>
    <s v=""/>
    <s v=""/>
    <s v="56///"/>
    <s v=""/>
    <s v=""/>
    <s v="319"/>
    <s v=""/>
    <s v="32597"/>
    <s v="60000"/>
    <s v="86800"/>
    <s v="0290"/>
    <s v="0202"/>
    <s v=""/>
    <x v="307"/>
    <s v="43063 32597 60000 10290 20202 39453 40062 86800 333 10319 58016 83626 83828 ="/>
    <m/>
    <s v="Prakash"/>
    <s v="29/01/2013 5:50:49 PM"/>
    <n v="2012"/>
    <x v="10"/>
    <x v="2"/>
    <n v="20.2"/>
    <n v="31.9"/>
    <s v=""/>
  </r>
  <r>
    <s v="04/11/2012"/>
    <s v="43063"/>
    <x v="0"/>
    <s v="31"/>
    <s v="17"/>
    <s v="10050"/>
    <s v="7////"/>
    <s v="59007"/>
    <s v="33"/>
    <s v="///"/>
    <s v=""/>
    <s v=""/>
    <s v="56///"/>
    <s v=""/>
    <s v=""/>
    <s v="325"/>
    <s v=""/>
    <s v="32597"/>
    <s v="50000"/>
    <s v="84801"/>
    <s v="0306"/>
    <s v="0168"/>
    <s v=""/>
    <x v="308"/>
    <s v="43063 32597 50000 10306 20168 39446 40050 84801 333 10325 59007 83626 ="/>
    <m/>
    <s v="Prakash"/>
    <s v="29/01/2013 5:50:49 PM"/>
    <n v="2012"/>
    <x v="10"/>
    <x v="3"/>
    <n v="16.8"/>
    <n v="32.5"/>
    <s v=""/>
  </r>
  <r>
    <s v="04/11/2012"/>
    <s v="43063"/>
    <x v="1"/>
    <s v="24"/>
    <s v="20"/>
    <s v="10110"/>
    <s v="70500"/>
    <s v="58011"/>
    <s v="///"/>
    <s v="18"/>
    <s v=""/>
    <s v=""/>
    <s v="56///"/>
    <s v=""/>
    <s v=""/>
    <s v=""/>
    <s v="181"/>
    <s v="31996"/>
    <s v="00000"/>
    <s v="/////"/>
    <s v="0236"/>
    <s v="0203"/>
    <s v=""/>
    <x v="308"/>
    <s v="43063 31996 00000 10236 20203 39489 40110 70500 333 20181 58011 555 00000 10146 ="/>
    <n v="181"/>
    <s v="Prakash"/>
    <s v="29/01/2013 5:50:49 PM"/>
    <n v="2012"/>
    <x v="10"/>
    <x v="3"/>
    <n v="20.3"/>
    <s v=""/>
    <n v="18.100000000000001"/>
  </r>
  <r>
    <s v="05/11/2012"/>
    <s v="43063"/>
    <x v="0"/>
    <s v="30"/>
    <s v="19"/>
    <s v="10061"/>
    <s v="7////"/>
    <s v="58008"/>
    <s v="32"/>
    <s v="///"/>
    <s v=""/>
    <s v=""/>
    <s v="56///"/>
    <s v=""/>
    <s v=""/>
    <s v="318"/>
    <s v=""/>
    <s v="32597"/>
    <s v="52703"/>
    <s v="85800"/>
    <s v="0298"/>
    <s v="0187"/>
    <s v=""/>
    <x v="309"/>
    <s v="43063 32597 52703 10298 20187 39454 40061 85800 333 10318 58008 82628 83830 ="/>
    <m/>
    <s v="Prakash"/>
    <s v="29/01/2013 5:50:49 PM"/>
    <n v="2012"/>
    <x v="10"/>
    <x v="4"/>
    <n v="18.7"/>
    <n v="31.8"/>
    <s v=""/>
  </r>
  <r>
    <s v="05/11/2012"/>
    <s v="43063"/>
    <x v="1"/>
    <s v="23"/>
    <s v="19"/>
    <s v="10117"/>
    <s v="70544"/>
    <s v="58003"/>
    <s v="///"/>
    <s v="17"/>
    <s v=""/>
    <s v=""/>
    <s v="56///"/>
    <s v=""/>
    <s v=""/>
    <s v=""/>
    <s v="169"/>
    <s v="31996"/>
    <s v="20000"/>
    <s v="80001"/>
    <s v="0226"/>
    <s v="0189"/>
    <s v=""/>
    <x v="309"/>
    <s v="43063 31996 20000 10226 20189 39492 40117 70544 80001 333 20169 58003 82070 555 10146 ="/>
    <n v="169"/>
    <s v="Prakash"/>
    <s v="29/01/2013 5:50:49 PM"/>
    <n v="2012"/>
    <x v="10"/>
    <x v="4"/>
    <n v="18.899999999999999"/>
    <s v=""/>
    <n v="16.899999999999999"/>
  </r>
  <r>
    <s v="06/11/2012"/>
    <s v="43063"/>
    <x v="0"/>
    <s v="29"/>
    <s v="17"/>
    <s v="10067"/>
    <s v="7////"/>
    <s v="58006"/>
    <s v="32"/>
    <s v="///"/>
    <s v=""/>
    <s v=""/>
    <s v="56///"/>
    <s v=""/>
    <s v=""/>
    <s v="319"/>
    <s v=""/>
    <s v="32597"/>
    <s v="30000"/>
    <s v="83500"/>
    <s v="0294"/>
    <s v="0172"/>
    <s v=""/>
    <x v="310"/>
    <s v="43063 32597 30000 10294 20172 39460 40067 83500 333 10319 58006 83626 ="/>
    <m/>
    <s v="Prakash"/>
    <s v="29/01/2013 5:50:49 PM"/>
    <n v="2012"/>
    <x v="10"/>
    <x v="5"/>
    <n v="17.2"/>
    <n v="31.9"/>
    <s v=""/>
  </r>
  <r>
    <s v="06/11/2012"/>
    <s v="43063"/>
    <x v="1"/>
    <s v="23"/>
    <s v="19"/>
    <s v="10120"/>
    <s v="70540"/>
    <s v="58003"/>
    <s v="///"/>
    <s v="16"/>
    <s v=""/>
    <s v=""/>
    <s v="56///"/>
    <s v=""/>
    <s v=""/>
    <s v=""/>
    <s v="156"/>
    <s v="31996"/>
    <s v="00000"/>
    <s v="/////"/>
    <s v="0228"/>
    <s v="0192"/>
    <s v=""/>
    <x v="310"/>
    <s v="43063 31996 00000 10228 20192 39495 40120 70540 333 20156 58003 555 00000 10146 ="/>
    <n v="156"/>
    <s v="Prakash"/>
    <s v="29/01/2013 5:50:49 PM"/>
    <n v="2012"/>
    <x v="10"/>
    <x v="5"/>
    <n v="19.2"/>
    <s v=""/>
    <n v="15.6"/>
  </r>
  <r>
    <s v="07/11/2012"/>
    <s v="43063"/>
    <x v="0"/>
    <s v="30"/>
    <s v="15"/>
    <s v="10074"/>
    <s v="7////"/>
    <s v="58007"/>
    <s v="32"/>
    <s v="///"/>
    <s v=""/>
    <s v=""/>
    <s v="56///"/>
    <s v=""/>
    <s v=""/>
    <s v="324"/>
    <s v=""/>
    <s v="32597"/>
    <s v="12702"/>
    <s v="81500"/>
    <s v="0298"/>
    <s v="0150"/>
    <s v=""/>
    <x v="311"/>
    <s v="43063 32597 12702 10298 20150 39467 40074 81500 333 10324 58007 81626 ="/>
    <m/>
    <s v="Prakash"/>
    <s v="29/01/2013 5:50:49 PM"/>
    <n v="2012"/>
    <x v="10"/>
    <x v="6"/>
    <n v="15"/>
    <n v="32.4"/>
    <s v=""/>
  </r>
  <r>
    <s v="07/11/2012"/>
    <s v="43063"/>
    <x v="1"/>
    <s v="23"/>
    <s v="17"/>
    <s v="10133"/>
    <s v="70522"/>
    <s v="58013"/>
    <s v="///"/>
    <s v="18"/>
    <s v=""/>
    <s v=""/>
    <s v="56///"/>
    <s v=""/>
    <s v=""/>
    <s v=""/>
    <s v="182"/>
    <s v="31596"/>
    <s v="40000"/>
    <s v="84500"/>
    <s v="0230"/>
    <s v="0174"/>
    <s v=""/>
    <x v="311"/>
    <s v="43063 31596 40000 10230 20174 39508 40133 70522 84500 333 20182 58013 84626 555 00000 10146 ="/>
    <n v="182"/>
    <s v="Prakash"/>
    <s v="29/01/2013 5:50:49 PM"/>
    <n v="2012"/>
    <x v="10"/>
    <x v="6"/>
    <n v="17.399999999999999"/>
    <s v=""/>
    <n v="18.2"/>
  </r>
  <r>
    <s v="08/11/2012"/>
    <s v="43063"/>
    <x v="1"/>
    <s v="22"/>
    <s v="17"/>
    <s v="10118"/>
    <s v="70500"/>
    <s v="59015"/>
    <s v="///"/>
    <s v="16"/>
    <s v=""/>
    <s v=""/>
    <s v="56///"/>
    <s v=""/>
    <s v=""/>
    <s v=""/>
    <s v="159"/>
    <s v="31996"/>
    <s v="00000"/>
    <s v="/////"/>
    <s v="0222"/>
    <s v="0165"/>
    <s v=""/>
    <x v="312"/>
    <s v="43063 31996 00000 10222 20165 39493 40118 70500 333 20159 59015 555 00000 10146 ="/>
    <n v="159"/>
    <s v="Prakash"/>
    <s v="29/01/2013 5:50:49 PM"/>
    <n v="2012"/>
    <x v="10"/>
    <x v="7"/>
    <n v="16.5"/>
    <s v=""/>
    <n v="15.9"/>
  </r>
  <r>
    <s v="08/11/2012"/>
    <s v="43063"/>
    <x v="0"/>
    <s v="29"/>
    <s v="13"/>
    <s v="10070"/>
    <s v="7////"/>
    <s v="59006"/>
    <s v="33"/>
    <s v="///"/>
    <s v=""/>
    <s v=""/>
    <s v="56///"/>
    <s v=""/>
    <s v=""/>
    <s v="327"/>
    <s v=""/>
    <s v="32997"/>
    <s v="52703"/>
    <s v="80001"/>
    <s v="0290"/>
    <s v="0135"/>
    <s v=""/>
    <x v="312"/>
    <s v="43063 32997 52703 10290 20135 39461 40070 80001 333 10327 59006 85070 ="/>
    <m/>
    <s v="Prakash"/>
    <s v="29/01/2013 5:50:49 PM"/>
    <n v="2012"/>
    <x v="10"/>
    <x v="7"/>
    <n v="13.5"/>
    <n v="32.700000000000003"/>
    <s v=""/>
  </r>
  <r>
    <s v="09/11/2012"/>
    <s v="43063"/>
    <x v="1"/>
    <s v="21"/>
    <s v="15"/>
    <s v="10132"/>
    <s v="70500"/>
    <s v="58010"/>
    <s v="///"/>
    <s v="14"/>
    <s v=""/>
    <s v=""/>
    <s v="56///"/>
    <s v=""/>
    <s v=""/>
    <s v=""/>
    <s v="141"/>
    <s v="31996"/>
    <s v="00000"/>
    <s v="/////"/>
    <s v="0210"/>
    <s v="0152"/>
    <s v=""/>
    <x v="313"/>
    <s v="43063 31996 00000 10210 20152 39503 40132 70500 333 20141 58010 555 10146 ="/>
    <n v="141"/>
    <s v="Prakash"/>
    <s v="29/01/2013 5:50:49 PM"/>
    <n v="2012"/>
    <x v="10"/>
    <x v="8"/>
    <n v="15.2"/>
    <s v=""/>
    <n v="14.1"/>
  </r>
  <r>
    <s v="09/11/2012"/>
    <s v="43063"/>
    <x v="0"/>
    <s v="30"/>
    <s v="9"/>
    <s v="10077"/>
    <s v="7////"/>
    <s v="58010"/>
    <s v="33"/>
    <s v="///"/>
    <s v=""/>
    <s v=""/>
    <s v="56///"/>
    <s v=""/>
    <s v=""/>
    <s v="325"/>
    <s v=""/>
    <s v="32997"/>
    <s v="02702"/>
    <s v="/////"/>
    <s v="0301"/>
    <s v="0094"/>
    <s v=""/>
    <x v="313"/>
    <s v="43063 32997 02702 10301 20094 39471 40077 333 10325 58010 ="/>
    <m/>
    <s v="Prakash"/>
    <s v="29/01/2013 5:50:49 PM"/>
    <n v="2012"/>
    <x v="10"/>
    <x v="8"/>
    <n v="9.4"/>
    <n v="32.5"/>
    <s v=""/>
  </r>
  <r>
    <s v="10/11/2012"/>
    <s v="43063"/>
    <x v="0"/>
    <s v="30"/>
    <s v="15"/>
    <s v="10088"/>
    <s v="7////"/>
    <s v="58008"/>
    <s v="33"/>
    <s v="///"/>
    <s v=""/>
    <s v=""/>
    <s v="56///"/>
    <s v=""/>
    <s v=""/>
    <s v="326"/>
    <s v=""/>
    <s v="32597"/>
    <s v="22702"/>
    <s v="82500"/>
    <s v="0300"/>
    <s v="0145"/>
    <s v=""/>
    <x v="314"/>
    <s v="43063 32597 22702 10300 20145 39479 40088 82500 333 10326 58008 82626 ="/>
    <m/>
    <s v="Prakash"/>
    <s v="29/01/2013 5:50:49 PM"/>
    <n v="2012"/>
    <x v="10"/>
    <x v="9"/>
    <n v="14.5"/>
    <n v="32.6"/>
    <s v=""/>
  </r>
  <r>
    <s v="10/11/2012"/>
    <s v="43063"/>
    <x v="1"/>
    <s v="21"/>
    <s v="16"/>
    <s v="10148"/>
    <s v="7////"/>
    <s v="58015"/>
    <s v="///"/>
    <s v="15"/>
    <s v=""/>
    <s v=""/>
    <s v="56///"/>
    <s v=""/>
    <s v=""/>
    <s v=""/>
    <s v="150"/>
    <s v="32997"/>
    <s v="00000"/>
    <s v="/////"/>
    <s v="0206"/>
    <s v="0158"/>
    <s v=""/>
    <x v="314"/>
    <s v="43063 32997 00000 10206 20158 39518 40148 333 20150 58015 555 10146 ="/>
    <n v="150"/>
    <s v="Prakash"/>
    <s v="29/01/2013 5:50:49 PM"/>
    <n v="2012"/>
    <x v="10"/>
    <x v="9"/>
    <n v="15.8"/>
    <s v=""/>
    <n v="15"/>
  </r>
  <r>
    <s v="11/11/2012"/>
    <s v="43063"/>
    <x v="0"/>
    <s v="30"/>
    <s v="13"/>
    <s v="10079"/>
    <s v="7////"/>
    <s v="59006"/>
    <s v="32"/>
    <s v="///"/>
    <s v=""/>
    <s v=""/>
    <s v="56///"/>
    <s v=""/>
    <s v=""/>
    <s v="316"/>
    <s v=""/>
    <s v="32596"/>
    <s v="22702"/>
    <s v="82500"/>
    <s v="0296"/>
    <s v="0135"/>
    <s v=""/>
    <x v="315"/>
    <s v="43063 32596 22702 10296 20135 39473 40079 82500 333 10316 59006 82626 ="/>
    <m/>
    <s v="Prakash"/>
    <s v="29/01/2013 5:50:49 PM"/>
    <n v="2012"/>
    <x v="10"/>
    <x v="10"/>
    <n v="13.5"/>
    <n v="31.6"/>
    <s v=""/>
  </r>
  <r>
    <s v="11/11/2012"/>
    <s v="43063"/>
    <x v="1"/>
    <s v="22"/>
    <s v="19"/>
    <s v="10144"/>
    <s v="70510"/>
    <s v="58000"/>
    <s v="///"/>
    <s v="17"/>
    <s v=""/>
    <s v=""/>
    <s v="56///"/>
    <s v=""/>
    <s v=""/>
    <s v=""/>
    <s v="172"/>
    <s v="31996"/>
    <s v="00000"/>
    <s v="/////"/>
    <s v="0222"/>
    <s v="0185"/>
    <s v=""/>
    <x v="315"/>
    <s v="43063 31996 00000 10222 20185 39518 40144 70510 333 20172 58000 555 00000 10146 ="/>
    <n v="172"/>
    <s v="Prakash"/>
    <s v="29/01/2013 5:50:49 PM"/>
    <n v="2012"/>
    <x v="10"/>
    <x v="10"/>
    <n v="18.5"/>
    <s v=""/>
    <n v="17.2"/>
  </r>
  <r>
    <s v="12/11/2012"/>
    <s v="43063"/>
    <x v="0"/>
    <s v="28"/>
    <s v="17"/>
    <s v="10087"/>
    <s v="7////"/>
    <s v="58003"/>
    <s v="31"/>
    <s v="///"/>
    <s v=""/>
    <s v=""/>
    <s v="56///"/>
    <s v=""/>
    <s v=""/>
    <s v="309"/>
    <s v=""/>
    <s v="32597"/>
    <s v="40000"/>
    <s v="84800"/>
    <s v="0284"/>
    <s v="0174"/>
    <s v=""/>
    <x v="316"/>
    <s v="43063 32597 40000 10284 20174 39476 40087 84800 333 10309 58003 83626 ="/>
    <m/>
    <s v="Prakash"/>
    <s v="29/01/2013 5:50:49 PM"/>
    <n v="2012"/>
    <x v="10"/>
    <x v="11"/>
    <n v="17.399999999999999"/>
    <n v="30.9"/>
    <s v=""/>
  </r>
  <r>
    <s v="12/11/2012"/>
    <s v="43063"/>
    <x v="1"/>
    <s v="21"/>
    <s v="15"/>
    <s v="10142"/>
    <s v="70500"/>
    <s v="59006"/>
    <s v="///"/>
    <s v="17"/>
    <s v=""/>
    <s v=""/>
    <s v="56///"/>
    <s v=""/>
    <s v=""/>
    <s v=""/>
    <s v="167"/>
    <s v="31996"/>
    <s v="00000"/>
    <s v="/////"/>
    <s v="0208"/>
    <s v="0153"/>
    <s v=""/>
    <x v="316"/>
    <s v="43063 31996 00000 10208 20153 39512 40142 70500 333 20167 59006 555 00000 10146 ="/>
    <n v="167"/>
    <s v="Prakash"/>
    <s v="29/01/2013 5:50:49 PM"/>
    <n v="2012"/>
    <x v="10"/>
    <x v="11"/>
    <n v="15.3"/>
    <s v=""/>
    <n v="16.7"/>
  </r>
  <r>
    <s v="13/11/2012"/>
    <s v="43063"/>
    <x v="0"/>
    <s v="28"/>
    <s v="12"/>
    <s v="10100"/>
    <s v="7////"/>
    <s v="58013"/>
    <s v="31"/>
    <s v="///"/>
    <s v=""/>
    <s v=""/>
    <s v="56///"/>
    <s v=""/>
    <s v=""/>
    <s v="309"/>
    <s v=""/>
    <s v="32597"/>
    <s v="40902"/>
    <s v="82501"/>
    <s v="0282"/>
    <s v="0122"/>
    <s v=""/>
    <x v="317"/>
    <s v="43063 32597 40902 10282 20122 39489 40100 82501 333 10309 58013 82626 ="/>
    <m/>
    <s v="Prakash"/>
    <s v="29/01/2013 5:50:49 PM"/>
    <n v="2012"/>
    <x v="10"/>
    <x v="12"/>
    <n v="12.2"/>
    <n v="30.9"/>
    <s v=""/>
  </r>
  <r>
    <s v="13/11/2012"/>
    <s v="43063"/>
    <x v="1"/>
    <s v="22"/>
    <s v="14"/>
    <s v="10156"/>
    <s v="7////"/>
    <s v="58016"/>
    <s v="///"/>
    <s v="18"/>
    <s v=""/>
    <s v=""/>
    <s v="56///"/>
    <s v=""/>
    <s v=""/>
    <s v=""/>
    <s v="178"/>
    <s v="22597"/>
    <s v="20000"/>
    <s v="81501"/>
    <s v="0220"/>
    <s v="0141"/>
    <s v=""/>
    <x v="317"/>
    <s v="43063 22597 20000 10220 20141 39528 40156 81501 333 20178 58016 6990/ 81626 555 00000 10146 ="/>
    <n v="178"/>
    <s v="Prakash"/>
    <s v="29/01/2013 5:50:49 PM"/>
    <n v="2012"/>
    <x v="10"/>
    <x v="12"/>
    <n v="14.1"/>
    <s v=""/>
    <n v="17.8"/>
  </r>
  <r>
    <s v="14/11/2012"/>
    <s v="43063"/>
    <x v="1"/>
    <s v="20"/>
    <s v="15"/>
    <s v="10153"/>
    <s v="70540"/>
    <s v="59008"/>
    <s v="///"/>
    <s v="15"/>
    <s v=""/>
    <s v=""/>
    <s v="56///"/>
    <s v=""/>
    <s v=""/>
    <s v=""/>
    <s v="150"/>
    <s v="31996"/>
    <s v="00000"/>
    <s v="/////"/>
    <s v="0200"/>
    <s v="0148"/>
    <s v=""/>
    <x v="318"/>
    <s v="43063 31996 00000 10200 20148 39520 40153 70540 333 20150 59008 555 10146 ="/>
    <n v="150"/>
    <s v="Prakash"/>
    <s v="29/01/2013 5:50:49 PM"/>
    <n v="2012"/>
    <x v="10"/>
    <x v="13"/>
    <n v="14.8"/>
    <s v=""/>
    <n v="15"/>
  </r>
  <r>
    <s v="14/11/2012"/>
    <s v="43063"/>
    <x v="0"/>
    <s v="27"/>
    <s v="12"/>
    <s v="10090"/>
    <s v="7////"/>
    <s v="59012"/>
    <s v="31"/>
    <s v="///"/>
    <s v=""/>
    <s v=""/>
    <s v="56///"/>
    <s v=""/>
    <s v=""/>
    <s v="306"/>
    <s v=""/>
    <s v="32597"/>
    <s v="20902"/>
    <s v="82500"/>
    <s v="0274"/>
    <s v="0122"/>
    <s v=""/>
    <x v="318"/>
    <s v="43063 32597 20902 10274 20122 39477 40090 82500 333 10306 59012 82626 ="/>
    <m/>
    <s v="Prakash"/>
    <s v="29/01/2013 5:50:49 PM"/>
    <n v="2012"/>
    <x v="10"/>
    <x v="13"/>
    <n v="12.2"/>
    <n v="30.6"/>
    <s v=""/>
  </r>
  <r>
    <s v="15/11/2012"/>
    <s v="43063"/>
    <x v="0"/>
    <s v="27"/>
    <s v="13"/>
    <s v="10096"/>
    <s v="7////"/>
    <s v="58004"/>
    <s v="30"/>
    <s v="///"/>
    <s v=""/>
    <s v=""/>
    <s v="56///"/>
    <s v=""/>
    <s v=""/>
    <s v="300"/>
    <s v=""/>
    <s v="32597"/>
    <s v="30000"/>
    <s v="81531"/>
    <s v="0270"/>
    <s v="0129"/>
    <s v=""/>
    <x v="319"/>
    <s v="43063 32597 30000 10270 20129 39481 40096 81531 333 10300 58004 81626 ="/>
    <m/>
    <s v="Prakash"/>
    <s v="29/01/2013 5:50:49 PM"/>
    <n v="2012"/>
    <x v="10"/>
    <x v="14"/>
    <n v="12.9"/>
    <n v="30"/>
    <s v=""/>
  </r>
  <r>
    <s v="15/11/2012"/>
    <s v="43063"/>
    <x v="1"/>
    <s v="19"/>
    <s v="16"/>
    <s v="10147"/>
    <s v="70541"/>
    <s v="59006"/>
    <s v="///"/>
    <s v="14"/>
    <s v=""/>
    <s v=""/>
    <s v="56///"/>
    <s v=""/>
    <s v=""/>
    <s v=""/>
    <s v="137"/>
    <s v="31996"/>
    <s v="00000"/>
    <s v="/////"/>
    <s v="0195"/>
    <s v="0156"/>
    <s v=""/>
    <x v="319"/>
    <s v="43063 31996 00000 10195 20156 39514 40147 70541 333 20137 59006 555 00000 10146 ="/>
    <n v="137"/>
    <s v="Prakash"/>
    <s v="29/01/2013 5:50:49 PM"/>
    <n v="2012"/>
    <x v="10"/>
    <x v="14"/>
    <n v="15.6"/>
    <s v=""/>
    <n v="13.7"/>
  </r>
  <r>
    <s v="16/11/2012"/>
    <s v="43063"/>
    <x v="0"/>
    <s v="27"/>
    <s v="11"/>
    <s v="10105"/>
    <s v="7////"/>
    <s v="58009"/>
    <s v="29"/>
    <s v="///"/>
    <s v=""/>
    <s v=""/>
    <s v="56///"/>
    <s v=""/>
    <s v=""/>
    <s v="292"/>
    <s v=""/>
    <s v="32997"/>
    <s v="30000"/>
    <s v="80001"/>
    <s v="0266"/>
    <s v="0106"/>
    <s v=""/>
    <x v="320"/>
    <s v="43063 32997 30000 10266 20106 39490 40105 80001 333 10292 58009 83070 ="/>
    <m/>
    <s v="Prakash"/>
    <s v="29/01/2013 5:50:49 PM"/>
    <n v="2012"/>
    <x v="10"/>
    <x v="15"/>
    <n v="10.6"/>
    <n v="29.2"/>
    <s v=""/>
  </r>
  <r>
    <s v="16/11/2012"/>
    <s v="43063"/>
    <x v="1"/>
    <s v="19"/>
    <s v="13"/>
    <s v="10168"/>
    <s v="70500"/>
    <s v="58018"/>
    <s v="///"/>
    <s v="12"/>
    <s v=""/>
    <s v=""/>
    <s v="56///"/>
    <s v=""/>
    <s v=""/>
    <s v=""/>
    <s v="119"/>
    <s v="31996"/>
    <s v="00000"/>
    <s v="/////"/>
    <s v="0190"/>
    <s v="0129"/>
    <s v=""/>
    <x v="320"/>
    <s v="43063 31996 00000 10190 20129 39532 40168 70500 333 20119 58018 555 00000 10146 ="/>
    <n v="119"/>
    <s v="Prakash"/>
    <s v="29/01/2013 5:50:49 PM"/>
    <n v="2012"/>
    <x v="10"/>
    <x v="15"/>
    <n v="12.9"/>
    <s v=""/>
    <n v="11.9"/>
  </r>
  <r>
    <s v="17/11/2012"/>
    <s v="43063"/>
    <x v="0"/>
    <s v="27"/>
    <s v="9"/>
    <s v="10101"/>
    <s v="7////"/>
    <s v="59004"/>
    <s v="28"/>
    <s v="///"/>
    <s v=""/>
    <s v=""/>
    <s v="56///"/>
    <s v=""/>
    <s v=""/>
    <s v="283"/>
    <s v=""/>
    <s v="32997"/>
    <s v="00000"/>
    <s v="/////"/>
    <s v="0265"/>
    <s v="0090"/>
    <s v=""/>
    <x v="321"/>
    <s v="43063 32997 00000 10265 20090 39486 40101 333 10283 59004 ="/>
    <m/>
    <s v="Prakash"/>
    <s v="29/01/2013 5:50:49 PM"/>
    <n v="2012"/>
    <x v="10"/>
    <x v="16"/>
    <n v="9"/>
    <n v="28.3"/>
    <s v=""/>
  </r>
  <r>
    <s v="17/11/2012"/>
    <s v="43063"/>
    <x v="1"/>
    <s v="17"/>
    <s v="11"/>
    <s v="10175"/>
    <s v="7////"/>
    <s v="58005"/>
    <s v="///"/>
    <s v="09"/>
    <s v=""/>
    <s v=""/>
    <s v="56///"/>
    <s v=""/>
    <s v=""/>
    <s v=""/>
    <s v="095"/>
    <s v="32996"/>
    <s v="00000"/>
    <s v="/////"/>
    <s v="0174"/>
    <s v="0114"/>
    <s v=""/>
    <x v="321"/>
    <s v="43063 32996 00000 10174 20114 39537 40175 333 20095 58005 555 00000 10146 ="/>
    <n v="95"/>
    <s v="Prakash"/>
    <s v="29/01/2013 5:50:49 PM"/>
    <n v="2012"/>
    <x v="10"/>
    <x v="16"/>
    <n v="11.4"/>
    <s v=""/>
    <n v="9.5"/>
  </r>
  <r>
    <s v="18/11/2012"/>
    <s v="43063"/>
    <x v="1"/>
    <s v="16"/>
    <s v="13"/>
    <s v="10157"/>
    <s v="70540"/>
    <s v="59019"/>
    <s v="///"/>
    <s v="9"/>
    <s v=""/>
    <s v=""/>
    <s v="56///"/>
    <s v=""/>
    <s v=""/>
    <s v=""/>
    <s v="090"/>
    <s v="31996"/>
    <s v="00000"/>
    <s v="/////"/>
    <s v="0164"/>
    <s v="0131"/>
    <s v=""/>
    <x v="322"/>
    <s v="43063 31996 00000 10164 20131 39518 40157 70540 333 20090 59019 555 00000 10146 ="/>
    <n v="90"/>
    <s v="Prakash"/>
    <s v="29/01/2013 5:50:49 PM"/>
    <n v="2012"/>
    <x v="10"/>
    <x v="17"/>
    <n v="13.1"/>
    <s v=""/>
    <n v="9"/>
  </r>
  <r>
    <s v="18/11/2012"/>
    <s v="43063"/>
    <x v="0"/>
    <s v="27"/>
    <s v="09"/>
    <s v="10088"/>
    <s v="7////"/>
    <s v="59013"/>
    <s v="29"/>
    <s v="///"/>
    <s v=""/>
    <s v=""/>
    <s v="56///"/>
    <s v=""/>
    <s v=""/>
    <s v="293"/>
    <s v=""/>
    <s v="32997"/>
    <s v="00000"/>
    <s v="/////"/>
    <s v="0268"/>
    <s v="0095"/>
    <s v=""/>
    <x v="322"/>
    <s v="43063 32997 00000 10268 20095 39473 40088 333 10293 59013 ="/>
    <m/>
    <s v="Prakash"/>
    <s v="29/01/2013 5:50:49 PM"/>
    <n v="2012"/>
    <x v="10"/>
    <x v="17"/>
    <n v="9.5"/>
    <n v="29.3"/>
    <s v=""/>
  </r>
  <r>
    <s v="19/11/2012"/>
    <s v="43063"/>
    <x v="1"/>
    <s v="16"/>
    <s v="11"/>
    <s v="10147"/>
    <s v="70500"/>
    <s v="59011"/>
    <s v="///"/>
    <s v="8"/>
    <s v=""/>
    <s v=""/>
    <s v="56///"/>
    <s v=""/>
    <s v=""/>
    <s v=""/>
    <s v="079"/>
    <s v="31996"/>
    <s v="00000"/>
    <s v="/////"/>
    <s v="0160"/>
    <s v="0106"/>
    <s v=""/>
    <x v="323"/>
    <s v="43063 31996 00000 10160 20106 39507 40147 70500 333 20079 59011 555 00000 10146 ="/>
    <n v="79"/>
    <s v="Prakash"/>
    <s v="29/01/2013 5:50:49 PM"/>
    <n v="2012"/>
    <x v="10"/>
    <x v="18"/>
    <n v="10.6"/>
    <s v=""/>
    <n v="7.9"/>
  </r>
  <r>
    <s v="19/11/2012"/>
    <s v="43063"/>
    <x v="0"/>
    <s v="27"/>
    <s v="11"/>
    <s v="10092"/>
    <s v="7////"/>
    <s v="58004"/>
    <s v="29"/>
    <s v="///"/>
    <s v=""/>
    <s v=""/>
    <s v="56///"/>
    <s v=""/>
    <s v=""/>
    <s v="294"/>
    <s v=""/>
    <s v="32997"/>
    <s v="00000"/>
    <s v="/////"/>
    <s v="0267"/>
    <s v="0109"/>
    <s v=""/>
    <x v="323"/>
    <s v="43063 32997 00000 10267 20109 39477 40092 333 10294 58004 ="/>
    <m/>
    <s v="Prakash"/>
    <s v="29/01/2013 5:50:49 PM"/>
    <n v="2012"/>
    <x v="10"/>
    <x v="18"/>
    <n v="10.9"/>
    <n v="29.4"/>
    <s v=""/>
  </r>
  <r>
    <s v="20/11/2012"/>
    <s v="43063"/>
    <x v="0"/>
    <s v="27"/>
    <s v="13"/>
    <s v="10090"/>
    <s v="7////"/>
    <s v="58000"/>
    <s v="29"/>
    <s v="///"/>
    <s v=""/>
    <s v=""/>
    <s v="56///"/>
    <s v=""/>
    <s v=""/>
    <s v="292"/>
    <s v=""/>
    <s v="32997"/>
    <s v="00000"/>
    <s v="/////"/>
    <s v="0274"/>
    <s v="0130"/>
    <s v=""/>
    <x v="324"/>
    <s v="43063 32997 00000 10274 20130 39477 40090 333 10292 58000 ="/>
    <m/>
    <s v="Prakash"/>
    <s v="29/01/2013 5:50:49 PM"/>
    <n v="2012"/>
    <x v="10"/>
    <x v="19"/>
    <n v="13"/>
    <n v="29.2"/>
    <s v=""/>
  </r>
  <r>
    <s v="20/11/2012"/>
    <s v="43063"/>
    <x v="1"/>
    <s v="16"/>
    <s v="10"/>
    <s v="10161"/>
    <s v="70500"/>
    <s v="58013"/>
    <s v="///"/>
    <s v="9"/>
    <s v=""/>
    <s v=""/>
    <s v="56///"/>
    <s v=""/>
    <s v=""/>
    <s v=""/>
    <s v="086"/>
    <s v="31996"/>
    <s v="00000"/>
    <s v="/////"/>
    <s v="0158"/>
    <s v="0104"/>
    <s v=""/>
    <x v="324"/>
    <s v="43063 31996 00000 10158 20104 39520 40161 70500 333 20086 58013 555 10146 ="/>
    <n v="86"/>
    <s v="Prakash"/>
    <s v="29/01/2013 5:50:49 PM"/>
    <n v="2012"/>
    <x v="10"/>
    <x v="19"/>
    <n v="10.4"/>
    <s v=""/>
    <n v="8.6"/>
  </r>
  <r>
    <s v="21/11/2012"/>
    <s v="43063"/>
    <x v="0"/>
    <s v="28"/>
    <s v="17"/>
    <s v="10094"/>
    <s v="7////"/>
    <s v="58004"/>
    <s v="31"/>
    <s v="///"/>
    <s v=""/>
    <s v=""/>
    <s v="56///"/>
    <s v=""/>
    <s v=""/>
    <s v="305"/>
    <s v=""/>
    <s v="32597"/>
    <s v="30000"/>
    <s v="81501"/>
    <s v="0280"/>
    <s v="0165"/>
    <s v=""/>
    <x v="325"/>
    <s v="43063 32597 30000 10280 20165 39481 40094 81501 333 10305 58004 81626 83070 ="/>
    <m/>
    <s v="Prakash"/>
    <s v="29/01/2013 5:50:49 PM"/>
    <n v="2012"/>
    <x v="10"/>
    <x v="20"/>
    <n v="16.5"/>
    <n v="30.5"/>
    <s v=""/>
  </r>
  <r>
    <s v="21/11/2012"/>
    <s v="43063"/>
    <x v="1"/>
    <s v="16"/>
    <s v="14"/>
    <s v="10163"/>
    <s v="70500"/>
    <s v="58002"/>
    <s v="///"/>
    <s v="11"/>
    <s v=""/>
    <s v=""/>
    <s v="56///"/>
    <s v=""/>
    <s v=""/>
    <s v=""/>
    <s v="108"/>
    <s v="31596"/>
    <s v="10000"/>
    <s v="81500"/>
    <s v="0160"/>
    <s v="0136"/>
    <s v=""/>
    <x v="325"/>
    <s v="43063 31596 10000 10160 20136 39522 40163 70500 81500 333 20108 58002 81626 555 10146 ="/>
    <n v="108"/>
    <s v="Prakash"/>
    <s v="29/01/2013 5:50:49 PM"/>
    <n v="2012"/>
    <x v="10"/>
    <x v="20"/>
    <n v="13.6"/>
    <s v=""/>
    <n v="10.8"/>
  </r>
  <r>
    <s v="22/11/2012"/>
    <s v="43063"/>
    <x v="0"/>
    <s v="29"/>
    <s v="16"/>
    <s v="10084"/>
    <s v="7////"/>
    <s v="59008"/>
    <s v="31"/>
    <s v="///"/>
    <s v=""/>
    <s v=""/>
    <s v="56///"/>
    <s v=""/>
    <s v=""/>
    <s v="314"/>
    <s v=""/>
    <s v="32997"/>
    <s v="00000"/>
    <s v="/////"/>
    <s v="0290"/>
    <s v="0163"/>
    <s v=""/>
    <x v="326"/>
    <s v="43063 32997 00000 10290 20163 39473 40084 333 10314 59008 ="/>
    <m/>
    <s v="Prakash"/>
    <s v="29/01/2013 5:50:49 PM"/>
    <n v="2012"/>
    <x v="10"/>
    <x v="21"/>
    <n v="16.3"/>
    <n v="31.4"/>
    <s v=""/>
  </r>
  <r>
    <s v="22/11/2012"/>
    <s v="43063"/>
    <x v="1"/>
    <s v="19"/>
    <s v="16"/>
    <s v="10147"/>
    <s v="70500"/>
    <s v="59008"/>
    <s v="///"/>
    <s v="13"/>
    <s v=""/>
    <s v=""/>
    <s v="56///"/>
    <s v=""/>
    <s v=""/>
    <s v=""/>
    <s v="134"/>
    <s v="31996"/>
    <s v="00000"/>
    <s v="/////"/>
    <s v="0190"/>
    <s v="0161"/>
    <s v=""/>
    <x v="326"/>
    <s v="43063 31996 00000 10190 20161 39514 40147 70500 333 20134 59008 555 00000 10146 ="/>
    <n v="134"/>
    <s v="Prakash"/>
    <s v="29/01/2013 5:50:49 PM"/>
    <n v="2012"/>
    <x v="10"/>
    <x v="21"/>
    <n v="16.100000000000001"/>
    <s v=""/>
    <n v="13.4"/>
  </r>
  <r>
    <s v="23/11/2012"/>
    <s v="43063"/>
    <x v="1"/>
    <s v="20"/>
    <s v="17"/>
    <s v="10148"/>
    <s v="70500"/>
    <s v="58001"/>
    <s v="///"/>
    <s v="15"/>
    <s v=""/>
    <s v=""/>
    <s v="56///"/>
    <s v=""/>
    <s v=""/>
    <s v=""/>
    <s v="148"/>
    <s v="31996"/>
    <s v="00000"/>
    <s v="/////"/>
    <s v="0196"/>
    <s v="0171"/>
    <s v=""/>
    <x v="327"/>
    <s v="43063 31996 00000 10196 20171 39515 40148 70500 333 20148 58001 555 00000 10146 ="/>
    <n v="148"/>
    <s v="Prakash"/>
    <s v="29/01/2013 5:50:49 PM"/>
    <n v="2012"/>
    <x v="10"/>
    <x v="22"/>
    <n v="17.100000000000001"/>
    <s v=""/>
    <n v="14.8"/>
  </r>
  <r>
    <s v="23/11/2012"/>
    <s v="43063"/>
    <x v="0"/>
    <s v="28"/>
    <s v="14"/>
    <s v="10085"/>
    <s v="7////"/>
    <s v="58001"/>
    <s v="31"/>
    <s v="///"/>
    <s v=""/>
    <s v=""/>
    <s v="56///"/>
    <s v=""/>
    <s v=""/>
    <s v="311"/>
    <s v=""/>
    <s v="32797"/>
    <s v="23202"/>
    <s v="82030"/>
    <s v="0284"/>
    <s v="0139"/>
    <s v=""/>
    <x v="327"/>
    <s v="43063 32797 23202 10284 20139 39474 40085 82030 333 10311 58001 82358 ="/>
    <m/>
    <s v="Prakash"/>
    <s v="29/01/2013 5:50:49 PM"/>
    <n v="2012"/>
    <x v="10"/>
    <x v="22"/>
    <n v="13.9"/>
    <n v="31.1"/>
    <s v=""/>
  </r>
  <r>
    <s v="24/11/2012"/>
    <s v="43063"/>
    <x v="1"/>
    <s v="20"/>
    <s v="16"/>
    <s v="10142"/>
    <s v="70522"/>
    <s v="59005"/>
    <s v="///"/>
    <s v="15"/>
    <s v=""/>
    <s v=""/>
    <s v="56///"/>
    <s v=""/>
    <s v=""/>
    <s v=""/>
    <s v="153"/>
    <s v="31596"/>
    <s v="50000"/>
    <s v="85500"/>
    <s v="0200"/>
    <s v="0158"/>
    <s v=""/>
    <x v="328"/>
    <s v="43063 31596 50000 10200 20158 39510 40142 70522 85500 333 20153 59005 85626 555 00000 10146 ="/>
    <n v="153"/>
    <s v="Prakash"/>
    <s v="29/01/2013 5:50:49 PM"/>
    <n v="2012"/>
    <x v="10"/>
    <x v="23"/>
    <n v="15.8"/>
    <s v=""/>
    <n v="15.3"/>
  </r>
  <r>
    <s v="24/11/2012"/>
    <s v="43063"/>
    <x v="0"/>
    <s v="29"/>
    <s v="18"/>
    <s v="10080"/>
    <s v="7////"/>
    <s v="59003"/>
    <s v="32"/>
    <s v="///"/>
    <s v=""/>
    <s v=""/>
    <s v="56///"/>
    <s v=""/>
    <s v=""/>
    <s v="318"/>
    <s v=""/>
    <s v="32597"/>
    <s v="50000"/>
    <s v="85500"/>
    <s v="0292"/>
    <s v="0180"/>
    <s v=""/>
    <x v="328"/>
    <s v="43063 32597 50000 10292 20180 39471 40080 85500 333 10318 59003 85626 ="/>
    <m/>
    <s v="Prakash"/>
    <s v="29/01/2013 5:50:49 PM"/>
    <n v="2012"/>
    <x v="10"/>
    <x v="23"/>
    <n v="18"/>
    <n v="31.8"/>
    <s v=""/>
  </r>
  <r>
    <s v="25/11/2012"/>
    <s v="43063"/>
    <x v="0"/>
    <s v="29"/>
    <s v="18"/>
    <s v="10085"/>
    <s v="7////"/>
    <s v="58005"/>
    <s v="31"/>
    <s v="///"/>
    <s v=""/>
    <s v=""/>
    <s v="56///"/>
    <s v=""/>
    <s v=""/>
    <s v="311"/>
    <s v=""/>
    <s v="32997"/>
    <s v="20000"/>
    <s v="80001"/>
    <s v="0295"/>
    <s v="0184"/>
    <s v=""/>
    <x v="329"/>
    <s v="43063 32997 20000 10295 20184 39476 40085 80001 333 10311 58005 82070 ="/>
    <m/>
    <s v="Prakash"/>
    <s v="29/01/2013 5:50:49 PM"/>
    <n v="2012"/>
    <x v="10"/>
    <x v="24"/>
    <n v="18.399999999999999"/>
    <n v="31.1"/>
    <s v=""/>
  </r>
  <r>
    <s v="25/11/2012"/>
    <s v="43063"/>
    <x v="1"/>
    <s v="20"/>
    <s v="17"/>
    <s v="10153"/>
    <s v="70500"/>
    <s v="58010"/>
    <s v="///"/>
    <s v="16"/>
    <s v=""/>
    <s v=""/>
    <s v="56///"/>
    <s v=""/>
    <s v=""/>
    <s v=""/>
    <s v="156"/>
    <s v="31596"/>
    <s v="20000"/>
    <s v="81501"/>
    <s v="0198"/>
    <s v="0170"/>
    <s v=""/>
    <x v="329"/>
    <s v="43063 31596 20000 10198 20170 39520 40153 70500 81501 333 20156 58010 81626 555 10146 ="/>
    <n v="156"/>
    <s v="Prakash"/>
    <s v="29/01/2013 5:50:49 PM"/>
    <n v="2012"/>
    <x v="10"/>
    <x v="24"/>
    <n v="17"/>
    <s v=""/>
    <n v="15.6"/>
  </r>
  <r>
    <s v="26/11/2012"/>
    <s v="43063"/>
    <x v="0"/>
    <s v="28"/>
    <s v="18"/>
    <s v="10094"/>
    <s v="7////"/>
    <s v="58007"/>
    <s v="32"/>
    <s v="///"/>
    <s v=""/>
    <s v=""/>
    <s v="56///"/>
    <s v=""/>
    <s v=""/>
    <s v="317"/>
    <s v=""/>
    <s v="32597"/>
    <s v="42701"/>
    <s v="84500"/>
    <s v="0284"/>
    <s v="0178"/>
    <s v=""/>
    <x v="330"/>
    <s v="43063 32597 42701 10284 20178 39483 40094 84500 333 10317 58007 82626 83828 ="/>
    <m/>
    <s v="Prakash"/>
    <s v="29/01/2013 5:50:49 PM"/>
    <n v="2012"/>
    <x v="10"/>
    <x v="25"/>
    <n v="17.8"/>
    <n v="31.7"/>
    <s v=""/>
  </r>
  <r>
    <s v="26/11/2012"/>
    <s v="43063"/>
    <x v="1"/>
    <s v="20"/>
    <s v="18"/>
    <s v="10150"/>
    <s v="70500"/>
    <s v="59003"/>
    <s v="///"/>
    <s v="16"/>
    <s v=""/>
    <s v=""/>
    <s v="56///"/>
    <s v=""/>
    <s v=""/>
    <s v=""/>
    <s v="163"/>
    <s v="31996"/>
    <s v="00000"/>
    <s v="/////"/>
    <s v="0200"/>
    <s v="0181"/>
    <s v=""/>
    <x v="330"/>
    <s v="43063 31996 00000 10200 20181 39517 40150 70500 333 20163 59003 555 00000 10146 ="/>
    <n v="163"/>
    <s v="Prakash"/>
    <s v="29/01/2013 5:50:49 PM"/>
    <n v="2012"/>
    <x v="10"/>
    <x v="25"/>
    <n v="18.100000000000001"/>
    <s v=""/>
    <n v="16.3"/>
  </r>
  <r>
    <s v="27/11/2012"/>
    <s v="43063"/>
    <x v="1"/>
    <s v="21"/>
    <s v="17"/>
    <s v="10143"/>
    <s v="70500"/>
    <s v="59004"/>
    <s v="///"/>
    <s v="17"/>
    <s v=""/>
    <s v=""/>
    <s v="56///"/>
    <s v=""/>
    <s v=""/>
    <s v=""/>
    <s v="169"/>
    <s v="31996"/>
    <s v="00000"/>
    <s v="/////"/>
    <s v="0210"/>
    <s v="0169"/>
    <s v=""/>
    <x v="331"/>
    <s v="43063 31996 00000 10210 20169 39513 40143 70500 333 20169 59004 555 00000 10146 ="/>
    <n v="169"/>
    <s v="Prakash"/>
    <s v="29/01/2013 5:50:49 PM"/>
    <n v="2012"/>
    <x v="10"/>
    <x v="26"/>
    <n v="16.899999999999999"/>
    <s v=""/>
    <n v="16.899999999999999"/>
  </r>
  <r>
    <s v="27/11/2012"/>
    <s v="43063"/>
    <x v="0"/>
    <s v="30"/>
    <s v="18"/>
    <s v="10080"/>
    <s v="7////"/>
    <s v="59012"/>
    <s v="32"/>
    <s v="///"/>
    <s v=""/>
    <s v=""/>
    <s v="56///"/>
    <s v=""/>
    <s v=""/>
    <s v="321"/>
    <s v=""/>
    <s v="32597"/>
    <s v="20000"/>
    <s v="82500"/>
    <s v="0300"/>
    <s v="0179"/>
    <s v=""/>
    <x v="331"/>
    <s v="43063 32597 20000 10300 20179 39471 40080 82500 333 10321 59012 82626 ="/>
    <m/>
    <s v="Prakash"/>
    <s v="29/01/2013 5:50:49 PM"/>
    <n v="2012"/>
    <x v="10"/>
    <x v="26"/>
    <n v="17.899999999999999"/>
    <n v="32.1"/>
    <s v=""/>
  </r>
  <r>
    <s v="28/11/2012"/>
    <s v="43063"/>
    <x v="0"/>
    <s v="28"/>
    <s v="12"/>
    <s v="10089"/>
    <s v="7////"/>
    <s v="58005"/>
    <s v="31"/>
    <s v="///"/>
    <s v=""/>
    <s v=""/>
    <s v="56///"/>
    <s v=""/>
    <s v=""/>
    <s v="308"/>
    <s v=""/>
    <s v="32997"/>
    <s v="62701"/>
    <s v="80001"/>
    <s v="0276"/>
    <s v="0124"/>
    <s v=""/>
    <x v="332"/>
    <s v="43063 32997 62701 10276 20124 39476 40089 80001 333 10308 58005 86070 ="/>
    <m/>
    <s v="Prakash"/>
    <s v="29/01/2013 5:50:49 PM"/>
    <n v="2012"/>
    <x v="10"/>
    <x v="27"/>
    <n v="12.4"/>
    <n v="30.8"/>
    <s v=""/>
  </r>
  <r>
    <s v="28/11/2012"/>
    <s v="43063"/>
    <x v="1"/>
    <s v="20"/>
    <s v="18"/>
    <s v="10143"/>
    <s v="70500"/>
    <s v="58000"/>
    <s v="///"/>
    <s v="16"/>
    <s v=""/>
    <s v=""/>
    <s v="56///"/>
    <s v=""/>
    <s v=""/>
    <s v=""/>
    <s v="157"/>
    <s v="31996"/>
    <s v="10000"/>
    <s v="80001"/>
    <s v="0204"/>
    <s v="0179"/>
    <s v=""/>
    <x v="332"/>
    <s v="43063 31996 10000 10204 20179 39513 40143 70500 80001 333 20157 58000 81070 555 00000 10146 ="/>
    <n v="157"/>
    <s v="Prakash"/>
    <s v="29/01/2013 5:50:49 PM"/>
    <n v="2012"/>
    <x v="10"/>
    <x v="27"/>
    <n v="17.899999999999999"/>
    <s v=""/>
    <n v="15.7"/>
  </r>
  <r>
    <s v="29/11/2012"/>
    <s v="43063"/>
    <x v="0"/>
    <s v="28"/>
    <s v="11"/>
    <s v="10082"/>
    <s v="7////"/>
    <s v="59005"/>
    <s v="32"/>
    <s v="///"/>
    <s v=""/>
    <s v=""/>
    <s v="56///"/>
    <s v=""/>
    <s v=""/>
    <s v="318"/>
    <s v=""/>
    <s v="32997"/>
    <s v="22703"/>
    <s v="80001"/>
    <s v="0284"/>
    <s v="0107"/>
    <s v=""/>
    <x v="333"/>
    <s v="43063 32997 22703 10284 20107 39471 40082 80001 333 10318 59005 82070 ="/>
    <m/>
    <s v="Prakash"/>
    <s v="29/01/2013 5:50:49 PM"/>
    <n v="2012"/>
    <x v="10"/>
    <x v="28"/>
    <n v="10.7"/>
    <n v="31.8"/>
    <s v=""/>
  </r>
  <r>
    <s v="29/11/2012"/>
    <s v="43063"/>
    <x v="1"/>
    <s v="18"/>
    <s v="15"/>
    <s v="10142"/>
    <s v="7////"/>
    <s v="59007"/>
    <s v="///"/>
    <s v="13"/>
    <s v=""/>
    <s v=""/>
    <s v="56///"/>
    <s v=""/>
    <s v=""/>
    <s v=""/>
    <s v="134"/>
    <s v="32996"/>
    <s v="30000"/>
    <s v="80001"/>
    <s v="0180"/>
    <s v="0150"/>
    <s v=""/>
    <x v="333"/>
    <s v="43063 32996 30000 10180 20150 39506 40142 80001 333 20134 59007 83070 555 10146 ="/>
    <n v="134"/>
    <s v="Prakash"/>
    <s v="29/01/2013 5:50:49 PM"/>
    <n v="2012"/>
    <x v="10"/>
    <x v="28"/>
    <n v="15"/>
    <s v=""/>
    <n v="13.4"/>
  </r>
  <r>
    <s v="30/11/2012"/>
    <s v="43063"/>
    <x v="1"/>
    <s v="17"/>
    <s v="14"/>
    <s v="10147"/>
    <s v="7////"/>
    <s v="58004"/>
    <s v="///"/>
    <s v="12"/>
    <s v=""/>
    <s v=""/>
    <s v="56///"/>
    <s v=""/>
    <s v=""/>
    <s v=""/>
    <s v="121"/>
    <s v="32996"/>
    <s v="20000"/>
    <s v="80001"/>
    <s v="0174"/>
    <s v="0137"/>
    <s v=""/>
    <x v="334"/>
    <s v="43063 32996 20000 10174 20137 39510 40147 80001 333 20121 58004 82070 555 00000 10146 ="/>
    <n v="121"/>
    <s v="Prakash"/>
    <s v="29/01/2013 5:50:49 PM"/>
    <n v="2012"/>
    <x v="10"/>
    <x v="29"/>
    <n v="13.7"/>
    <s v=""/>
    <n v="12.1"/>
  </r>
  <r>
    <s v="30/11/2012"/>
    <s v="43063"/>
    <x v="0"/>
    <s v="28"/>
    <s v="11"/>
    <s v="10085"/>
    <s v="7////"/>
    <s v="58001"/>
    <s v="31"/>
    <s v="///"/>
    <s v=""/>
    <s v=""/>
    <s v="56///"/>
    <s v=""/>
    <s v=""/>
    <s v="311"/>
    <s v=""/>
    <s v="32997"/>
    <s v="02703"/>
    <s v="/////"/>
    <s v="0280"/>
    <s v="0112"/>
    <s v=""/>
    <x v="334"/>
    <s v="43063 32997 02703 10280 20112 39472 40085 333 10311 58001 ="/>
    <m/>
    <s v="Prakash"/>
    <s v="19/02/2013 10:10:35 AM"/>
    <n v="2012"/>
    <x v="10"/>
    <x v="29"/>
    <n v="11.2"/>
    <n v="31.1"/>
    <s v=""/>
  </r>
  <r>
    <s v="01/12/2012"/>
    <s v="43063"/>
    <x v="1"/>
    <s v="18"/>
    <s v="14"/>
    <s v="10135"/>
    <s v="70511"/>
    <s v="59008"/>
    <s v="///"/>
    <s v="12"/>
    <s v=""/>
    <s v=""/>
    <s v="56///"/>
    <s v=""/>
    <s v=""/>
    <s v=""/>
    <s v="120"/>
    <s v="31996"/>
    <s v="00000"/>
    <s v="/////"/>
    <s v="0184"/>
    <s v="0137"/>
    <s v=""/>
    <x v="335"/>
    <s v="43063 31996 00000 10184 20137 39502 40135 70511 333 20120 59008 555 00000 10146 ="/>
    <n v="120"/>
    <s v="Prakash"/>
    <s v="19/02/2013 10:10:35 AM"/>
    <n v="2012"/>
    <x v="11"/>
    <x v="0"/>
    <n v="13.7"/>
    <s v=""/>
    <n v="12"/>
  </r>
  <r>
    <s v="01/12/2012"/>
    <s v="43063"/>
    <x v="0"/>
    <s v="28"/>
    <s v="13"/>
    <s v="10077"/>
    <s v="7////"/>
    <s v="59006"/>
    <s v="32"/>
    <s v="///"/>
    <s v=""/>
    <s v=""/>
    <s v="56///"/>
    <s v=""/>
    <s v=""/>
    <s v="318"/>
    <s v=""/>
    <s v="32997"/>
    <s v="02702"/>
    <s v="/////"/>
    <s v="0280"/>
    <s v="0134"/>
    <s v=""/>
    <x v="335"/>
    <s v="43063 32997 02702 10280 20134 39466 40077 333 10318 59006 ="/>
    <m/>
    <s v="Prakash"/>
    <s v="19/02/2013 10:10:35 AM"/>
    <n v="2012"/>
    <x v="11"/>
    <x v="0"/>
    <n v="13.4"/>
    <n v="31.8"/>
    <s v=""/>
  </r>
  <r>
    <s v="02/12/2012"/>
    <s v="43063"/>
    <x v="1"/>
    <s v="18"/>
    <s v="16"/>
    <s v="10150"/>
    <s v="70500"/>
    <s v="58011"/>
    <s v="///"/>
    <s v="14"/>
    <s v=""/>
    <s v=""/>
    <s v="56///"/>
    <s v=""/>
    <s v=""/>
    <s v=""/>
    <s v="136"/>
    <s v="31996"/>
    <s v="00000"/>
    <s v="/////"/>
    <s v="0180"/>
    <s v="0157"/>
    <s v=""/>
    <x v="336"/>
    <s v="43063 31996 00000 10180 20157 39513 40150 70500 333 20136 58011 555 00000 10146 ="/>
    <n v="136"/>
    <s v="Prakash"/>
    <s v="19/02/2013 10:10:35 AM"/>
    <n v="2012"/>
    <x v="11"/>
    <x v="1"/>
    <n v="15.7"/>
    <s v=""/>
    <n v="13.6"/>
  </r>
  <r>
    <s v="02/12/2012"/>
    <s v="43063"/>
    <x v="0"/>
    <s v="29"/>
    <s v="18"/>
    <s v="10090"/>
    <s v="7////"/>
    <s v="58013"/>
    <s v="31"/>
    <s v="///"/>
    <s v=""/>
    <s v=""/>
    <s v="56///"/>
    <s v=""/>
    <s v=""/>
    <s v="310"/>
    <s v=""/>
    <s v="32597"/>
    <s v="30000"/>
    <s v="81501"/>
    <s v="0285"/>
    <s v="0181"/>
    <s v=""/>
    <x v="336"/>
    <s v="43063 32597 30000 10285 20181 39479 40090 81501 333 10310 58013 81628 83070 ="/>
    <m/>
    <s v="Prakash"/>
    <s v="19/02/2013 10:10:35 AM"/>
    <n v="2012"/>
    <x v="11"/>
    <x v="1"/>
    <n v="18.100000000000001"/>
    <n v="31"/>
    <s v=""/>
  </r>
  <r>
    <s v="03/12/2012"/>
    <s v="43063"/>
    <x v="0"/>
    <s v="28"/>
    <s v="15"/>
    <s v="10091"/>
    <s v="7////"/>
    <s v="59001"/>
    <s v="29"/>
    <s v="///"/>
    <s v=""/>
    <s v=""/>
    <s v="56///"/>
    <s v=""/>
    <s v=""/>
    <s v="289"/>
    <s v=""/>
    <s v="32997"/>
    <s v="00000"/>
    <s v="/////"/>
    <s v="0278"/>
    <s v="0155"/>
    <s v=""/>
    <x v="337"/>
    <s v="43063 32997 00000 10278 20155 39478 40091 333 10289 59001 ="/>
    <m/>
    <s v="Prakash"/>
    <s v="19/02/2013 10:10:35 AM"/>
    <n v="2012"/>
    <x v="11"/>
    <x v="2"/>
    <n v="15.5"/>
    <n v="28.9"/>
    <s v=""/>
  </r>
  <r>
    <s v="03/12/2012"/>
    <s v="43063"/>
    <x v="1"/>
    <s v="19"/>
    <s v="16"/>
    <s v="10153"/>
    <s v="70500"/>
    <s v="58007"/>
    <s v="///"/>
    <s v="15"/>
    <s v=""/>
    <s v=""/>
    <s v="56///"/>
    <s v=""/>
    <s v=""/>
    <s v=""/>
    <s v="151"/>
    <s v="31996"/>
    <s v="00000"/>
    <s v="/////"/>
    <s v="0192"/>
    <s v="0156"/>
    <s v=""/>
    <x v="337"/>
    <s v="43063 31996 00000 10192 20156 39520 40153 70500 333 20151 58007 555 00000 10146 ="/>
    <n v="151"/>
    <s v="Prakash"/>
    <s v="19/02/2013 10:10:35 AM"/>
    <n v="2012"/>
    <x v="11"/>
    <x v="2"/>
    <n v="15.6"/>
    <s v=""/>
    <n v="15.1"/>
  </r>
  <r>
    <s v="04/12/2012"/>
    <s v="43063"/>
    <x v="0"/>
    <s v="28"/>
    <s v="11"/>
    <s v="10089"/>
    <s v="7////"/>
    <s v="59002"/>
    <s v="30"/>
    <s v="///"/>
    <s v=""/>
    <s v=""/>
    <s v="56///"/>
    <s v=""/>
    <s v=""/>
    <s v="299"/>
    <s v=""/>
    <s v="32797"/>
    <s v="21101"/>
    <s v="81301"/>
    <s v="0280"/>
    <s v="0112"/>
    <s v=""/>
    <x v="338"/>
    <s v="43063 32797 21101 10280 20112 39476 40089 81301 333 10299 59002 81358 ="/>
    <m/>
    <s v="Prakash"/>
    <s v="19/02/2013 10:10:35 AM"/>
    <n v="2012"/>
    <x v="11"/>
    <x v="3"/>
    <n v="11.2"/>
    <n v="29.9"/>
    <s v=""/>
  </r>
  <r>
    <s v="04/12/2012"/>
    <s v="43063"/>
    <x v="1"/>
    <s v="18"/>
    <s v="13"/>
    <s v="10157"/>
    <s v="70541"/>
    <s v="58002"/>
    <s v="///"/>
    <s v="13"/>
    <s v=""/>
    <s v=""/>
    <s v="56///"/>
    <s v=""/>
    <s v=""/>
    <s v=""/>
    <s v="134"/>
    <s v="31996"/>
    <s v="30000"/>
    <s v="82501"/>
    <s v="0184"/>
    <s v="0133"/>
    <s v=""/>
    <x v="338"/>
    <s v="43063 31996 30000 10184 20133 39522 40157 70541 82501 333 20134 58002 82626 555 00000 10146 ="/>
    <n v="134"/>
    <s v="Prakash"/>
    <s v="19/02/2013 10:10:35 AM"/>
    <n v="2012"/>
    <x v="11"/>
    <x v="3"/>
    <n v="13.3"/>
    <s v=""/>
    <n v="13.4"/>
  </r>
  <r>
    <s v="05/12/2012"/>
    <s v="43063"/>
    <x v="0"/>
    <s v="29"/>
    <s v="15"/>
    <s v="10085"/>
    <s v="7////"/>
    <s v="59002"/>
    <s v="31"/>
    <s v="///"/>
    <s v=""/>
    <s v=""/>
    <s v="56///"/>
    <s v=""/>
    <s v=""/>
    <s v="308"/>
    <s v=""/>
    <s v="32997"/>
    <s v="20902"/>
    <s v="80001"/>
    <s v="0290"/>
    <s v="0147"/>
    <s v=""/>
    <x v="339"/>
    <s v="43063 32997 20902 10290 20147 39474 40085 80001 333 10308 59002 82070 ="/>
    <m/>
    <s v="Prakash"/>
    <s v="19/02/2013 10:10:35 AM"/>
    <n v="2012"/>
    <x v="11"/>
    <x v="4"/>
    <n v="14.7"/>
    <n v="30.8"/>
    <s v=""/>
  </r>
  <r>
    <s v="05/12/2012"/>
    <s v="43063"/>
    <x v="1"/>
    <s v="20"/>
    <s v="12"/>
    <s v="10143"/>
    <s v="70521"/>
    <s v="59009"/>
    <s v="///"/>
    <s v="14"/>
    <s v=""/>
    <s v=""/>
    <s v="56///"/>
    <s v=""/>
    <s v=""/>
    <s v=""/>
    <s v="136"/>
    <s v="31996"/>
    <s v="40000"/>
    <s v="80001"/>
    <s v="0204"/>
    <s v="0122"/>
    <s v=""/>
    <x v="339"/>
    <s v="43063 31996 40000 10204 20122 39513 40143 70521 80001 333 20136 59009 84070 555 00000 10146 ="/>
    <n v="136"/>
    <s v="Prakash"/>
    <s v="19/02/2013 10:10:35 AM"/>
    <n v="2012"/>
    <x v="11"/>
    <x v="4"/>
    <n v="12.2"/>
    <s v=""/>
    <n v="13.6"/>
  </r>
  <r>
    <s v="06/12/2012"/>
    <s v="43063"/>
    <x v="0"/>
    <s v="29"/>
    <s v="18"/>
    <s v="10094"/>
    <s v="7////"/>
    <s v="58011"/>
    <s v="32"/>
    <s v="///"/>
    <s v=""/>
    <s v=""/>
    <s v="56///"/>
    <s v=""/>
    <s v=""/>
    <s v="316"/>
    <s v=""/>
    <s v="32597"/>
    <s v="70901"/>
    <s v="82501"/>
    <s v="0294"/>
    <s v="0183"/>
    <s v=""/>
    <x v="340"/>
    <s v="43063 32597 70901 10294 20183 39485 40094 82501 333 10316 58011 82626 86070 ="/>
    <m/>
    <s v="Prakash"/>
    <s v="19/02/2013 10:10:35 AM"/>
    <n v="2012"/>
    <x v="11"/>
    <x v="5"/>
    <n v="18.3"/>
    <n v="31.6"/>
    <s v=""/>
  </r>
  <r>
    <s v="06/12/2012"/>
    <s v="43063"/>
    <x v="1"/>
    <s v="22"/>
    <s v="16"/>
    <s v="10145"/>
    <s v="70522"/>
    <s v="58004"/>
    <s v="///"/>
    <s v="18"/>
    <s v=""/>
    <s v=""/>
    <s v="56///"/>
    <s v=""/>
    <s v=""/>
    <s v=""/>
    <s v="179"/>
    <s v="31996"/>
    <s v="50000"/>
    <s v="80001"/>
    <s v="0218"/>
    <s v="0161"/>
    <s v=""/>
    <x v="340"/>
    <s v="43063 31996 50000 10218 20161 39517 40145 70522 80001 333 20179 58004 85070 555 00000 10146 ="/>
    <n v="179"/>
    <s v="Prakash"/>
    <s v="19/02/2013 10:10:35 AM"/>
    <n v="2012"/>
    <x v="11"/>
    <x v="5"/>
    <n v="16.100000000000001"/>
    <s v=""/>
    <n v="17.899999999999999"/>
  </r>
  <r>
    <s v="07/12/2012"/>
    <s v="43063"/>
    <x v="0"/>
    <s v="30"/>
    <s v="16"/>
    <s v="10089"/>
    <s v="7////"/>
    <s v="59002"/>
    <s v="33"/>
    <s v="///"/>
    <s v=""/>
    <s v=""/>
    <s v="56///"/>
    <s v=""/>
    <s v=""/>
    <s v="329"/>
    <s v=""/>
    <s v="32597"/>
    <s v="30000"/>
    <s v="81501"/>
    <s v="0304"/>
    <s v="0162"/>
    <s v=""/>
    <x v="341"/>
    <s v="43063 32597 30000 10304 20162 39483 40089 81501 333 10329 59002 81626 83070 ="/>
    <m/>
    <s v="Prakash"/>
    <s v="19/02/2013 10:10:35 AM"/>
    <n v="2012"/>
    <x v="11"/>
    <x v="6"/>
    <n v="16.2"/>
    <n v="32.9"/>
    <s v=""/>
  </r>
  <r>
    <s v="07/12/2012"/>
    <s v="43063"/>
    <x v="1"/>
    <s v="22"/>
    <s v="19"/>
    <s v="10145"/>
    <s v="70511"/>
    <s v="58000"/>
    <s v="///"/>
    <s v="18"/>
    <s v=""/>
    <s v=""/>
    <s v="56///"/>
    <s v=""/>
    <s v=""/>
    <s v=""/>
    <s v="177"/>
    <s v="31996"/>
    <s v="30000"/>
    <s v="80001"/>
    <s v="0217"/>
    <s v="0195"/>
    <s v=""/>
    <x v="341"/>
    <s v="43063 31996 30000 10217 20195 39517 40145 70511 80001 333 20177 58000 83070 555 10146 ="/>
    <n v="177"/>
    <s v="Prakash"/>
    <s v="19/02/2013 10:10:35 AM"/>
    <n v="2012"/>
    <x v="11"/>
    <x v="6"/>
    <n v="19.5"/>
    <s v=""/>
    <n v="17.7"/>
  </r>
  <r>
    <s v="08/12/2012"/>
    <s v="43063"/>
    <x v="0"/>
    <s v="31"/>
    <s v="19"/>
    <s v="10079"/>
    <s v="7////"/>
    <s v="59010"/>
    <s v="33"/>
    <s v="///"/>
    <s v=""/>
    <s v=""/>
    <s v="56///"/>
    <s v=""/>
    <s v=""/>
    <s v="329"/>
    <s v=""/>
    <s v="32597"/>
    <s v="60000"/>
    <s v="81501"/>
    <s v="0306"/>
    <s v="0194"/>
    <s v=""/>
    <x v="342"/>
    <s v="43063 32597 60000 10306 20194 39473 40079 81501 333 10329 59010 81626 85070 ="/>
    <m/>
    <s v="Prakash"/>
    <s v="19/02/2013 10:10:35 AM"/>
    <n v="2012"/>
    <x v="11"/>
    <x v="7"/>
    <n v="19.399999999999999"/>
    <n v="32.9"/>
    <s v=""/>
  </r>
  <r>
    <s v="08/12/2012"/>
    <s v="43063"/>
    <x v="1"/>
    <s v="20"/>
    <s v="19"/>
    <s v="10145"/>
    <s v="7////"/>
    <s v="59002"/>
    <s v="///"/>
    <s v="18"/>
    <s v=""/>
    <s v=""/>
    <s v="56///"/>
    <s v=""/>
    <s v=""/>
    <s v=""/>
    <s v="176"/>
    <s v="32996"/>
    <s v="30000"/>
    <s v="80001"/>
    <s v="0204"/>
    <s v="0189"/>
    <s v=""/>
    <x v="342"/>
    <s v="43063 32996 30000 10204 20189 39515 40145 80001 333 20176 59002 83070 555 00000 10146 ="/>
    <n v="176"/>
    <s v="Prakash"/>
    <s v="19/02/2013 10:10:35 AM"/>
    <n v="2012"/>
    <x v="11"/>
    <x v="7"/>
    <n v="18.899999999999999"/>
    <s v=""/>
    <n v="17.600000000000001"/>
  </r>
  <r>
    <s v="09/12/2012"/>
    <s v="43063"/>
    <x v="1"/>
    <s v="21"/>
    <s v="19"/>
    <s v="10137"/>
    <s v="70510"/>
    <s v="59007"/>
    <s v="///"/>
    <s v="18"/>
    <s v=""/>
    <s v=""/>
    <s v="56///"/>
    <s v=""/>
    <s v=""/>
    <s v=""/>
    <s v="176"/>
    <s v="31996"/>
    <s v="20000"/>
    <s v="80001"/>
    <s v="0210"/>
    <s v="0195"/>
    <s v=""/>
    <x v="343"/>
    <s v="43063 31996 20000 10210 20195 39508 40137 70510 80001 333 20176 59007 82070 555 00000 10146 ="/>
    <n v="176"/>
    <s v="Prakash"/>
    <s v="19/02/2013 10:10:35 AM"/>
    <n v="2012"/>
    <x v="11"/>
    <x v="8"/>
    <n v="19.5"/>
    <s v=""/>
    <n v="17.600000000000001"/>
  </r>
  <r>
    <s v="09/12/2012"/>
    <s v="43063"/>
    <x v="0"/>
    <s v="29"/>
    <s v="15"/>
    <s v="10075"/>
    <s v="7////"/>
    <s v="59005"/>
    <s v="33"/>
    <s v="///"/>
    <s v=""/>
    <s v=""/>
    <s v="56///"/>
    <s v=""/>
    <s v=""/>
    <s v="329"/>
    <s v=""/>
    <s v="32597"/>
    <s v="42703"/>
    <s v="84500"/>
    <s v="0294"/>
    <s v="0153"/>
    <s v=""/>
    <x v="343"/>
    <s v="43063 32597 42703 10294 20153 39468 40075 84500 333 10329 59005 84626 ="/>
    <m/>
    <s v="Prakash"/>
    <s v="19/02/2013 10:10:35 AM"/>
    <n v="2012"/>
    <x v="11"/>
    <x v="8"/>
    <n v="15.3"/>
    <n v="32.9"/>
    <s v=""/>
  </r>
  <r>
    <s v="10/12/2012"/>
    <s v="43063"/>
    <x v="1"/>
    <s v="19"/>
    <s v="18"/>
    <s v="10134"/>
    <s v="70500"/>
    <s v="59005"/>
    <s v="///"/>
    <s v="16"/>
    <s v=""/>
    <s v=""/>
    <s v="56///"/>
    <s v=""/>
    <s v=""/>
    <s v=""/>
    <s v="161"/>
    <s v="31996"/>
    <s v="00000"/>
    <s v="/////"/>
    <s v="0192"/>
    <s v="0179"/>
    <s v=""/>
    <x v="344"/>
    <s v="43063 31996 00000 10192 20179 39503 40134 70500 333 20161 59005 555 00000 10146 ="/>
    <n v="161"/>
    <s v="Prakash"/>
    <s v="19/02/2013 10:10:35 AM"/>
    <n v="2012"/>
    <x v="11"/>
    <x v="9"/>
    <n v="17.899999999999999"/>
    <s v=""/>
    <n v="16.100000000000001"/>
  </r>
  <r>
    <s v="10/12/2012"/>
    <s v="43063"/>
    <x v="0"/>
    <s v="29"/>
    <s v="13"/>
    <s v="10075"/>
    <s v="7////"/>
    <s v="59002"/>
    <s v="32"/>
    <s v="///"/>
    <s v=""/>
    <s v=""/>
    <s v="56///"/>
    <s v=""/>
    <s v=""/>
    <s v="323"/>
    <s v=""/>
    <s v="32997"/>
    <s v="02702"/>
    <s v="/////"/>
    <s v="0290"/>
    <s v="0127"/>
    <s v=""/>
    <x v="344"/>
    <s v="43063 32997 02702 10290 20127 39466 40075 333 10323 59002 ="/>
    <m/>
    <s v="Prakash"/>
    <s v="19/02/2013 10:10:35 AM"/>
    <n v="2012"/>
    <x v="11"/>
    <x v="9"/>
    <n v="12.7"/>
    <n v="32.299999999999997"/>
    <s v=""/>
  </r>
  <r>
    <s v="11/12/2012"/>
    <s v="43063"/>
    <x v="0"/>
    <s v="29"/>
    <s v="8"/>
    <s v="10080"/>
    <s v="7////"/>
    <s v="58004"/>
    <s v="32"/>
    <s v="///"/>
    <s v=""/>
    <s v=""/>
    <s v="56///"/>
    <s v=""/>
    <s v=""/>
    <s v="319"/>
    <s v=""/>
    <s v="32997"/>
    <s v="02703"/>
    <s v="/////"/>
    <s v="0290"/>
    <s v="0079"/>
    <s v=""/>
    <x v="345"/>
    <s v="43063 32997 02703 10290 20079 39470 40080 333 10319 58004 ="/>
    <m/>
    <s v="Prakash"/>
    <s v="19/02/2013 10:10:35 AM"/>
    <n v="2012"/>
    <x v="11"/>
    <x v="10"/>
    <n v="7.9"/>
    <n v="31.9"/>
    <s v=""/>
  </r>
  <r>
    <s v="11/12/2012"/>
    <s v="43063"/>
    <x v="1"/>
    <s v="19"/>
    <s v="15"/>
    <s v="10136"/>
    <s v="7////"/>
    <s v="58002"/>
    <s v="///"/>
    <s v="13"/>
    <s v=""/>
    <s v=""/>
    <s v="56///"/>
    <s v=""/>
    <s v=""/>
    <s v=""/>
    <s v="130"/>
    <s v="32996"/>
    <s v="00000"/>
    <s v="/////"/>
    <s v="0190"/>
    <s v="0151"/>
    <s v=""/>
    <x v="345"/>
    <s v="43063 32996 00000 10190 20151 39505 40136 333 20130 58002 555 10146 ="/>
    <n v="130"/>
    <s v="Prakash"/>
    <s v="19/02/2013 10:10:35 AM"/>
    <n v="2012"/>
    <x v="11"/>
    <x v="10"/>
    <n v="15.1"/>
    <s v=""/>
    <n v="13"/>
  </r>
  <r>
    <s v="12/12/2012"/>
    <s v="43063"/>
    <x v="0"/>
    <s v="29"/>
    <s v="2"/>
    <s v="10074"/>
    <s v="7////"/>
    <s v="59005"/>
    <s v="31"/>
    <s v="///"/>
    <s v=""/>
    <s v=""/>
    <s v="56///"/>
    <s v=""/>
    <s v=""/>
    <s v="312"/>
    <s v=""/>
    <s v="32997"/>
    <s v="00000"/>
    <s v="/////"/>
    <s v="0290"/>
    <s v="0016"/>
    <s v=""/>
    <x v="346"/>
    <s v="43063 32997 00000 10290 20016 39465 40074 333 10312 59005 ="/>
    <m/>
    <s v="Prakash"/>
    <s v="19/02/2013 10:10:35 AM"/>
    <n v="2012"/>
    <x v="11"/>
    <x v="11"/>
    <n v="1.6"/>
    <n v="31.2"/>
    <s v=""/>
  </r>
  <r>
    <s v="12/12/2012"/>
    <s v="43063"/>
    <x v="1"/>
    <s v="17"/>
    <s v="16"/>
    <s v="10146"/>
    <s v="70500"/>
    <s v="58003"/>
    <s v="///"/>
    <s v="13"/>
    <s v=""/>
    <s v=""/>
    <s v="56///"/>
    <s v=""/>
    <s v=""/>
    <s v=""/>
    <s v="125"/>
    <s v="31996"/>
    <s v="00000"/>
    <s v="/////"/>
    <s v="0168"/>
    <s v="0158"/>
    <s v=""/>
    <x v="346"/>
    <s v="43063 31996 00000 10168 20158 39508 40146 70500 333 20125 58003 555 00000 10146 ="/>
    <n v="125"/>
    <s v="Prakash"/>
    <s v="19/02/2013 10:10:35 AM"/>
    <n v="2012"/>
    <x v="11"/>
    <x v="11"/>
    <n v="15.8"/>
    <s v=""/>
    <n v="12.5"/>
  </r>
  <r>
    <s v="13/12/2012"/>
    <s v="43063"/>
    <x v="0"/>
    <s v="28"/>
    <s v="10"/>
    <s v="10087"/>
    <s v="7////"/>
    <s v="58009"/>
    <s v="31"/>
    <s v="///"/>
    <s v=""/>
    <s v=""/>
    <s v="56///"/>
    <s v=""/>
    <s v=""/>
    <s v="309"/>
    <s v=""/>
    <s v="32997"/>
    <s v="12701"/>
    <s v="80001"/>
    <s v="0278"/>
    <s v="0100"/>
    <s v=""/>
    <x v="347"/>
    <s v="43063 32997 12701 10278 20100 39474 40087 80001 333 10309 58009 81070 ="/>
    <m/>
    <s v="Prakash"/>
    <s v="19/02/2013 10:10:35 AM"/>
    <n v="2012"/>
    <x v="11"/>
    <x v="12"/>
    <n v="10"/>
    <n v="30.9"/>
    <s v=""/>
  </r>
  <r>
    <s v="13/12/2012"/>
    <s v="43063"/>
    <x v="1"/>
    <s v="16"/>
    <s v="14"/>
    <s v="10147"/>
    <s v="70500"/>
    <s v="58001"/>
    <s v="///"/>
    <s v="11"/>
    <s v=""/>
    <s v=""/>
    <s v="56///"/>
    <s v=""/>
    <s v=""/>
    <s v=""/>
    <s v="105"/>
    <s v="31996"/>
    <s v="00000"/>
    <s v="/////"/>
    <s v="0162"/>
    <s v="0142"/>
    <s v=""/>
    <x v="347"/>
    <s v="43063 31996 00000 10162 20142 39509 40147 70500 333 20105 58001 555 00000 10146 ="/>
    <n v="105"/>
    <s v="Prakash"/>
    <s v="19/02/2013 10:10:35 AM"/>
    <n v="2012"/>
    <x v="11"/>
    <x v="12"/>
    <n v="14.2"/>
    <s v=""/>
    <n v="10.5"/>
  </r>
  <r>
    <s v="14/12/2012"/>
    <s v="43063"/>
    <x v="1"/>
    <s v="15"/>
    <s v="15"/>
    <s v="10168"/>
    <s v="74544"/>
    <s v="58018"/>
    <s v="///"/>
    <s v="13"/>
    <s v=""/>
    <s v=""/>
    <s v="56///"/>
    <s v=""/>
    <s v=""/>
    <s v=""/>
    <s v="129"/>
    <s v="31992"/>
    <s v="00000"/>
    <s v="/////"/>
    <s v="0154"/>
    <s v="0147"/>
    <s v=""/>
    <x v="348"/>
    <s v="43063 31992 00000 10154 20147 39527 40168 74544 333 20129 58018 555 00000 10146 ="/>
    <n v="129"/>
    <s v="Prakash"/>
    <s v="19/02/2013 10:10:35 AM"/>
    <n v="2012"/>
    <x v="11"/>
    <x v="13"/>
    <n v="14.7"/>
    <s v=""/>
    <n v="12.9"/>
  </r>
  <r>
    <s v="14/12/2012"/>
    <s v="43063"/>
    <x v="0"/>
    <s v="29"/>
    <s v="16"/>
    <s v="10108"/>
    <s v="7////"/>
    <s v="58022"/>
    <s v="30"/>
    <s v="///"/>
    <s v=""/>
    <s v=""/>
    <s v="56///"/>
    <s v=""/>
    <s v=""/>
    <s v="304"/>
    <s v=""/>
    <s v="32997"/>
    <s v="30000"/>
    <s v="80001"/>
    <s v="0286"/>
    <s v="0158"/>
    <s v=""/>
    <x v="348"/>
    <s v="43063 32997 30000 10286 20158 39496 40108 80001 333 10304 58022 83070 ="/>
    <m/>
    <s v="Prakash"/>
    <s v="19/02/2013 10:10:35 AM"/>
    <n v="2012"/>
    <x v="11"/>
    <x v="13"/>
    <n v="15.8"/>
    <n v="30.4"/>
    <s v=""/>
  </r>
  <r>
    <s v="15/12/2012"/>
    <s v="43063"/>
    <x v="1"/>
    <s v="16"/>
    <s v="14"/>
    <s v="10183"/>
    <s v="70500"/>
    <s v="58013"/>
    <s v="///"/>
    <s v="11"/>
    <s v=""/>
    <s v=""/>
    <s v="56///"/>
    <s v=""/>
    <s v=""/>
    <s v=""/>
    <s v="115"/>
    <s v="31996"/>
    <s v="00000"/>
    <s v="/////"/>
    <s v="0160"/>
    <s v="0140"/>
    <s v=""/>
    <x v="349"/>
    <s v="43063 31996 00000 10160 20140 39540 40183 70500 333 20115 58013 555 10146 ="/>
    <n v="115"/>
    <s v="Prakash"/>
    <s v="19/02/2013 10:10:35 AM"/>
    <n v="2012"/>
    <x v="11"/>
    <x v="14"/>
    <n v="14"/>
    <s v=""/>
    <n v="11.5"/>
  </r>
  <r>
    <s v="15/12/2012"/>
    <s v="43063"/>
    <x v="0"/>
    <s v="29"/>
    <s v="17"/>
    <s v="10108"/>
    <s v="7////"/>
    <s v="58002"/>
    <s v="32"/>
    <s v="///"/>
    <s v=""/>
    <s v=""/>
    <s v="56///"/>
    <s v=""/>
    <s v=""/>
    <s v="318"/>
    <s v=""/>
    <s v="32597"/>
    <s v="62502"/>
    <s v="81501"/>
    <s v="0295"/>
    <s v="0169"/>
    <s v=""/>
    <x v="349"/>
    <s v="43063 32597 62502 10295 20169 39498 40108 81501 333 10318 58002 81626 85070 ="/>
    <m/>
    <s v="Prakash"/>
    <s v="19/02/2013 10:10:35 AM"/>
    <n v="2012"/>
    <x v="11"/>
    <x v="14"/>
    <n v="16.899999999999999"/>
    <n v="31.8"/>
    <s v=""/>
  </r>
  <r>
    <s v="16/12/2012"/>
    <s v="43063"/>
    <x v="1"/>
    <s v="16"/>
    <s v="15"/>
    <s v="10179"/>
    <s v="70522"/>
    <s v="59004"/>
    <s v="///"/>
    <s v="13"/>
    <s v=""/>
    <s v=""/>
    <s v="56///"/>
    <s v=""/>
    <s v=""/>
    <s v=""/>
    <s v="135"/>
    <s v="31996"/>
    <s v="50000"/>
    <s v="80001"/>
    <s v="0160"/>
    <s v="0152"/>
    <s v=""/>
    <x v="350"/>
    <s v="43063 31996 50000 10160 20152 39536 40179 70522 80001 333 20135 59004 85070 555 00000 10146 ="/>
    <n v="135"/>
    <s v="Prakash"/>
    <s v="19/02/2013 10:10:35 AM"/>
    <n v="2012"/>
    <x v="11"/>
    <x v="15"/>
    <n v="15.2"/>
    <s v=""/>
    <n v="13.5"/>
  </r>
  <r>
    <s v="16/12/2012"/>
    <s v="43063"/>
    <x v="0"/>
    <s v="28"/>
    <s v="11"/>
    <s v="10126"/>
    <s v="7////"/>
    <s v="58013"/>
    <s v="30"/>
    <s v="///"/>
    <s v=""/>
    <s v=""/>
    <s v="56///"/>
    <s v=""/>
    <s v=""/>
    <s v="302"/>
    <s v=""/>
    <s v="32997"/>
    <s v="40901"/>
    <s v="80001"/>
    <s v="0278"/>
    <s v="0114"/>
    <s v=""/>
    <x v="350"/>
    <s v="43063 32997 40901 10278 20114 39511 40126 80001 333 10302 58013 84070 ="/>
    <m/>
    <s v="Prakash"/>
    <s v="19/02/2013 10:10:35 AM"/>
    <n v="2012"/>
    <x v="11"/>
    <x v="15"/>
    <n v="11.4"/>
    <n v="30.2"/>
    <s v=""/>
  </r>
  <r>
    <s v="17/12/2012"/>
    <s v="43063"/>
    <x v="0"/>
    <s v="28"/>
    <s v="12"/>
    <s v="10117"/>
    <s v="7////"/>
    <s v="59008"/>
    <s v="29"/>
    <s v="///"/>
    <s v=""/>
    <s v=""/>
    <s v="56///"/>
    <s v=""/>
    <s v=""/>
    <s v="295"/>
    <s v=""/>
    <s v="32997"/>
    <s v="30902"/>
    <s v="80001"/>
    <s v="0280"/>
    <s v="0121"/>
    <s v=""/>
    <x v="351"/>
    <s v="43063 32997 30902 10280 20121 39503 40117 80001 333 10295 59008 83070 ="/>
    <m/>
    <s v="Prakash"/>
    <s v="19/02/2013 10:10:35 AM"/>
    <n v="2012"/>
    <x v="11"/>
    <x v="16"/>
    <n v="12.1"/>
    <n v="29.5"/>
    <s v=""/>
  </r>
  <r>
    <s v="17/12/2012"/>
    <s v="43063"/>
    <x v="1"/>
    <s v="16"/>
    <s v="14"/>
    <s v="10181"/>
    <s v="70500"/>
    <s v="58004"/>
    <s v="///"/>
    <s v="13"/>
    <s v=""/>
    <s v=""/>
    <s v="56///"/>
    <s v=""/>
    <s v=""/>
    <s v=""/>
    <s v="125"/>
    <s v="31996"/>
    <s v="40000"/>
    <s v="80001"/>
    <s v="0162"/>
    <s v="0138"/>
    <s v=""/>
    <x v="351"/>
    <s v="43063 31996 40000 10162 20138 39540 40181 70500 80001 333 20125 58004 84070 555 00000 10146 ="/>
    <n v="125"/>
    <s v="Prakash"/>
    <s v="19/02/2013 10:10:35 AM"/>
    <n v="2012"/>
    <x v="11"/>
    <x v="16"/>
    <n v="13.8"/>
    <s v=""/>
    <n v="12.5"/>
  </r>
  <r>
    <s v="18/12/2012"/>
    <s v="43063"/>
    <x v="0"/>
    <s v="28"/>
    <s v="9"/>
    <s v="10118"/>
    <s v="7////"/>
    <s v="58001"/>
    <s v="30"/>
    <s v="///"/>
    <s v=""/>
    <s v=""/>
    <s v="56///"/>
    <s v=""/>
    <s v=""/>
    <s v="298"/>
    <s v=""/>
    <s v="32997"/>
    <s v="40502"/>
    <s v="80001"/>
    <s v="0280"/>
    <s v="0088"/>
    <s v=""/>
    <x v="352"/>
    <s v="43063 32997 40502 10280 20088 39504 40118 80001 333 10298 58001 84070 ="/>
    <m/>
    <s v="Prakash"/>
    <s v="19/02/2013 10:10:35 AM"/>
    <n v="2012"/>
    <x v="11"/>
    <x v="17"/>
    <n v="8.8000000000000007"/>
    <n v="29.8"/>
    <s v=""/>
  </r>
  <r>
    <s v="18/12/2012"/>
    <s v="43063"/>
    <x v="1"/>
    <s v="18"/>
    <s v="14"/>
    <s v="10185"/>
    <s v="70500"/>
    <s v="58007"/>
    <s v="///"/>
    <s v="13"/>
    <s v=""/>
    <s v=""/>
    <s v="56///"/>
    <s v=""/>
    <s v=""/>
    <s v=""/>
    <s v="131"/>
    <s v="31996"/>
    <s v="00000"/>
    <s v="/////"/>
    <s v="0176"/>
    <s v="0139"/>
    <s v=""/>
    <x v="352"/>
    <s v="43063 31996 00000 10176 20139 39547 40185 70500 333 20131 58007 555 00000 10146 ="/>
    <n v="131"/>
    <s v="Prakash"/>
    <s v="19/02/2013 10:10:35 AM"/>
    <n v="2012"/>
    <x v="11"/>
    <x v="17"/>
    <n v="13.9"/>
    <s v=""/>
    <n v="13.1"/>
  </r>
  <r>
    <s v="19/12/2012"/>
    <s v="43063"/>
    <x v="1"/>
    <s v="13"/>
    <s v="12"/>
    <s v="10185"/>
    <s v="70522"/>
    <s v="59012"/>
    <s v="///"/>
    <s v="10"/>
    <s v=""/>
    <s v=""/>
    <s v="56///"/>
    <s v=""/>
    <s v=""/>
    <s v=""/>
    <s v="103"/>
    <s v="31996"/>
    <s v="50000"/>
    <s v="80001"/>
    <s v="0130"/>
    <s v="0116"/>
    <s v=""/>
    <x v="353"/>
    <s v="43063 31996 50000 10130 20116 39535 40185 70522 80001 333 20103 59012 85070 555 10146 ="/>
    <n v="103"/>
    <s v="Prakash"/>
    <s v="19/02/2013 10:10:35 AM"/>
    <n v="2012"/>
    <x v="11"/>
    <x v="18"/>
    <n v="11.6"/>
    <s v=""/>
    <n v="10.3"/>
  </r>
  <r>
    <s v="19/12/2012"/>
    <s v="43063"/>
    <x v="0"/>
    <s v="25"/>
    <s v="10"/>
    <s v="10107"/>
    <s v="7////"/>
    <s v="59014"/>
    <s v="27"/>
    <s v="///"/>
    <s v=""/>
    <s v=""/>
    <s v="56///"/>
    <s v=""/>
    <s v=""/>
    <s v="272"/>
    <s v=""/>
    <s v="32997"/>
    <s v="50000"/>
    <s v="80001"/>
    <s v="0254"/>
    <s v="0098"/>
    <s v=""/>
    <x v="353"/>
    <s v="43063 32997 50000 10254 20098 39490 40107 80001 333 10272 59014 85070 ="/>
    <m/>
    <s v="Prakash"/>
    <s v="19/02/2013 10:10:35 AM"/>
    <n v="2012"/>
    <x v="11"/>
    <x v="18"/>
    <n v="9.8000000000000007"/>
    <n v="27.2"/>
    <s v=""/>
  </r>
  <r>
    <s v="20/12/2012"/>
    <s v="43063"/>
    <x v="1"/>
    <s v="15"/>
    <s v="12"/>
    <s v="10155"/>
    <s v="70522"/>
    <s v="59021"/>
    <s v="///"/>
    <s v="10"/>
    <s v=""/>
    <s v=""/>
    <s v="56///"/>
    <s v=""/>
    <s v=""/>
    <s v=""/>
    <s v="101"/>
    <s v="31996"/>
    <s v="60000"/>
    <s v="80001"/>
    <s v="0154"/>
    <s v="0119"/>
    <s v=""/>
    <x v="354"/>
    <s v="43063 31996 60000 10154 20119 39514 40155 70522 80001 333 20101 59021 86070 555 00000 10146 ="/>
    <n v="101"/>
    <s v="Prakash"/>
    <s v="19/02/2013 10:10:35 AM"/>
    <n v="2012"/>
    <x v="11"/>
    <x v="19"/>
    <n v="11.9"/>
    <s v=""/>
    <n v="10.1"/>
  </r>
  <r>
    <s v="20/12/2012"/>
    <s v="43063"/>
    <x v="0"/>
    <s v="27"/>
    <s v="10"/>
    <s v="10077"/>
    <s v="7////"/>
    <s v="59026"/>
    <s v="29"/>
    <s v="///"/>
    <s v=""/>
    <s v=""/>
    <s v="56///"/>
    <s v=""/>
    <s v=""/>
    <s v="287"/>
    <s v=""/>
    <s v="32997"/>
    <s v="30000"/>
    <s v="80001"/>
    <s v="0266"/>
    <s v="0101"/>
    <s v=""/>
    <x v="354"/>
    <s v="43063 32997 30000 10266 20101 39464 40077 80001 333 10287 59026 83070 ="/>
    <m/>
    <s v="Prakash"/>
    <s v="19/02/2013 10:10:35 AM"/>
    <n v="2012"/>
    <x v="11"/>
    <x v="19"/>
    <n v="10.1"/>
    <n v="28.7"/>
    <s v=""/>
  </r>
  <r>
    <s v="21/12/2012"/>
    <s v="43063"/>
    <x v="1"/>
    <s v="15"/>
    <s v="13"/>
    <s v="10147"/>
    <s v="70500"/>
    <s v="59009"/>
    <s v="///"/>
    <s v="10"/>
    <s v=""/>
    <s v=""/>
    <s v="56///"/>
    <s v=""/>
    <s v=""/>
    <s v=""/>
    <s v="100"/>
    <s v="31996"/>
    <s v="00000"/>
    <s v="/////"/>
    <s v="0146"/>
    <s v="0125"/>
    <s v=""/>
    <x v="355"/>
    <s v="43063 31996 00000 10146 20125 39505 40147 70500 333 20100 59009 555 00000 10146 ="/>
    <n v="100"/>
    <s v="Prakash"/>
    <s v="19/02/2013 10:10:35 AM"/>
    <n v="2012"/>
    <x v="11"/>
    <x v="20"/>
    <n v="12.5"/>
    <s v=""/>
    <n v="10"/>
  </r>
  <r>
    <s v="21/12/2012"/>
    <s v="43063"/>
    <x v="0"/>
    <s v="29"/>
    <s v="17"/>
    <s v="10074"/>
    <s v="7////"/>
    <s v="58003"/>
    <s v="31"/>
    <s v="///"/>
    <s v=""/>
    <s v=""/>
    <s v="56///"/>
    <s v=""/>
    <s v=""/>
    <s v="315"/>
    <s v=""/>
    <s v="32997"/>
    <s v="00000"/>
    <s v="/////"/>
    <s v="0292"/>
    <s v="0169"/>
    <s v=""/>
    <x v="355"/>
    <s v="43063 32997 00000 10292 20169 39467 40074 333 10315 58003 ="/>
    <m/>
    <s v="Prakash"/>
    <s v="19/02/2013 10:10:35 AM"/>
    <n v="2012"/>
    <x v="11"/>
    <x v="20"/>
    <n v="16.899999999999999"/>
    <n v="31.5"/>
    <s v=""/>
  </r>
  <r>
    <s v="22/12/2012"/>
    <s v="43063"/>
    <x v="0"/>
    <s v="29"/>
    <s v="14"/>
    <s v="10084"/>
    <s v="7////"/>
    <s v="58006"/>
    <s v="32"/>
    <s v="///"/>
    <s v=""/>
    <s v=""/>
    <s v="56///"/>
    <s v=""/>
    <s v=""/>
    <s v="317"/>
    <s v=""/>
    <s v="32997"/>
    <s v="30000"/>
    <s v="80001"/>
    <s v="0288"/>
    <s v="0141"/>
    <s v=""/>
    <x v="356"/>
    <s v="43063 32997 30000 10288 20141 39473 40084 80001 333 10317 58006 83070 ="/>
    <m/>
    <s v="Prakash"/>
    <s v="19/02/2013 10:10:35 AM"/>
    <n v="2012"/>
    <x v="11"/>
    <x v="21"/>
    <n v="14.1"/>
    <n v="31.7"/>
    <s v=""/>
  </r>
  <r>
    <s v="22/12/2012"/>
    <s v="43063"/>
    <x v="1"/>
    <s v="16"/>
    <s v="15"/>
    <s v="10159"/>
    <s v="70500"/>
    <s v="58013"/>
    <s v="///"/>
    <s v="13"/>
    <s v=""/>
    <s v=""/>
    <s v="56///"/>
    <s v=""/>
    <s v=""/>
    <s v=""/>
    <s v="126"/>
    <s v="31996"/>
    <s v="30000"/>
    <s v="80001"/>
    <s v="0160"/>
    <s v="0153"/>
    <s v=""/>
    <x v="356"/>
    <s v="43063 31996 30000 10160 20153 39518 40159 70500 80001 333 20126 58013 83070 555 00000 10146 ="/>
    <n v="126"/>
    <s v="Prakash"/>
    <s v="19/02/2013 10:10:35 AM"/>
    <n v="2012"/>
    <x v="11"/>
    <x v="21"/>
    <n v="15.3"/>
    <s v=""/>
    <n v="12.6"/>
  </r>
  <r>
    <s v="23/12/2012"/>
    <s v="43063"/>
    <x v="1"/>
    <s v="16"/>
    <s v="15"/>
    <s v="10156"/>
    <s v="70500"/>
    <s v="59003"/>
    <s v="///"/>
    <s v="14"/>
    <s v=""/>
    <s v=""/>
    <s v="56///"/>
    <s v=""/>
    <s v=""/>
    <s v=""/>
    <s v="140"/>
    <s v="31996"/>
    <s v="00000"/>
    <s v="/////"/>
    <s v="0160"/>
    <s v="0150"/>
    <s v=""/>
    <x v="357"/>
    <s v="43063 31996 00000 10160 20150 39515 40156 70500 333 20140 59003 555 00000 10146 ="/>
    <n v="140"/>
    <s v="Prakash"/>
    <s v="19/02/2013 10:10:35 AM"/>
    <n v="2012"/>
    <x v="11"/>
    <x v="22"/>
    <n v="15"/>
    <s v=""/>
    <n v="14"/>
  </r>
  <r>
    <s v="23/12/2012"/>
    <s v="43063"/>
    <x v="0"/>
    <s v="28"/>
    <s v="15"/>
    <s v="10087"/>
    <s v="7////"/>
    <s v="58001"/>
    <s v="31"/>
    <s v="///"/>
    <s v=""/>
    <s v=""/>
    <s v="56///"/>
    <s v=""/>
    <s v=""/>
    <s v="305"/>
    <s v=""/>
    <s v="32997"/>
    <s v="30000"/>
    <s v="80001"/>
    <s v="0280"/>
    <s v="0154"/>
    <s v=""/>
    <x v="357"/>
    <s v="43063 32997 30000 10280 20154 39474 40087 80001 333 10305 58001 83070 ="/>
    <m/>
    <s v="Prakash"/>
    <s v="19/02/2013 10:10:35 AM"/>
    <n v="2012"/>
    <x v="11"/>
    <x v="22"/>
    <n v="15.4"/>
    <n v="30.5"/>
    <s v=""/>
  </r>
  <r>
    <s v="24/12/2012"/>
    <s v="43063"/>
    <x v="1"/>
    <s v="16"/>
    <s v="14"/>
    <s v="10115"/>
    <s v="70522"/>
    <s v="59001"/>
    <s v="///"/>
    <s v="14"/>
    <s v=""/>
    <s v=""/>
    <s v="56///"/>
    <s v=""/>
    <s v=""/>
    <s v=""/>
    <s v="140"/>
    <s v="31796"/>
    <s v="50000"/>
    <s v="82031"/>
    <s v="0156"/>
    <s v="0139"/>
    <s v=""/>
    <x v="358"/>
    <s v="43063 31796 50000 10156 20139 39514 40115 70522 82031 333 20140 59001 82356 85070 555 00000 10146 ="/>
    <n v="140"/>
    <s v="Prakash"/>
    <s v="19/02/2013 10:10:35 AM"/>
    <n v="2012"/>
    <x v="11"/>
    <x v="23"/>
    <n v="13.9"/>
    <s v=""/>
    <n v="14"/>
  </r>
  <r>
    <s v="24/12/2012"/>
    <s v="43063"/>
    <x v="0"/>
    <s v="28"/>
    <s v="13"/>
    <s v="10065"/>
    <s v="7////"/>
    <s v="59018"/>
    <s v="30"/>
    <s v="///"/>
    <s v=""/>
    <s v=""/>
    <s v="56///"/>
    <s v=""/>
    <s v=""/>
    <s v="301"/>
    <s v=""/>
    <s v="32597"/>
    <s v="40000"/>
    <s v="82501"/>
    <s v="0282"/>
    <s v="0133"/>
    <s v=""/>
    <x v="358"/>
    <s v="43063 32597 40000 10282 20133 39456 40065 82501 333 10301 59018 82626 83070 ="/>
    <m/>
    <s v="Prakash"/>
    <s v="19/02/2013 10:10:35 AM"/>
    <n v="2012"/>
    <x v="11"/>
    <x v="23"/>
    <n v="13.3"/>
    <n v="30.1"/>
    <s v=""/>
  </r>
  <r>
    <s v="25/12/2012"/>
    <s v="43063"/>
    <x v="0"/>
    <s v="26"/>
    <s v="11"/>
    <s v="10086"/>
    <s v="7////"/>
    <s v="58005"/>
    <s v="28"/>
    <s v="///"/>
    <s v=""/>
    <s v=""/>
    <s v="56///"/>
    <s v=""/>
    <s v=""/>
    <s v="279"/>
    <s v=""/>
    <s v="32997"/>
    <s v="10901"/>
    <s v="80001"/>
    <s v="0264"/>
    <s v="0112"/>
    <s v=""/>
    <x v="359"/>
    <s v="43063 32997 10901 10264 20112 39471 40086 80001 333 10279 58005 81070 ="/>
    <m/>
    <s v="Prakash"/>
    <s v="19/02/2013 10:10:35 AM"/>
    <n v="2012"/>
    <x v="11"/>
    <x v="24"/>
    <n v="11.2"/>
    <n v="27.9"/>
    <s v=""/>
  </r>
  <r>
    <s v="25/12/2012"/>
    <s v="43063"/>
    <x v="1"/>
    <s v="16"/>
    <s v="15"/>
    <s v="10152"/>
    <s v="70521"/>
    <s v="59001"/>
    <s v="///"/>
    <s v="13"/>
    <s v=""/>
    <s v=""/>
    <s v="56///"/>
    <s v=""/>
    <s v=""/>
    <s v=""/>
    <s v="131"/>
    <s v="31996"/>
    <s v="20000"/>
    <s v="80001"/>
    <s v="0162"/>
    <s v="0152"/>
    <s v=""/>
    <x v="359"/>
    <s v="43063 31996 20000 10162 20152 39513 40152 70521 80001 333 20131 59001 82070 555 00000 10146 ="/>
    <n v="131"/>
    <s v="Prakash"/>
    <s v="19/02/2013 10:10:35 AM"/>
    <n v="2012"/>
    <x v="11"/>
    <x v="24"/>
    <n v="15.2"/>
    <s v=""/>
    <n v="13.1"/>
  </r>
  <r>
    <s v="26/12/2012"/>
    <s v="43063"/>
    <x v="1"/>
    <s v="14"/>
    <s v="11"/>
    <s v="10155"/>
    <s v="70500"/>
    <s v="59003"/>
    <s v="///"/>
    <s v="10"/>
    <s v=""/>
    <s v=""/>
    <s v="56///"/>
    <s v=""/>
    <s v=""/>
    <s v=""/>
    <s v="099"/>
    <s v="31996"/>
    <s v="10000"/>
    <s v="80001"/>
    <s v="0136"/>
    <s v="0114"/>
    <s v=""/>
    <x v="360"/>
    <s v="43063 31996 10000 10136 20114 39500 40155 70500 80001 333 20099 59003 81070 555 00000 10146 ="/>
    <n v="99"/>
    <s v="Prakash"/>
    <s v="19/02/2013 10:10:35 AM"/>
    <n v="2012"/>
    <x v="11"/>
    <x v="25"/>
    <n v="11.4"/>
    <s v=""/>
    <n v="9.9"/>
  </r>
  <r>
    <s v="26/12/2012"/>
    <s v="43063"/>
    <x v="0"/>
    <s v="25"/>
    <s v="7"/>
    <s v="10090"/>
    <s v="7////"/>
    <s v="58002"/>
    <s v="28"/>
    <s v="///"/>
    <s v=""/>
    <s v=""/>
    <s v="56///"/>
    <s v=""/>
    <s v=""/>
    <s v="279"/>
    <s v=""/>
    <s v="32997"/>
    <s v="01402"/>
    <s v="/////"/>
    <s v="0254"/>
    <s v="0073"/>
    <s v=""/>
    <x v="360"/>
    <s v="43063 32997 01402 10254 20073 39473 40090 333 10279 58002 ="/>
    <m/>
    <s v="Prakash"/>
    <s v="19/02/2013 10:10:35 AM"/>
    <n v="2012"/>
    <x v="11"/>
    <x v="25"/>
    <n v="7.3"/>
    <n v="27.9"/>
    <s v=""/>
  </r>
  <r>
    <s v="27/12/2012"/>
    <s v="43063"/>
    <x v="1"/>
    <s v="10"/>
    <s v="9"/>
    <s v="10159"/>
    <s v="70500"/>
    <s v="59003"/>
    <s v="///"/>
    <s v="7"/>
    <s v=""/>
    <s v=""/>
    <s v="56///"/>
    <s v=""/>
    <s v=""/>
    <s v=""/>
    <s v="074"/>
    <s v="31996"/>
    <s v="00000"/>
    <s v="/////"/>
    <s v="0104"/>
    <s v="0089"/>
    <s v=""/>
    <x v="361"/>
    <s v="43063 31996 00000 10104 20089 39507 40159 70500 333 20074 59003 555 00000 10146 ="/>
    <n v="74"/>
    <s v="Prakash"/>
    <s v="19/02/2013 10:10:35 AM"/>
    <n v="2012"/>
    <x v="11"/>
    <x v="26"/>
    <n v="8.9"/>
    <s v=""/>
    <n v="7.4"/>
  </r>
  <r>
    <s v="27/12/2012"/>
    <s v="43063"/>
    <x v="0"/>
    <s v="26"/>
    <s v="11"/>
    <s v="10080"/>
    <s v="7////"/>
    <s v="59006"/>
    <s v="29"/>
    <s v="///"/>
    <s v=""/>
    <s v=""/>
    <s v="56///"/>
    <s v=""/>
    <s v=""/>
    <s v="287"/>
    <s v=""/>
    <s v="32997"/>
    <s v="00000"/>
    <s v="/////"/>
    <s v="0264"/>
    <s v="0112"/>
    <s v=""/>
    <x v="361"/>
    <s v="43063 32997 00000 10264 20112 39467 40080 333 10287 59006 ="/>
    <m/>
    <s v="Prakash"/>
    <s v="19/02/2013 10:10:35 AM"/>
    <n v="2012"/>
    <x v="11"/>
    <x v="26"/>
    <n v="11.2"/>
    <n v="28.7"/>
    <s v=""/>
  </r>
  <r>
    <s v="28/12/2012"/>
    <s v="43063"/>
    <x v="0"/>
    <s v="28"/>
    <s v="11"/>
    <s v="10058"/>
    <s v="7////"/>
    <s v="59019"/>
    <s v="29"/>
    <s v="///"/>
    <s v=""/>
    <s v=""/>
    <s v="56///"/>
    <s v=""/>
    <s v=""/>
    <s v="295"/>
    <s v=""/>
    <s v="32997"/>
    <s v="60000"/>
    <s v="80001"/>
    <s v="0280"/>
    <s v="0112"/>
    <s v=""/>
    <x v="362"/>
    <s v="43063 32997 60000 10280 20112 39448 40058 80001 333 10295 59019 86070 ="/>
    <m/>
    <s v="Prakash"/>
    <s v="19/02/2013 10:10:35 AM"/>
    <n v="2012"/>
    <x v="11"/>
    <x v="27"/>
    <n v="11.2"/>
    <n v="29.5"/>
    <s v=""/>
  </r>
  <r>
    <s v="28/12/2012"/>
    <s v="43063"/>
    <x v="1"/>
    <s v="11"/>
    <s v="10"/>
    <s v="10135"/>
    <s v="70511"/>
    <s v="59020"/>
    <s v="///"/>
    <s v="8"/>
    <s v=""/>
    <s v=""/>
    <s v="56///"/>
    <s v=""/>
    <s v=""/>
    <s v=""/>
    <s v="078"/>
    <s v="31996"/>
    <s v="20000"/>
    <s v="80001"/>
    <s v="0114"/>
    <s v="0103"/>
    <s v=""/>
    <x v="362"/>
    <s v="43063 31996 20000 10114 20103 39487 40135 70511 80001 333 20078 59020 82070 555 00000 10146 ="/>
    <n v="78"/>
    <s v="Prakash"/>
    <s v="19/02/2013 10:10:35 AM"/>
    <n v="2012"/>
    <x v="11"/>
    <x v="27"/>
    <n v="10.3"/>
    <s v=""/>
    <n v="7.8"/>
  </r>
  <r>
    <s v="29/12/2012"/>
    <s v="43063"/>
    <x v="0"/>
    <s v="28"/>
    <s v="15"/>
    <s v="10061"/>
    <s v="7////"/>
    <s v="58004"/>
    <s v="30"/>
    <s v="///"/>
    <s v=""/>
    <s v=""/>
    <s v="56///"/>
    <s v=""/>
    <s v=""/>
    <s v="304"/>
    <s v=""/>
    <s v="32997"/>
    <s v="00000"/>
    <s v="/////"/>
    <s v="0282"/>
    <s v="0153"/>
    <s v=""/>
    <x v="363"/>
    <s v="43063 32997 00000 10282 20153 39452 40061 333 10304 58004 ="/>
    <m/>
    <s v="Prakash"/>
    <s v="19/02/2013 10:10:35 AM"/>
    <n v="2012"/>
    <x v="11"/>
    <x v="28"/>
    <n v="15.3"/>
    <n v="30.4"/>
    <s v=""/>
  </r>
  <r>
    <s v="29/12/2012"/>
    <s v="43063"/>
    <x v="1"/>
    <s v="13"/>
    <s v="12"/>
    <s v="10135"/>
    <s v="70522"/>
    <s v="58002"/>
    <s v="///"/>
    <s v="10"/>
    <s v=""/>
    <s v=""/>
    <s v="56///"/>
    <s v=""/>
    <s v=""/>
    <s v=""/>
    <s v="096"/>
    <s v="31996"/>
    <s v="40000"/>
    <s v="80001"/>
    <s v="0130"/>
    <s v="0119"/>
    <s v=""/>
    <x v="363"/>
    <s v="43063 31996 40000 10130 20119 39489 40135 70522 80001 333 20096 58002 84070 555 00000 10146 ="/>
    <n v="96"/>
    <s v="Prakash"/>
    <s v="19/02/2013 10:10:35 AM"/>
    <n v="2012"/>
    <x v="11"/>
    <x v="28"/>
    <n v="11.9"/>
    <s v=""/>
    <n v="9.6"/>
  </r>
  <r>
    <s v="30/12/2012"/>
    <s v="43063"/>
    <x v="0"/>
    <s v="30"/>
    <s v="17"/>
    <s v="10061"/>
    <s v="7////"/>
    <s v="58004"/>
    <s v="31"/>
    <s v="///"/>
    <s v=""/>
    <s v=""/>
    <s v="56///"/>
    <s v=""/>
    <s v=""/>
    <s v="313"/>
    <s v=""/>
    <s v="32996"/>
    <s v="20000"/>
    <s v="80001"/>
    <s v="0302"/>
    <s v="0167"/>
    <s v=""/>
    <x v="364"/>
    <s v="43063 32996 20000 10302 20167 39456 40061 80001 333 10313 58004 82070 ="/>
    <m/>
    <s v="Prakash"/>
    <s v="19/02/2013 10:10:35 AM"/>
    <n v="2012"/>
    <x v="11"/>
    <x v="29"/>
    <n v="16.7"/>
    <n v="31.3"/>
    <s v=""/>
  </r>
  <r>
    <s v="30/12/2012"/>
    <s v="43063"/>
    <x v="1"/>
    <s v="14"/>
    <s v="13"/>
    <s v="10130"/>
    <s v="70511"/>
    <s v="59002"/>
    <s v="///"/>
    <s v="11"/>
    <s v=""/>
    <s v=""/>
    <s v="56///"/>
    <s v=""/>
    <s v=""/>
    <s v=""/>
    <s v="109"/>
    <s v="31996"/>
    <s v="10000"/>
    <s v="80001"/>
    <s v="0136"/>
    <s v="0125"/>
    <s v=""/>
    <x v="364"/>
    <s v="43063 31996 10000 10136 20125 39487 40130 70511 80001 333 20109 59002 81070 555 00000 10146 ="/>
    <n v="109"/>
    <s v="Prakash"/>
    <s v="19/02/2013 10:10:35 AM"/>
    <n v="2012"/>
    <x v="11"/>
    <x v="29"/>
    <n v="12.5"/>
    <s v=""/>
    <n v="10.9"/>
  </r>
  <r>
    <s v="31/12/2012"/>
    <s v="43063"/>
    <x v="1"/>
    <s v="20"/>
    <s v="18"/>
    <s v="10118"/>
    <s v="70522"/>
    <s v="58001"/>
    <s v="///"/>
    <s v="17"/>
    <s v=""/>
    <s v=""/>
    <s v="56///"/>
    <s v=""/>
    <s v=""/>
    <s v=""/>
    <s v="172"/>
    <s v="31796"/>
    <s v="70000"/>
    <s v="85031"/>
    <s v="0200"/>
    <s v="0184"/>
    <s v=""/>
    <x v="365"/>
    <s v="43063 31796 70000 10200 20184 39488 40118 70522 85031 333 20172 58001 85356 555 00000 10146 ="/>
    <n v="172"/>
    <s v="Prakash"/>
    <s v="19/02/2013 10:10:35 AM"/>
    <n v="2012"/>
    <x v="11"/>
    <x v="30"/>
    <n v="18.399999999999999"/>
    <s v=""/>
    <n v="17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rowGrandTotals="0" colGrandTotals="0" itemPrintTitles="1" createdVersion="3" indent="0" compact="0" compactData="0" multipleFieldFilters="0">
  <location ref="A3:BU37" firstHeaderRow="1" firstDataRow="4" firstDataCol="1"/>
  <pivotFields count="34">
    <pivotField compact="0" outline="0" showAll="0" defaultSubtotal="0"/>
    <pivotField compact="0" outline="0" showAll="0" defaultSubtotal="0"/>
    <pivotField axis="axisCol" compact="0" outline="0" showAll="0" defaultSubtotal="0">
      <items count="2">
        <item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5" outline="0" showAll="0" defaultSubtota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compact="0" outline="0" showAll="0" defaultSubtota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dataField="1" compact="0" numFmtId="164" outline="0" showAll="0" defaultSubtotal="0"/>
    <pivotField dataField="1" compact="0" outline="0" showAll="0" defaultSubtotal="0"/>
    <pivotField dataField="1" compact="0" outline="0" showAll="0" defaultSubtotal="0"/>
  </pivotFields>
  <rowFields count="1">
    <field x="3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</rowItems>
  <colFields count="3">
    <field x="29"/>
    <field x="2"/>
    <field x="-2"/>
  </colFields>
  <colItems count="72">
    <i>
      <x/>
      <x/>
      <x/>
    </i>
    <i r="2" i="1">
      <x v="1"/>
    </i>
    <i r="2" i="2">
      <x v="2"/>
    </i>
    <i r="1">
      <x v="1"/>
      <x/>
    </i>
    <i r="2" i="1">
      <x v="1"/>
    </i>
    <i r="2" i="2">
      <x v="2"/>
    </i>
    <i>
      <x v="1"/>
      <x/>
      <x/>
    </i>
    <i r="2" i="1">
      <x v="1"/>
    </i>
    <i r="2" i="2">
      <x v="2"/>
    </i>
    <i r="1">
      <x v="1"/>
      <x/>
    </i>
    <i r="2" i="1">
      <x v="1"/>
    </i>
    <i r="2" i="2">
      <x v="2"/>
    </i>
    <i>
      <x v="2"/>
      <x/>
      <x/>
    </i>
    <i r="2" i="1">
      <x v="1"/>
    </i>
    <i r="2" i="2">
      <x v="2"/>
    </i>
    <i r="1">
      <x v="1"/>
      <x/>
    </i>
    <i r="2" i="1">
      <x v="1"/>
    </i>
    <i r="2" i="2">
      <x v="2"/>
    </i>
    <i>
      <x v="3"/>
      <x/>
      <x/>
    </i>
    <i r="2" i="1">
      <x v="1"/>
    </i>
    <i r="2" i="2">
      <x v="2"/>
    </i>
    <i r="1">
      <x v="1"/>
      <x/>
    </i>
    <i r="2" i="1">
      <x v="1"/>
    </i>
    <i r="2" i="2">
      <x v="2"/>
    </i>
    <i>
      <x v="4"/>
      <x/>
      <x/>
    </i>
    <i r="2" i="1">
      <x v="1"/>
    </i>
    <i r="2" i="2">
      <x v="2"/>
    </i>
    <i r="1">
      <x v="1"/>
      <x/>
    </i>
    <i r="2" i="1">
      <x v="1"/>
    </i>
    <i r="2" i="2">
      <x v="2"/>
    </i>
    <i>
      <x v="5"/>
      <x/>
      <x/>
    </i>
    <i r="2" i="1">
      <x v="1"/>
    </i>
    <i r="2" i="2">
      <x v="2"/>
    </i>
    <i r="1">
      <x v="1"/>
      <x/>
    </i>
    <i r="2" i="1">
      <x v="1"/>
    </i>
    <i r="2" i="2">
      <x v="2"/>
    </i>
    <i>
      <x v="6"/>
      <x/>
      <x/>
    </i>
    <i r="2" i="1">
      <x v="1"/>
    </i>
    <i r="2" i="2">
      <x v="2"/>
    </i>
    <i r="1">
      <x v="1"/>
      <x/>
    </i>
    <i r="2" i="1">
      <x v="1"/>
    </i>
    <i r="2" i="2">
      <x v="2"/>
    </i>
    <i>
      <x v="7"/>
      <x/>
      <x/>
    </i>
    <i r="2" i="1">
      <x v="1"/>
    </i>
    <i r="2" i="2">
      <x v="2"/>
    </i>
    <i r="1">
      <x v="1"/>
      <x/>
    </i>
    <i r="2" i="1">
      <x v="1"/>
    </i>
    <i r="2" i="2">
      <x v="2"/>
    </i>
    <i>
      <x v="8"/>
      <x/>
      <x/>
    </i>
    <i r="2" i="1">
      <x v="1"/>
    </i>
    <i r="2" i="2">
      <x v="2"/>
    </i>
    <i r="1">
      <x v="1"/>
      <x/>
    </i>
    <i r="2" i="1">
      <x v="1"/>
    </i>
    <i r="2" i="2">
      <x v="2"/>
    </i>
    <i>
      <x v="9"/>
      <x/>
      <x/>
    </i>
    <i r="2" i="1">
      <x v="1"/>
    </i>
    <i r="2" i="2">
      <x v="2"/>
    </i>
    <i r="1">
      <x v="1"/>
      <x/>
    </i>
    <i r="2" i="1">
      <x v="1"/>
    </i>
    <i r="2" i="2">
      <x v="2"/>
    </i>
    <i>
      <x v="10"/>
      <x/>
      <x/>
    </i>
    <i r="2" i="1">
      <x v="1"/>
    </i>
    <i r="2" i="2">
      <x v="2"/>
    </i>
    <i r="1">
      <x v="1"/>
      <x/>
    </i>
    <i r="2" i="1">
      <x v="1"/>
    </i>
    <i r="2" i="2">
      <x v="2"/>
    </i>
    <i>
      <x v="11"/>
      <x/>
      <x/>
    </i>
    <i r="2" i="1">
      <x v="1"/>
    </i>
    <i r="2" i="2">
      <x v="2"/>
    </i>
    <i r="1">
      <x v="1"/>
      <x/>
    </i>
    <i r="2" i="1">
      <x v="1"/>
    </i>
    <i r="2" i="2">
      <x v="2"/>
    </i>
  </colItems>
  <dataFields count="3">
    <dataField name="Max of Dew" fld="31" subtotal="max" baseField="0" baseItem="0"/>
    <dataField name="Max of Min" fld="33" subtotal="max" baseField="0" baseItem="0"/>
    <dataField name="Max of Max" fld="32" subtotal="max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AH732" totalsRowShown="0" headerRowDxfId="170" dataDxfId="168" headerRowBorderDxfId="169" tableBorderDxfId="167" headerRowCellStyle="Normal_Sheet1" dataCellStyle="Normal_Sheet1">
  <autoFilter ref="A1:AH732"/>
  <sortState ref="A2:AH732">
    <sortCondition ref="C2:C732"/>
    <sortCondition ref="X2:X732"/>
  </sortState>
  <tableColumns count="34">
    <tableColumn id="1" name="synop_date" dataDxfId="166" dataCellStyle="Normal_Sheet1"/>
    <tableColumn id="2" name="synop_station_index" dataDxfId="165" dataCellStyle="Normal_Sheet1"/>
    <tableColumn id="3" name="synop_gmt" dataDxfId="164" dataCellStyle="Normal_Sheet1"/>
    <tableColumn id="4" name="synop_dry" dataDxfId="163" dataCellStyle="Normal_Sheet1"/>
    <tableColumn id="5" name="synop_dew" dataDxfId="162" dataCellStyle="Normal_Sheet1"/>
    <tableColumn id="6" name="synop_pressure" dataDxfId="161" dataCellStyle="Normal_Sheet1"/>
    <tableColumn id="7" name="synop_wx" dataDxfId="160" dataCellStyle="Normal_Sheet1"/>
    <tableColumn id="8" name="synop_p24" dataDxfId="159" dataCellStyle="Normal_Sheet1"/>
    <tableColumn id="9" name="synop_max" dataDxfId="158" dataCellStyle="Normal_Sheet1"/>
    <tableColumn id="10" name="synop_min" dataDxfId="157" dataCellStyle="Normal_Sheet1"/>
    <tableColumn id="11" name="synop_rain" dataDxfId="156" dataCellStyle="Normal_Sheet1"/>
    <tableColumn id="12" name="synop_actualrain" dataDxfId="155" dataCellStyle="Normal_Sheet1"/>
    <tableColumn id="13" name="synop_cloud" dataDxfId="154" dataCellStyle="Normal_Sheet1"/>
    <tableColumn id="14" name="synop_stationname" dataDxfId="153" dataCellStyle="Normal_Sheet1"/>
    <tableColumn id="15" name="synop_seasonal" dataDxfId="152" dataCellStyle="Normal_Sheet1"/>
    <tableColumn id="16" name="AMAX" dataDxfId="151" dataCellStyle="Normal_Sheet1"/>
    <tableColumn id="17" name="AMIN" dataDxfId="150" dataCellStyle="Normal_Sheet1"/>
    <tableColumn id="18" name="vis" dataDxfId="149" dataCellStyle="Normal_Sheet1"/>
    <tableColumn id="19" name="nddf" dataDxfId="148" dataCellStyle="Normal_Sheet1"/>
    <tableColumn id="20" name="cloud" dataDxfId="147" dataCellStyle="Normal_Sheet1"/>
    <tableColumn id="21" name="synop_dryf" dataDxfId="146" dataCellStyle="Normal_Sheet1"/>
    <tableColumn id="22" name="synop_dewf" dataDxfId="145" dataCellStyle="Normal_Sheet1"/>
    <tableColumn id="23" name="rh" dataDxfId="144" dataCellStyle="Normal_Sheet1"/>
    <tableColumn id="24" name="date_stn" dataDxfId="143" dataCellStyle="Normal_Sheet1"/>
    <tableColumn id="25" name="onelinesynop" dataDxfId="142" dataCellStyle="Normal_Sheet1"/>
    <tableColumn id="26" name="minimum_temperature" dataDxfId="141" dataCellStyle="Normal_Sheet1"/>
    <tableColumn id="27" name="synop_add_by" dataDxfId="140" dataCellStyle="Normal_Sheet1"/>
    <tableColumn id="28" name="synop_added_time" dataDxfId="139" dataCellStyle="Normal_Sheet1"/>
    <tableColumn id="32" name="Year" dataDxfId="138" dataCellStyle="Normal_Sheet1">
      <calculatedColumnFormula>YEAR(X2)</calculatedColumnFormula>
    </tableColumn>
    <tableColumn id="33" name="Month" dataDxfId="137" dataCellStyle="Normal_Sheet1">
      <calculatedColumnFormula>MONTH(X2)</calculatedColumnFormula>
    </tableColumn>
    <tableColumn id="34" name="Day" dataDxfId="136" dataCellStyle="Normal_Sheet1">
      <calculatedColumnFormula>DAY(X2)</calculatedColumnFormula>
    </tableColumn>
    <tableColumn id="29" name="Dew" dataDxfId="135" dataCellStyle="Normal_Sheet1">
      <calculatedColumnFormula>IF(LEN(V2)&gt;0,V2/10,"")</calculatedColumnFormula>
    </tableColumn>
    <tableColumn id="30" name="Max" dataDxfId="134" dataCellStyle="Normal_Sheet1">
      <calculatedColumnFormula>IF(LEN(P2)&gt;0,P2/10,"")</calculatedColumnFormula>
    </tableColumn>
    <tableColumn id="31" name="Min" dataDxfId="133" dataCellStyle="Normal_Sheet1">
      <calculatedColumnFormula>IF(LEN(Q2)&gt;0,Q2/10,"")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U37"/>
  <sheetViews>
    <sheetView topLeftCell="A10" workbookViewId="0">
      <selection activeCell="A4" sqref="A1:XFD1048576"/>
    </sheetView>
  </sheetViews>
  <sheetFormatPr defaultRowHeight="14.5" x14ac:dyDescent="0.35"/>
  <cols>
    <col min="1" max="1" width="6.54296875" customWidth="1"/>
    <col min="2" max="2" width="13" customWidth="1"/>
    <col min="3" max="7" width="13" bestFit="1" customWidth="1"/>
    <col min="8" max="10" width="13" customWidth="1"/>
    <col min="11" max="73" width="13" bestFit="1" customWidth="1"/>
  </cols>
  <sheetData>
    <row r="3" spans="1:73" x14ac:dyDescent="0.35">
      <c r="B3" s="9" t="s">
        <v>2378</v>
      </c>
      <c r="C3" s="9" t="s">
        <v>2</v>
      </c>
      <c r="D3" s="9" t="s">
        <v>2380</v>
      </c>
    </row>
    <row r="4" spans="1:73" x14ac:dyDescent="0.35">
      <c r="B4">
        <v>1</v>
      </c>
      <c r="H4">
        <v>2</v>
      </c>
      <c r="N4">
        <v>3</v>
      </c>
      <c r="T4">
        <v>4</v>
      </c>
      <c r="Z4">
        <v>5</v>
      </c>
      <c r="AF4">
        <v>6</v>
      </c>
      <c r="AL4">
        <v>7</v>
      </c>
      <c r="AR4">
        <v>8</v>
      </c>
      <c r="AX4">
        <v>9</v>
      </c>
      <c r="BD4">
        <v>10</v>
      </c>
      <c r="BJ4">
        <v>11</v>
      </c>
      <c r="BP4">
        <v>12</v>
      </c>
    </row>
    <row r="5" spans="1:73" x14ac:dyDescent="0.35">
      <c r="B5" t="s">
        <v>49</v>
      </c>
      <c r="E5" t="s">
        <v>30</v>
      </c>
      <c r="H5" t="s">
        <v>49</v>
      </c>
      <c r="K5" t="s">
        <v>30</v>
      </c>
      <c r="N5" t="s">
        <v>49</v>
      </c>
      <c r="Q5" t="s">
        <v>30</v>
      </c>
      <c r="T5" t="s">
        <v>49</v>
      </c>
      <c r="W5" t="s">
        <v>30</v>
      </c>
      <c r="Z5" t="s">
        <v>49</v>
      </c>
      <c r="AC5" t="s">
        <v>30</v>
      </c>
      <c r="AF5" t="s">
        <v>49</v>
      </c>
      <c r="AI5" t="s">
        <v>30</v>
      </c>
      <c r="AL5" t="s">
        <v>49</v>
      </c>
      <c r="AO5" t="s">
        <v>30</v>
      </c>
      <c r="AR5" t="s">
        <v>49</v>
      </c>
      <c r="AU5" t="s">
        <v>30</v>
      </c>
      <c r="AX5" t="s">
        <v>49</v>
      </c>
      <c r="BA5" t="s">
        <v>30</v>
      </c>
      <c r="BD5" t="s">
        <v>49</v>
      </c>
      <c r="BG5" t="s">
        <v>30</v>
      </c>
      <c r="BJ5" t="s">
        <v>49</v>
      </c>
      <c r="BM5" t="s">
        <v>30</v>
      </c>
      <c r="BP5" t="s">
        <v>49</v>
      </c>
      <c r="BS5" t="s">
        <v>30</v>
      </c>
    </row>
    <row r="6" spans="1:73" x14ac:dyDescent="0.35">
      <c r="A6" s="9" t="s">
        <v>2379</v>
      </c>
      <c r="B6" t="s">
        <v>2374</v>
      </c>
      <c r="C6" t="s">
        <v>2375</v>
      </c>
      <c r="D6" t="s">
        <v>2376</v>
      </c>
      <c r="E6" t="s">
        <v>2374</v>
      </c>
      <c r="F6" t="s">
        <v>2375</v>
      </c>
      <c r="G6" t="s">
        <v>2376</v>
      </c>
      <c r="H6" t="s">
        <v>2374</v>
      </c>
      <c r="I6" t="s">
        <v>2375</v>
      </c>
      <c r="J6" t="s">
        <v>2376</v>
      </c>
      <c r="K6" t="s">
        <v>2374</v>
      </c>
      <c r="L6" t="s">
        <v>2375</v>
      </c>
      <c r="M6" t="s">
        <v>2376</v>
      </c>
      <c r="N6" t="s">
        <v>2374</v>
      </c>
      <c r="O6" t="s">
        <v>2375</v>
      </c>
      <c r="P6" t="s">
        <v>2376</v>
      </c>
      <c r="Q6" t="s">
        <v>2374</v>
      </c>
      <c r="R6" t="s">
        <v>2375</v>
      </c>
      <c r="S6" t="s">
        <v>2376</v>
      </c>
      <c r="T6" t="s">
        <v>2374</v>
      </c>
      <c r="U6" t="s">
        <v>2375</v>
      </c>
      <c r="V6" t="s">
        <v>2376</v>
      </c>
      <c r="W6" t="s">
        <v>2374</v>
      </c>
      <c r="X6" t="s">
        <v>2375</v>
      </c>
      <c r="Y6" t="s">
        <v>2376</v>
      </c>
      <c r="Z6" t="s">
        <v>2374</v>
      </c>
      <c r="AA6" t="s">
        <v>2375</v>
      </c>
      <c r="AB6" t="s">
        <v>2376</v>
      </c>
      <c r="AC6" t="s">
        <v>2374</v>
      </c>
      <c r="AD6" t="s">
        <v>2375</v>
      </c>
      <c r="AE6" t="s">
        <v>2376</v>
      </c>
      <c r="AF6" t="s">
        <v>2374</v>
      </c>
      <c r="AG6" t="s">
        <v>2375</v>
      </c>
      <c r="AH6" t="s">
        <v>2376</v>
      </c>
      <c r="AI6" t="s">
        <v>2374</v>
      </c>
      <c r="AJ6" t="s">
        <v>2375</v>
      </c>
      <c r="AK6" t="s">
        <v>2376</v>
      </c>
      <c r="AL6" t="s">
        <v>2374</v>
      </c>
      <c r="AM6" t="s">
        <v>2375</v>
      </c>
      <c r="AN6" t="s">
        <v>2376</v>
      </c>
      <c r="AO6" t="s">
        <v>2374</v>
      </c>
      <c r="AP6" t="s">
        <v>2375</v>
      </c>
      <c r="AQ6" t="s">
        <v>2376</v>
      </c>
      <c r="AR6" t="s">
        <v>2374</v>
      </c>
      <c r="AS6" t="s">
        <v>2375</v>
      </c>
      <c r="AT6" t="s">
        <v>2376</v>
      </c>
      <c r="AU6" t="s">
        <v>2374</v>
      </c>
      <c r="AV6" t="s">
        <v>2375</v>
      </c>
      <c r="AW6" t="s">
        <v>2376</v>
      </c>
      <c r="AX6" t="s">
        <v>2374</v>
      </c>
      <c r="AY6" t="s">
        <v>2375</v>
      </c>
      <c r="AZ6" t="s">
        <v>2376</v>
      </c>
      <c r="BA6" t="s">
        <v>2374</v>
      </c>
      <c r="BB6" t="s">
        <v>2375</v>
      </c>
      <c r="BC6" t="s">
        <v>2376</v>
      </c>
      <c r="BD6" t="s">
        <v>2374</v>
      </c>
      <c r="BE6" t="s">
        <v>2375</v>
      </c>
      <c r="BF6" t="s">
        <v>2376</v>
      </c>
      <c r="BG6" t="s">
        <v>2374</v>
      </c>
      <c r="BH6" t="s">
        <v>2375</v>
      </c>
      <c r="BI6" t="s">
        <v>2376</v>
      </c>
      <c r="BJ6" t="s">
        <v>2374</v>
      </c>
      <c r="BK6" t="s">
        <v>2375</v>
      </c>
      <c r="BL6" t="s">
        <v>2376</v>
      </c>
      <c r="BM6" t="s">
        <v>2374</v>
      </c>
      <c r="BN6" t="s">
        <v>2375</v>
      </c>
      <c r="BO6" t="s">
        <v>2376</v>
      </c>
      <c r="BP6" t="s">
        <v>2374</v>
      </c>
      <c r="BQ6" t="s">
        <v>2375</v>
      </c>
      <c r="BR6" t="s">
        <v>2376</v>
      </c>
      <c r="BS6" t="s">
        <v>2374</v>
      </c>
      <c r="BT6" t="s">
        <v>2375</v>
      </c>
      <c r="BU6" t="s">
        <v>2376</v>
      </c>
    </row>
    <row r="7" spans="1:73" x14ac:dyDescent="0.35">
      <c r="A7">
        <v>1</v>
      </c>
      <c r="B7" s="10">
        <v>16.8</v>
      </c>
      <c r="C7" s="10">
        <v>18.100000000000001</v>
      </c>
      <c r="D7" s="10">
        <v>0</v>
      </c>
      <c r="E7" s="10">
        <v>16.399999999999999</v>
      </c>
      <c r="F7" s="10">
        <v>0</v>
      </c>
      <c r="G7" s="10">
        <v>30.6</v>
      </c>
      <c r="H7" s="10">
        <v>13.5</v>
      </c>
      <c r="I7" s="10">
        <v>13.1</v>
      </c>
      <c r="J7" s="10">
        <v>0</v>
      </c>
      <c r="K7" s="10">
        <v>8.5</v>
      </c>
      <c r="L7" s="10">
        <v>0</v>
      </c>
      <c r="M7" s="10">
        <v>30</v>
      </c>
      <c r="N7" s="10">
        <v>10.9</v>
      </c>
      <c r="O7" s="10">
        <v>9.8000000000000007</v>
      </c>
      <c r="P7" s="10">
        <v>0</v>
      </c>
      <c r="Q7" s="10">
        <v>1.1000000000000001</v>
      </c>
      <c r="R7" s="10">
        <v>0</v>
      </c>
      <c r="S7" s="10">
        <v>32.700000000000003</v>
      </c>
      <c r="T7" s="10">
        <v>16.2</v>
      </c>
      <c r="U7" s="10">
        <v>19.7</v>
      </c>
      <c r="V7" s="10">
        <v>0</v>
      </c>
      <c r="W7" s="10">
        <v>8.8000000000000007</v>
      </c>
      <c r="X7" s="10">
        <v>0</v>
      </c>
      <c r="Y7" s="10">
        <v>38.5</v>
      </c>
      <c r="Z7" s="10">
        <v>14.1</v>
      </c>
      <c r="AA7" s="10">
        <v>18.5</v>
      </c>
      <c r="AB7" s="10">
        <v>0</v>
      </c>
      <c r="AC7" s="10">
        <v>9.6</v>
      </c>
      <c r="AD7" s="10">
        <v>0</v>
      </c>
      <c r="AE7" s="10">
        <v>37.1</v>
      </c>
      <c r="AF7" s="10">
        <v>18.8</v>
      </c>
      <c r="AG7" s="10">
        <v>23.8</v>
      </c>
      <c r="AH7" s="10">
        <v>0</v>
      </c>
      <c r="AI7" s="10">
        <v>14.7</v>
      </c>
      <c r="AJ7" s="10">
        <v>0</v>
      </c>
      <c r="AK7" s="10">
        <v>35.700000000000003</v>
      </c>
      <c r="AL7" s="10">
        <v>19.600000000000001</v>
      </c>
      <c r="AM7" s="10">
        <v>23.6</v>
      </c>
      <c r="AN7" s="10">
        <v>0</v>
      </c>
      <c r="AO7" s="10">
        <v>22</v>
      </c>
      <c r="AP7" s="10">
        <v>0</v>
      </c>
      <c r="AQ7" s="10">
        <v>33</v>
      </c>
      <c r="AR7" s="10">
        <v>21.5</v>
      </c>
      <c r="AS7" s="10">
        <v>19.2</v>
      </c>
      <c r="AT7" s="10">
        <v>0</v>
      </c>
      <c r="AU7" s="10">
        <v>21.7</v>
      </c>
      <c r="AV7" s="10">
        <v>0</v>
      </c>
      <c r="AW7" s="10">
        <v>26</v>
      </c>
      <c r="AX7" s="10">
        <v>21.2</v>
      </c>
      <c r="AY7" s="10">
        <v>22.1</v>
      </c>
      <c r="AZ7" s="10">
        <v>0</v>
      </c>
      <c r="BA7" s="10">
        <v>22.3</v>
      </c>
      <c r="BB7" s="10">
        <v>0</v>
      </c>
      <c r="BC7" s="10">
        <v>29.8</v>
      </c>
      <c r="BD7" s="10">
        <v>22.5</v>
      </c>
      <c r="BE7" s="10">
        <v>21.5</v>
      </c>
      <c r="BF7" s="10">
        <v>0</v>
      </c>
      <c r="BG7" s="10">
        <v>22.4</v>
      </c>
      <c r="BH7" s="10">
        <v>0</v>
      </c>
      <c r="BI7" s="10">
        <v>30.1</v>
      </c>
      <c r="BJ7" s="10">
        <v>16.600000000000001</v>
      </c>
      <c r="BK7" s="10">
        <v>15.1</v>
      </c>
      <c r="BL7" s="10">
        <v>0</v>
      </c>
      <c r="BM7" s="10">
        <v>16.899999999999999</v>
      </c>
      <c r="BN7" s="10">
        <v>0</v>
      </c>
      <c r="BO7" s="10">
        <v>28.1</v>
      </c>
      <c r="BP7" s="10">
        <v>13.7</v>
      </c>
      <c r="BQ7" s="10">
        <v>12</v>
      </c>
      <c r="BR7" s="10">
        <v>0</v>
      </c>
      <c r="BS7" s="10">
        <v>13.4</v>
      </c>
      <c r="BT7" s="10">
        <v>0</v>
      </c>
      <c r="BU7" s="10">
        <v>31.8</v>
      </c>
    </row>
    <row r="8" spans="1:73" x14ac:dyDescent="0.35">
      <c r="A8">
        <v>2</v>
      </c>
      <c r="B8" s="10">
        <v>15.3</v>
      </c>
      <c r="C8" s="10">
        <v>15.3</v>
      </c>
      <c r="D8" s="10">
        <v>0</v>
      </c>
      <c r="E8" s="10">
        <v>17.8</v>
      </c>
      <c r="F8" s="10">
        <v>0</v>
      </c>
      <c r="G8" s="10">
        <v>30.9</v>
      </c>
      <c r="H8" s="10">
        <v>13.5</v>
      </c>
      <c r="I8" s="10">
        <v>12.7</v>
      </c>
      <c r="J8" s="10">
        <v>0</v>
      </c>
      <c r="K8" s="10">
        <v>8.6</v>
      </c>
      <c r="L8" s="10">
        <v>0</v>
      </c>
      <c r="M8" s="10">
        <v>30.1</v>
      </c>
      <c r="N8" s="10">
        <v>7.8</v>
      </c>
      <c r="O8" s="10">
        <v>8.8000000000000007</v>
      </c>
      <c r="P8" s="10">
        <v>0</v>
      </c>
      <c r="Q8" s="10">
        <v>4.3</v>
      </c>
      <c r="R8" s="10">
        <v>0</v>
      </c>
      <c r="S8" s="10">
        <v>32.200000000000003</v>
      </c>
      <c r="T8" s="10">
        <v>15.4</v>
      </c>
      <c r="U8" s="10">
        <v>20</v>
      </c>
      <c r="V8" s="10">
        <v>0</v>
      </c>
      <c r="W8" s="10">
        <v>26.3</v>
      </c>
      <c r="X8" s="10">
        <v>0</v>
      </c>
      <c r="Y8" s="10">
        <v>38.799999999999997</v>
      </c>
      <c r="Z8" s="10">
        <v>8.4</v>
      </c>
      <c r="AA8" s="10">
        <v>17.899999999999999</v>
      </c>
      <c r="AB8" s="10">
        <v>0</v>
      </c>
      <c r="AC8" s="10">
        <v>9.1</v>
      </c>
      <c r="AD8" s="10">
        <v>0</v>
      </c>
      <c r="AE8" s="10">
        <v>37.5</v>
      </c>
      <c r="AF8" s="10">
        <v>19.600000000000001</v>
      </c>
      <c r="AG8" s="10">
        <v>23.7</v>
      </c>
      <c r="AH8" s="10">
        <v>0</v>
      </c>
      <c r="AI8" s="10">
        <v>15.9</v>
      </c>
      <c r="AJ8" s="10">
        <v>0</v>
      </c>
      <c r="AK8" s="10">
        <v>35.1</v>
      </c>
      <c r="AL8" s="10">
        <v>22.4</v>
      </c>
      <c r="AM8" s="10">
        <v>22.4</v>
      </c>
      <c r="AN8" s="10">
        <v>0</v>
      </c>
      <c r="AO8" s="10">
        <v>20.6</v>
      </c>
      <c r="AP8" s="10">
        <v>0</v>
      </c>
      <c r="AQ8" s="10">
        <v>33.4</v>
      </c>
      <c r="AR8" s="10">
        <v>21.8</v>
      </c>
      <c r="AS8" s="10">
        <v>22</v>
      </c>
      <c r="AT8" s="10">
        <v>0</v>
      </c>
      <c r="AU8" s="10">
        <v>21.6</v>
      </c>
      <c r="AV8" s="10">
        <v>0</v>
      </c>
      <c r="AW8" s="10">
        <v>28.1</v>
      </c>
      <c r="AX8" s="10">
        <v>22.4</v>
      </c>
      <c r="AY8" s="10">
        <v>22.1</v>
      </c>
      <c r="AZ8" s="10">
        <v>0</v>
      </c>
      <c r="BA8" s="10">
        <v>22.3</v>
      </c>
      <c r="BB8" s="10">
        <v>0</v>
      </c>
      <c r="BC8" s="10">
        <v>29.8</v>
      </c>
      <c r="BD8" s="10">
        <v>21.8</v>
      </c>
      <c r="BE8" s="10">
        <v>20.6</v>
      </c>
      <c r="BF8" s="10">
        <v>0</v>
      </c>
      <c r="BG8" s="10">
        <v>21.7</v>
      </c>
      <c r="BH8" s="10">
        <v>0</v>
      </c>
      <c r="BI8" s="10">
        <v>30.8</v>
      </c>
      <c r="BJ8" s="10">
        <v>17.3</v>
      </c>
      <c r="BK8" s="10">
        <v>19</v>
      </c>
      <c r="BL8" s="10">
        <v>0</v>
      </c>
      <c r="BM8" s="10">
        <v>21.1</v>
      </c>
      <c r="BN8" s="10">
        <v>0</v>
      </c>
      <c r="BO8" s="10">
        <v>30.8</v>
      </c>
      <c r="BP8" s="10">
        <v>15.7</v>
      </c>
      <c r="BQ8" s="10">
        <v>13.6</v>
      </c>
      <c r="BR8" s="10">
        <v>0</v>
      </c>
      <c r="BS8" s="10">
        <v>18.100000000000001</v>
      </c>
      <c r="BT8" s="10">
        <v>0</v>
      </c>
      <c r="BU8" s="10">
        <v>31</v>
      </c>
    </row>
    <row r="9" spans="1:73" x14ac:dyDescent="0.35">
      <c r="A9">
        <v>3</v>
      </c>
      <c r="B9" s="10">
        <v>15.8</v>
      </c>
      <c r="C9" s="10">
        <v>14.9</v>
      </c>
      <c r="D9" s="10">
        <v>0</v>
      </c>
      <c r="E9" s="10">
        <v>13.9</v>
      </c>
      <c r="F9" s="10">
        <v>0</v>
      </c>
      <c r="G9" s="10">
        <v>31.4</v>
      </c>
      <c r="H9" s="10">
        <v>12.3</v>
      </c>
      <c r="I9" s="10">
        <v>11.8</v>
      </c>
      <c r="J9" s="10">
        <v>0</v>
      </c>
      <c r="K9" s="10">
        <v>9.6</v>
      </c>
      <c r="L9" s="10">
        <v>0</v>
      </c>
      <c r="M9" s="10">
        <v>30.5</v>
      </c>
      <c r="N9" s="10">
        <v>13.6</v>
      </c>
      <c r="O9" s="10">
        <v>12.2</v>
      </c>
      <c r="P9" s="10">
        <v>0</v>
      </c>
      <c r="Q9" s="10">
        <v>8.6</v>
      </c>
      <c r="R9" s="10">
        <v>0</v>
      </c>
      <c r="S9" s="10">
        <v>33.6</v>
      </c>
      <c r="T9" s="10">
        <v>18.3</v>
      </c>
      <c r="U9" s="10">
        <v>22.3</v>
      </c>
      <c r="V9" s="10">
        <v>0</v>
      </c>
      <c r="W9" s="10">
        <v>15.1</v>
      </c>
      <c r="X9" s="10">
        <v>0</v>
      </c>
      <c r="Y9" s="10">
        <v>38.799999999999997</v>
      </c>
      <c r="Z9" s="10">
        <v>11.6</v>
      </c>
      <c r="AA9" s="10">
        <v>18.3</v>
      </c>
      <c r="AB9" s="10">
        <v>0</v>
      </c>
      <c r="AC9" s="10">
        <v>13.4</v>
      </c>
      <c r="AD9" s="10">
        <v>0</v>
      </c>
      <c r="AE9" s="10">
        <v>38.200000000000003</v>
      </c>
      <c r="AF9" s="10">
        <v>19.8</v>
      </c>
      <c r="AG9" s="10">
        <v>24.8</v>
      </c>
      <c r="AH9" s="10">
        <v>0</v>
      </c>
      <c r="AI9" s="10">
        <v>17.899999999999999</v>
      </c>
      <c r="AJ9" s="10">
        <v>0</v>
      </c>
      <c r="AK9" s="10">
        <v>36.1</v>
      </c>
      <c r="AL9" s="10">
        <v>21.4</v>
      </c>
      <c r="AM9" s="10">
        <v>23.2</v>
      </c>
      <c r="AN9" s="10">
        <v>0</v>
      </c>
      <c r="AO9" s="10">
        <v>20.3</v>
      </c>
      <c r="AP9" s="10">
        <v>0</v>
      </c>
      <c r="AQ9" s="10">
        <v>32</v>
      </c>
      <c r="AR9" s="10">
        <v>21.2</v>
      </c>
      <c r="AS9" s="10">
        <v>22.5</v>
      </c>
      <c r="AT9" s="10">
        <v>0</v>
      </c>
      <c r="AU9" s="10">
        <v>21.5</v>
      </c>
      <c r="AV9" s="10">
        <v>0</v>
      </c>
      <c r="AW9" s="10">
        <v>27.6</v>
      </c>
      <c r="AX9" s="10">
        <v>22.8</v>
      </c>
      <c r="AY9" s="10">
        <v>22.6</v>
      </c>
      <c r="AZ9" s="10">
        <v>0</v>
      </c>
      <c r="BA9" s="10">
        <v>21.7</v>
      </c>
      <c r="BB9" s="10">
        <v>0</v>
      </c>
      <c r="BC9" s="10">
        <v>26.3</v>
      </c>
      <c r="BD9" s="10">
        <v>20.7</v>
      </c>
      <c r="BE9" s="10">
        <v>21.3</v>
      </c>
      <c r="BF9" s="10">
        <v>0</v>
      </c>
      <c r="BG9" s="10">
        <v>21.9</v>
      </c>
      <c r="BH9" s="10">
        <v>0</v>
      </c>
      <c r="BI9" s="10">
        <v>30.1</v>
      </c>
      <c r="BJ9" s="10">
        <v>20.3</v>
      </c>
      <c r="BK9" s="10">
        <v>19.2</v>
      </c>
      <c r="BL9" s="10">
        <v>0</v>
      </c>
      <c r="BM9" s="10">
        <v>20.2</v>
      </c>
      <c r="BN9" s="10">
        <v>0</v>
      </c>
      <c r="BO9" s="10">
        <v>31.9</v>
      </c>
      <c r="BP9" s="10">
        <v>15.6</v>
      </c>
      <c r="BQ9" s="10">
        <v>15.1</v>
      </c>
      <c r="BR9" s="10">
        <v>0</v>
      </c>
      <c r="BS9" s="10">
        <v>15.5</v>
      </c>
      <c r="BT9" s="10">
        <v>0</v>
      </c>
      <c r="BU9" s="10">
        <v>28.9</v>
      </c>
    </row>
    <row r="10" spans="1:73" x14ac:dyDescent="0.35">
      <c r="A10">
        <v>4</v>
      </c>
      <c r="B10" s="10">
        <v>13.2</v>
      </c>
      <c r="C10" s="10">
        <v>12.6</v>
      </c>
      <c r="D10" s="10">
        <v>0</v>
      </c>
      <c r="E10" s="10">
        <v>10.4</v>
      </c>
      <c r="F10" s="10">
        <v>0</v>
      </c>
      <c r="G10" s="10">
        <v>32.5</v>
      </c>
      <c r="H10" s="10">
        <v>13.7</v>
      </c>
      <c r="I10" s="10">
        <v>13</v>
      </c>
      <c r="J10" s="10">
        <v>0</v>
      </c>
      <c r="K10" s="10">
        <v>12</v>
      </c>
      <c r="L10" s="10">
        <v>0</v>
      </c>
      <c r="M10" s="10">
        <v>31.7</v>
      </c>
      <c r="N10" s="10">
        <v>14.4</v>
      </c>
      <c r="O10" s="10">
        <v>13.3</v>
      </c>
      <c r="P10" s="10">
        <v>0</v>
      </c>
      <c r="Q10" s="10">
        <v>2.9</v>
      </c>
      <c r="R10" s="10">
        <v>0</v>
      </c>
      <c r="S10" s="10">
        <v>35</v>
      </c>
      <c r="T10" s="10">
        <v>16.899999999999999</v>
      </c>
      <c r="U10" s="10">
        <v>20.7</v>
      </c>
      <c r="V10" s="10">
        <v>0</v>
      </c>
      <c r="W10" s="10">
        <v>13.4</v>
      </c>
      <c r="X10" s="10">
        <v>0</v>
      </c>
      <c r="Y10" s="10">
        <v>38.799999999999997</v>
      </c>
      <c r="Z10" s="10">
        <v>15.2</v>
      </c>
      <c r="AA10" s="10">
        <v>22.3</v>
      </c>
      <c r="AB10" s="10">
        <v>0</v>
      </c>
      <c r="AC10" s="10">
        <v>16.5</v>
      </c>
      <c r="AD10" s="10">
        <v>0</v>
      </c>
      <c r="AE10" s="10">
        <v>36.4</v>
      </c>
      <c r="AF10" s="10">
        <v>19.899999999999999</v>
      </c>
      <c r="AG10" s="10">
        <v>23.9</v>
      </c>
      <c r="AH10" s="10">
        <v>0</v>
      </c>
      <c r="AI10" s="10">
        <v>19.3</v>
      </c>
      <c r="AJ10" s="10">
        <v>0</v>
      </c>
      <c r="AK10" s="10">
        <v>37.799999999999997</v>
      </c>
      <c r="AL10" s="10">
        <v>22.6</v>
      </c>
      <c r="AM10" s="10">
        <v>23.1</v>
      </c>
      <c r="AN10" s="10">
        <v>0</v>
      </c>
      <c r="AO10" s="10">
        <v>20.3</v>
      </c>
      <c r="AP10" s="10">
        <v>0</v>
      </c>
      <c r="AQ10" s="10">
        <v>28.2</v>
      </c>
      <c r="AR10" s="10">
        <v>20.9</v>
      </c>
      <c r="AS10" s="10">
        <v>22.2</v>
      </c>
      <c r="AT10" s="10">
        <v>0</v>
      </c>
      <c r="AU10" s="10">
        <v>21.8</v>
      </c>
      <c r="AV10" s="10">
        <v>0</v>
      </c>
      <c r="AW10" s="10">
        <v>27.4</v>
      </c>
      <c r="AX10" s="10">
        <v>21.3</v>
      </c>
      <c r="AY10" s="10">
        <v>21.6</v>
      </c>
      <c r="AZ10" s="10">
        <v>0</v>
      </c>
      <c r="BA10" s="10">
        <v>21.5</v>
      </c>
      <c r="BB10" s="10">
        <v>0</v>
      </c>
      <c r="BC10" s="10">
        <v>25.4</v>
      </c>
      <c r="BD10" s="10">
        <v>22.8</v>
      </c>
      <c r="BE10" s="10">
        <v>22</v>
      </c>
      <c r="BF10" s="10">
        <v>0</v>
      </c>
      <c r="BG10" s="10">
        <v>23</v>
      </c>
      <c r="BH10" s="10">
        <v>0</v>
      </c>
      <c r="BI10" s="10">
        <v>30.5</v>
      </c>
      <c r="BJ10" s="10">
        <v>20.3</v>
      </c>
      <c r="BK10" s="10">
        <v>18.100000000000001</v>
      </c>
      <c r="BL10" s="10">
        <v>0</v>
      </c>
      <c r="BM10" s="10">
        <v>16.8</v>
      </c>
      <c r="BN10" s="10">
        <v>0</v>
      </c>
      <c r="BO10" s="10">
        <v>32.5</v>
      </c>
      <c r="BP10" s="10">
        <v>13.3</v>
      </c>
      <c r="BQ10" s="10">
        <v>13.4</v>
      </c>
      <c r="BR10" s="10">
        <v>0</v>
      </c>
      <c r="BS10" s="10">
        <v>11.2</v>
      </c>
      <c r="BT10" s="10">
        <v>0</v>
      </c>
      <c r="BU10" s="10">
        <v>29.9</v>
      </c>
    </row>
    <row r="11" spans="1:73" x14ac:dyDescent="0.35">
      <c r="A11">
        <v>5</v>
      </c>
      <c r="B11" s="10">
        <v>13.5</v>
      </c>
      <c r="C11" s="10">
        <v>12.6</v>
      </c>
      <c r="D11" s="10">
        <v>0</v>
      </c>
      <c r="E11" s="10">
        <v>14.1</v>
      </c>
      <c r="F11" s="10">
        <v>0</v>
      </c>
      <c r="G11" s="10">
        <v>32.299999999999997</v>
      </c>
      <c r="H11" s="10">
        <v>13.2</v>
      </c>
      <c r="I11" s="10">
        <v>13.3</v>
      </c>
      <c r="J11" s="10">
        <v>0</v>
      </c>
      <c r="K11" s="10">
        <v>10.3</v>
      </c>
      <c r="L11" s="10">
        <v>0</v>
      </c>
      <c r="M11" s="10">
        <v>31.9</v>
      </c>
      <c r="N11" s="10">
        <v>11.7</v>
      </c>
      <c r="O11" s="10">
        <v>13.3</v>
      </c>
      <c r="P11" s="10">
        <v>0</v>
      </c>
      <c r="Q11" s="10">
        <v>8.5</v>
      </c>
      <c r="R11" s="10">
        <v>0</v>
      </c>
      <c r="S11" s="10">
        <v>36.5</v>
      </c>
      <c r="T11" s="10">
        <v>17.7</v>
      </c>
      <c r="U11" s="10">
        <v>22.1</v>
      </c>
      <c r="V11" s="10">
        <v>0</v>
      </c>
      <c r="W11" s="10">
        <v>10</v>
      </c>
      <c r="X11" s="10">
        <v>0</v>
      </c>
      <c r="Y11" s="10">
        <v>38.200000000000003</v>
      </c>
      <c r="Z11" s="10">
        <v>17.7</v>
      </c>
      <c r="AA11" s="10">
        <v>21.6</v>
      </c>
      <c r="AB11" s="10">
        <v>0</v>
      </c>
      <c r="AC11" s="10">
        <v>14.7</v>
      </c>
      <c r="AD11" s="10">
        <v>0</v>
      </c>
      <c r="AE11" s="10">
        <v>35.299999999999997</v>
      </c>
      <c r="AF11" s="10">
        <v>20.399999999999999</v>
      </c>
      <c r="AG11" s="10">
        <v>24.8</v>
      </c>
      <c r="AH11" s="10">
        <v>0</v>
      </c>
      <c r="AI11" s="10">
        <v>20.7</v>
      </c>
      <c r="AJ11" s="10">
        <v>0</v>
      </c>
      <c r="AK11" s="10">
        <v>35.5</v>
      </c>
      <c r="AL11" s="10">
        <v>21.5</v>
      </c>
      <c r="AM11" s="10">
        <v>21.9</v>
      </c>
      <c r="AN11" s="10">
        <v>0</v>
      </c>
      <c r="AO11" s="10">
        <v>20</v>
      </c>
      <c r="AP11" s="10">
        <v>0</v>
      </c>
      <c r="AQ11" s="10">
        <v>30.2</v>
      </c>
      <c r="AR11" s="10">
        <v>21.5</v>
      </c>
      <c r="AS11" s="10">
        <v>22.2</v>
      </c>
      <c r="AT11" s="10">
        <v>0</v>
      </c>
      <c r="AU11" s="10">
        <v>21.7</v>
      </c>
      <c r="AV11" s="10">
        <v>0</v>
      </c>
      <c r="AW11" s="10">
        <v>28.6</v>
      </c>
      <c r="AX11" s="10">
        <v>21.5</v>
      </c>
      <c r="AY11" s="10">
        <v>21.5</v>
      </c>
      <c r="AZ11" s="10">
        <v>0</v>
      </c>
      <c r="BA11" s="10">
        <v>22.9</v>
      </c>
      <c r="BB11" s="10">
        <v>0</v>
      </c>
      <c r="BC11" s="10">
        <v>26</v>
      </c>
      <c r="BD11" s="10">
        <v>22.4</v>
      </c>
      <c r="BE11" s="10">
        <v>22</v>
      </c>
      <c r="BF11" s="10">
        <v>0</v>
      </c>
      <c r="BG11" s="10">
        <v>22</v>
      </c>
      <c r="BH11" s="10">
        <v>0</v>
      </c>
      <c r="BI11" s="10">
        <v>30.1</v>
      </c>
      <c r="BJ11" s="10">
        <v>18.899999999999999</v>
      </c>
      <c r="BK11" s="10">
        <v>16.899999999999999</v>
      </c>
      <c r="BL11" s="10">
        <v>0</v>
      </c>
      <c r="BM11" s="10">
        <v>18.7</v>
      </c>
      <c r="BN11" s="10">
        <v>0</v>
      </c>
      <c r="BO11" s="10">
        <v>31.8</v>
      </c>
      <c r="BP11" s="10">
        <v>12.2</v>
      </c>
      <c r="BQ11" s="10">
        <v>13.6</v>
      </c>
      <c r="BR11" s="10">
        <v>0</v>
      </c>
      <c r="BS11" s="10">
        <v>14.7</v>
      </c>
      <c r="BT11" s="10">
        <v>0</v>
      </c>
      <c r="BU11" s="10">
        <v>30.8</v>
      </c>
    </row>
    <row r="12" spans="1:73" x14ac:dyDescent="0.35">
      <c r="A12">
        <v>6</v>
      </c>
      <c r="B12" s="10">
        <v>14.7</v>
      </c>
      <c r="C12" s="10">
        <v>13.6</v>
      </c>
      <c r="D12" s="10">
        <v>0</v>
      </c>
      <c r="E12" s="10">
        <v>10.7</v>
      </c>
      <c r="F12" s="10">
        <v>0</v>
      </c>
      <c r="G12" s="10">
        <v>31.9</v>
      </c>
      <c r="H12" s="10">
        <v>14.3</v>
      </c>
      <c r="I12" s="10">
        <v>13.5</v>
      </c>
      <c r="J12" s="10">
        <v>0</v>
      </c>
      <c r="K12" s="10">
        <v>11.9</v>
      </c>
      <c r="L12" s="10">
        <v>0</v>
      </c>
      <c r="M12" s="10">
        <v>32.799999999999997</v>
      </c>
      <c r="N12" s="10">
        <v>10.6</v>
      </c>
      <c r="O12" s="10">
        <v>13.7</v>
      </c>
      <c r="P12" s="10">
        <v>0</v>
      </c>
      <c r="Q12" s="10">
        <v>4.8</v>
      </c>
      <c r="R12" s="10">
        <v>0</v>
      </c>
      <c r="S12" s="10">
        <v>34.9</v>
      </c>
      <c r="T12" s="10">
        <v>9.3000000000000007</v>
      </c>
      <c r="U12" s="10">
        <v>18.399999999999999</v>
      </c>
      <c r="V12" s="10">
        <v>0</v>
      </c>
      <c r="W12" s="10">
        <v>8.5</v>
      </c>
      <c r="X12" s="10">
        <v>0</v>
      </c>
      <c r="Y12" s="10">
        <v>37.1</v>
      </c>
      <c r="Z12" s="10">
        <v>18.5</v>
      </c>
      <c r="AA12" s="10">
        <v>22</v>
      </c>
      <c r="AB12" s="10">
        <v>0</v>
      </c>
      <c r="AC12" s="10">
        <v>15.9</v>
      </c>
      <c r="AD12" s="10">
        <v>0</v>
      </c>
      <c r="AE12" s="10">
        <v>34.9</v>
      </c>
      <c r="AF12" s="10">
        <v>21.3</v>
      </c>
      <c r="AG12" s="10">
        <v>25</v>
      </c>
      <c r="AH12" s="10">
        <v>0</v>
      </c>
      <c r="AI12" s="10">
        <v>21.3</v>
      </c>
      <c r="AJ12" s="10">
        <v>0</v>
      </c>
      <c r="AK12" s="10">
        <v>28.8</v>
      </c>
      <c r="AL12" s="10">
        <v>23.4</v>
      </c>
      <c r="AM12" s="10">
        <v>22.2</v>
      </c>
      <c r="AN12" s="10">
        <v>0</v>
      </c>
      <c r="AO12" s="10">
        <v>21.9</v>
      </c>
      <c r="AP12" s="10">
        <v>0</v>
      </c>
      <c r="AQ12" s="10">
        <v>29.5</v>
      </c>
      <c r="AR12" s="10">
        <v>21.7</v>
      </c>
      <c r="AS12" s="10">
        <v>22.2</v>
      </c>
      <c r="AT12" s="10">
        <v>0</v>
      </c>
      <c r="AU12" s="10">
        <v>22.3</v>
      </c>
      <c r="AV12" s="10">
        <v>0</v>
      </c>
      <c r="AW12" s="10">
        <v>26.8</v>
      </c>
      <c r="AX12" s="10">
        <v>21.7</v>
      </c>
      <c r="AY12" s="10">
        <v>21.9</v>
      </c>
      <c r="AZ12" s="10">
        <v>0</v>
      </c>
      <c r="BA12" s="10">
        <v>22</v>
      </c>
      <c r="BB12" s="10">
        <v>0</v>
      </c>
      <c r="BC12" s="10">
        <v>27.8</v>
      </c>
      <c r="BD12" s="10">
        <v>22.2</v>
      </c>
      <c r="BE12" s="10">
        <v>21.3</v>
      </c>
      <c r="BF12" s="10">
        <v>0</v>
      </c>
      <c r="BG12" s="10">
        <v>21.1</v>
      </c>
      <c r="BH12" s="10">
        <v>0</v>
      </c>
      <c r="BI12" s="10">
        <v>31.1</v>
      </c>
      <c r="BJ12" s="10">
        <v>19.2</v>
      </c>
      <c r="BK12" s="10">
        <v>15.6</v>
      </c>
      <c r="BL12" s="10">
        <v>0</v>
      </c>
      <c r="BM12" s="10">
        <v>17.2</v>
      </c>
      <c r="BN12" s="10">
        <v>0</v>
      </c>
      <c r="BO12" s="10">
        <v>31.9</v>
      </c>
      <c r="BP12" s="10">
        <v>16.100000000000001</v>
      </c>
      <c r="BQ12" s="10">
        <v>17.899999999999999</v>
      </c>
      <c r="BR12" s="10">
        <v>0</v>
      </c>
      <c r="BS12" s="10">
        <v>18.3</v>
      </c>
      <c r="BT12" s="10">
        <v>0</v>
      </c>
      <c r="BU12" s="10">
        <v>31.6</v>
      </c>
    </row>
    <row r="13" spans="1:73" x14ac:dyDescent="0.35">
      <c r="A13">
        <v>7</v>
      </c>
      <c r="B13" s="10">
        <v>12.9</v>
      </c>
      <c r="C13" s="10">
        <v>10.7</v>
      </c>
      <c r="D13" s="10">
        <v>0</v>
      </c>
      <c r="E13" s="10">
        <v>3.2</v>
      </c>
      <c r="F13" s="10">
        <v>0</v>
      </c>
      <c r="G13" s="10">
        <v>31.4</v>
      </c>
      <c r="H13" s="10">
        <v>14.1</v>
      </c>
      <c r="I13" s="10">
        <v>13.2</v>
      </c>
      <c r="J13" s="10">
        <v>0</v>
      </c>
      <c r="K13" s="10">
        <v>9.6</v>
      </c>
      <c r="L13" s="10">
        <v>0</v>
      </c>
      <c r="M13" s="10">
        <v>31.8</v>
      </c>
      <c r="N13" s="10">
        <v>7.9</v>
      </c>
      <c r="O13" s="10">
        <v>10.3</v>
      </c>
      <c r="P13" s="10">
        <v>0</v>
      </c>
      <c r="Q13" s="10">
        <v>100.5</v>
      </c>
      <c r="R13" s="10">
        <v>0</v>
      </c>
      <c r="S13" s="10">
        <v>33.5</v>
      </c>
      <c r="T13" s="10">
        <v>7.6</v>
      </c>
      <c r="U13" s="10">
        <v>17.3</v>
      </c>
      <c r="V13" s="10">
        <v>0</v>
      </c>
      <c r="W13" s="10">
        <v>9.1999999999999993</v>
      </c>
      <c r="X13" s="10">
        <v>0</v>
      </c>
      <c r="Y13" s="10">
        <v>39</v>
      </c>
      <c r="Z13" s="10">
        <v>18</v>
      </c>
      <c r="AA13" s="10">
        <v>21.7</v>
      </c>
      <c r="AB13" s="10">
        <v>0</v>
      </c>
      <c r="AC13" s="10">
        <v>14.7</v>
      </c>
      <c r="AD13" s="10">
        <v>0</v>
      </c>
      <c r="AE13" s="10">
        <v>37.200000000000003</v>
      </c>
      <c r="AF13" s="10">
        <v>19.899999999999999</v>
      </c>
      <c r="AG13" s="10">
        <v>21.5</v>
      </c>
      <c r="AH13" s="10">
        <v>0</v>
      </c>
      <c r="AI13" s="10">
        <v>21.3</v>
      </c>
      <c r="AJ13" s="10">
        <v>0</v>
      </c>
      <c r="AK13" s="10">
        <v>33.700000000000003</v>
      </c>
      <c r="AL13" s="10">
        <v>21.3</v>
      </c>
      <c r="AM13" s="10">
        <v>23</v>
      </c>
      <c r="AN13" s="10">
        <v>0</v>
      </c>
      <c r="AO13" s="10">
        <v>22</v>
      </c>
      <c r="AP13" s="10">
        <v>0</v>
      </c>
      <c r="AQ13" s="10">
        <v>29.3</v>
      </c>
      <c r="AR13" s="10">
        <v>22.6</v>
      </c>
      <c r="AS13" s="10">
        <v>22.1</v>
      </c>
      <c r="AT13" s="10">
        <v>0</v>
      </c>
      <c r="AU13" s="10">
        <v>22.1</v>
      </c>
      <c r="AV13" s="10">
        <v>0</v>
      </c>
      <c r="AW13" s="10">
        <v>28.4</v>
      </c>
      <c r="AX13" s="10">
        <v>20.100000000000001</v>
      </c>
      <c r="AY13" s="10">
        <v>21.2</v>
      </c>
      <c r="AZ13" s="10">
        <v>0</v>
      </c>
      <c r="BA13" s="10">
        <v>21.6</v>
      </c>
      <c r="BB13" s="10">
        <v>0</v>
      </c>
      <c r="BC13" s="10">
        <v>26.9</v>
      </c>
      <c r="BD13" s="10">
        <v>22.7</v>
      </c>
      <c r="BE13" s="10">
        <v>21.6</v>
      </c>
      <c r="BF13" s="10">
        <v>0</v>
      </c>
      <c r="BG13" s="10">
        <v>22.5</v>
      </c>
      <c r="BH13" s="10">
        <v>0</v>
      </c>
      <c r="BI13" s="10">
        <v>30.9</v>
      </c>
      <c r="BJ13" s="10">
        <v>17.399999999999999</v>
      </c>
      <c r="BK13" s="10">
        <v>18.2</v>
      </c>
      <c r="BL13" s="10">
        <v>0</v>
      </c>
      <c r="BM13" s="10">
        <v>15</v>
      </c>
      <c r="BN13" s="10">
        <v>0</v>
      </c>
      <c r="BO13" s="10">
        <v>32.4</v>
      </c>
      <c r="BP13" s="10">
        <v>19.5</v>
      </c>
      <c r="BQ13" s="10">
        <v>17.7</v>
      </c>
      <c r="BR13" s="10">
        <v>0</v>
      </c>
      <c r="BS13" s="10">
        <v>16.2</v>
      </c>
      <c r="BT13" s="10">
        <v>0</v>
      </c>
      <c r="BU13" s="10">
        <v>32.9</v>
      </c>
    </row>
    <row r="14" spans="1:73" x14ac:dyDescent="0.35">
      <c r="A14">
        <v>8</v>
      </c>
      <c r="B14" s="10">
        <v>10</v>
      </c>
      <c r="C14" s="10">
        <v>9.1</v>
      </c>
      <c r="D14" s="10">
        <v>0</v>
      </c>
      <c r="E14" s="10">
        <v>5.4</v>
      </c>
      <c r="F14" s="10">
        <v>0</v>
      </c>
      <c r="G14" s="10">
        <v>30.4</v>
      </c>
      <c r="H14" s="10">
        <v>10.199999999999999</v>
      </c>
      <c r="I14" s="10">
        <v>10.7</v>
      </c>
      <c r="J14" s="10">
        <v>0</v>
      </c>
      <c r="K14" s="10">
        <v>104.6</v>
      </c>
      <c r="L14" s="10">
        <v>0</v>
      </c>
      <c r="M14" s="10">
        <v>29.3</v>
      </c>
      <c r="N14" s="10">
        <v>7.7</v>
      </c>
      <c r="O14" s="10">
        <v>10.1</v>
      </c>
      <c r="P14" s="10">
        <v>0</v>
      </c>
      <c r="Q14" s="10">
        <v>3.1</v>
      </c>
      <c r="R14" s="10">
        <v>0</v>
      </c>
      <c r="S14" s="10">
        <v>31</v>
      </c>
      <c r="T14" s="10">
        <v>12.1</v>
      </c>
      <c r="U14" s="10">
        <v>17.899999999999999</v>
      </c>
      <c r="V14" s="10">
        <v>0</v>
      </c>
      <c r="W14" s="10">
        <v>13</v>
      </c>
      <c r="X14" s="10">
        <v>0</v>
      </c>
      <c r="Y14" s="10">
        <v>39.9</v>
      </c>
      <c r="Z14" s="10">
        <v>19.600000000000001</v>
      </c>
      <c r="AA14" s="10">
        <v>22.8</v>
      </c>
      <c r="AB14" s="10">
        <v>0</v>
      </c>
      <c r="AC14" s="10">
        <v>11.1</v>
      </c>
      <c r="AD14" s="10">
        <v>0</v>
      </c>
      <c r="AE14" s="10">
        <v>38.200000000000003</v>
      </c>
      <c r="AF14" s="10">
        <v>20.7</v>
      </c>
      <c r="AG14" s="10">
        <v>20.6</v>
      </c>
      <c r="AH14" s="10">
        <v>0</v>
      </c>
      <c r="AI14" s="10">
        <v>19.5</v>
      </c>
      <c r="AJ14" s="10">
        <v>0</v>
      </c>
      <c r="AK14" s="10">
        <v>32.799999999999997</v>
      </c>
      <c r="AL14" s="10">
        <v>21.1</v>
      </c>
      <c r="AM14" s="10">
        <v>23.3</v>
      </c>
      <c r="AN14" s="10">
        <v>0</v>
      </c>
      <c r="AO14" s="10">
        <v>20.9</v>
      </c>
      <c r="AP14" s="10">
        <v>0</v>
      </c>
      <c r="AQ14" s="10">
        <v>29.8</v>
      </c>
      <c r="AR14" s="10">
        <v>22.5</v>
      </c>
      <c r="AS14" s="10">
        <v>22.3</v>
      </c>
      <c r="AT14" s="10">
        <v>0</v>
      </c>
      <c r="AU14" s="10">
        <v>20.9</v>
      </c>
      <c r="AV14" s="10">
        <v>0</v>
      </c>
      <c r="AW14" s="10">
        <v>28.4</v>
      </c>
      <c r="AX14" s="10">
        <v>21.4</v>
      </c>
      <c r="AY14" s="10">
        <v>22</v>
      </c>
      <c r="AZ14" s="10">
        <v>0</v>
      </c>
      <c r="BA14" s="10">
        <v>22.2</v>
      </c>
      <c r="BB14" s="10">
        <v>0</v>
      </c>
      <c r="BC14" s="10">
        <v>28.5</v>
      </c>
      <c r="BD14" s="10">
        <v>22</v>
      </c>
      <c r="BE14" s="10">
        <v>20.5</v>
      </c>
      <c r="BF14" s="10">
        <v>0</v>
      </c>
      <c r="BG14" s="10">
        <v>18.3</v>
      </c>
      <c r="BH14" s="10">
        <v>0</v>
      </c>
      <c r="BI14" s="10">
        <v>31.3</v>
      </c>
      <c r="BJ14" s="10">
        <v>16.5</v>
      </c>
      <c r="BK14" s="10">
        <v>15.9</v>
      </c>
      <c r="BL14" s="10">
        <v>0</v>
      </c>
      <c r="BM14" s="10">
        <v>13.5</v>
      </c>
      <c r="BN14" s="10">
        <v>0</v>
      </c>
      <c r="BO14" s="10">
        <v>32.700000000000003</v>
      </c>
      <c r="BP14" s="10">
        <v>18.899999999999999</v>
      </c>
      <c r="BQ14" s="10">
        <v>17.600000000000001</v>
      </c>
      <c r="BR14" s="10">
        <v>0</v>
      </c>
      <c r="BS14" s="10">
        <v>19.399999999999999</v>
      </c>
      <c r="BT14" s="10">
        <v>0</v>
      </c>
      <c r="BU14" s="10">
        <v>32.9</v>
      </c>
    </row>
    <row r="15" spans="1:73" x14ac:dyDescent="0.35">
      <c r="A15">
        <v>9</v>
      </c>
      <c r="B15" s="10">
        <v>8.6999999999999993</v>
      </c>
      <c r="C15" s="10">
        <v>7.2</v>
      </c>
      <c r="D15" s="10">
        <v>0</v>
      </c>
      <c r="E15" s="10">
        <v>5.3</v>
      </c>
      <c r="F15" s="10">
        <v>0</v>
      </c>
      <c r="G15" s="10">
        <v>28</v>
      </c>
      <c r="H15" s="10">
        <v>5.2</v>
      </c>
      <c r="I15" s="10">
        <v>4.5999999999999996</v>
      </c>
      <c r="J15" s="10">
        <v>0</v>
      </c>
      <c r="K15" s="10">
        <v>105.4</v>
      </c>
      <c r="L15" s="10">
        <v>0</v>
      </c>
      <c r="M15" s="10">
        <v>28.9</v>
      </c>
      <c r="N15" s="10">
        <v>12</v>
      </c>
      <c r="O15" s="10">
        <v>10.6</v>
      </c>
      <c r="P15" s="10">
        <v>0</v>
      </c>
      <c r="Q15" s="10">
        <v>2.4</v>
      </c>
      <c r="R15" s="10">
        <v>0</v>
      </c>
      <c r="S15" s="10">
        <v>30.9</v>
      </c>
      <c r="T15" s="10">
        <v>13</v>
      </c>
      <c r="U15" s="10">
        <v>20</v>
      </c>
      <c r="V15" s="10">
        <v>0</v>
      </c>
      <c r="W15" s="10">
        <v>12.6</v>
      </c>
      <c r="X15" s="10">
        <v>0</v>
      </c>
      <c r="Y15" s="10">
        <v>38.9</v>
      </c>
      <c r="Z15" s="10">
        <v>18.2</v>
      </c>
      <c r="AA15" s="10">
        <v>23.8</v>
      </c>
      <c r="AB15" s="10">
        <v>0</v>
      </c>
      <c r="AC15" s="10">
        <v>17.600000000000001</v>
      </c>
      <c r="AD15" s="10">
        <v>0</v>
      </c>
      <c r="AE15" s="10">
        <v>38.5</v>
      </c>
      <c r="AF15" s="10">
        <v>20.5</v>
      </c>
      <c r="AG15" s="10">
        <v>23.4</v>
      </c>
      <c r="AH15" s="10">
        <v>0</v>
      </c>
      <c r="AI15" s="10">
        <v>20.100000000000001</v>
      </c>
      <c r="AJ15" s="10">
        <v>0</v>
      </c>
      <c r="AK15" s="10">
        <v>33</v>
      </c>
      <c r="AL15" s="10">
        <v>21.2</v>
      </c>
      <c r="AM15" s="10">
        <v>21.2</v>
      </c>
      <c r="AN15" s="10">
        <v>0</v>
      </c>
      <c r="AO15" s="10">
        <v>20.399999999999999</v>
      </c>
      <c r="AP15" s="10">
        <v>0</v>
      </c>
      <c r="AQ15" s="10">
        <v>29.6</v>
      </c>
      <c r="AR15" s="10">
        <v>21.4</v>
      </c>
      <c r="AS15" s="10">
        <v>21.6</v>
      </c>
      <c r="AT15" s="10">
        <v>0</v>
      </c>
      <c r="AU15" s="10">
        <v>20.100000000000001</v>
      </c>
      <c r="AV15" s="10">
        <v>0</v>
      </c>
      <c r="AW15" s="10">
        <v>27.6</v>
      </c>
      <c r="AX15" s="10">
        <v>20.8</v>
      </c>
      <c r="AY15" s="10">
        <v>22.3</v>
      </c>
      <c r="AZ15" s="10">
        <v>0</v>
      </c>
      <c r="BA15" s="10">
        <v>22.3</v>
      </c>
      <c r="BB15" s="10">
        <v>0</v>
      </c>
      <c r="BC15" s="10">
        <v>28.4</v>
      </c>
      <c r="BD15" s="10">
        <v>22.3</v>
      </c>
      <c r="BE15" s="10">
        <v>21</v>
      </c>
      <c r="BF15" s="10">
        <v>0</v>
      </c>
      <c r="BG15" s="10">
        <v>22.3</v>
      </c>
      <c r="BH15" s="10">
        <v>0</v>
      </c>
      <c r="BI15" s="10">
        <v>32.1</v>
      </c>
      <c r="BJ15" s="10">
        <v>15.2</v>
      </c>
      <c r="BK15" s="10">
        <v>14.1</v>
      </c>
      <c r="BL15" s="10">
        <v>0</v>
      </c>
      <c r="BM15" s="10">
        <v>9.4</v>
      </c>
      <c r="BN15" s="10">
        <v>0</v>
      </c>
      <c r="BO15" s="10">
        <v>32.5</v>
      </c>
      <c r="BP15" s="10">
        <v>19.5</v>
      </c>
      <c r="BQ15" s="10">
        <v>17.600000000000001</v>
      </c>
      <c r="BR15" s="10">
        <v>0</v>
      </c>
      <c r="BS15" s="10">
        <v>15.3</v>
      </c>
      <c r="BT15" s="10">
        <v>0</v>
      </c>
      <c r="BU15" s="10">
        <v>32.9</v>
      </c>
    </row>
    <row r="16" spans="1:73" x14ac:dyDescent="0.35">
      <c r="A16">
        <v>10</v>
      </c>
      <c r="B16" s="10">
        <v>9.1</v>
      </c>
      <c r="C16" s="10">
        <v>7.8</v>
      </c>
      <c r="D16" s="10">
        <v>0</v>
      </c>
      <c r="E16" s="10">
        <v>5.3</v>
      </c>
      <c r="F16" s="10">
        <v>0</v>
      </c>
      <c r="G16" s="10">
        <v>26.9</v>
      </c>
      <c r="H16" s="10">
        <v>4</v>
      </c>
      <c r="I16" s="10">
        <v>6.6</v>
      </c>
      <c r="J16" s="10">
        <v>0</v>
      </c>
      <c r="K16" s="10">
        <v>3.3</v>
      </c>
      <c r="L16" s="10">
        <v>0</v>
      </c>
      <c r="M16" s="10">
        <v>29.8</v>
      </c>
      <c r="N16" s="10">
        <v>10.3</v>
      </c>
      <c r="O16" s="10">
        <v>10.1</v>
      </c>
      <c r="P16" s="10">
        <v>0</v>
      </c>
      <c r="Q16" s="10">
        <v>1.2</v>
      </c>
      <c r="R16" s="10">
        <v>0</v>
      </c>
      <c r="S16" s="10">
        <v>32.9</v>
      </c>
      <c r="T16" s="10">
        <v>16.5</v>
      </c>
      <c r="U16" s="10">
        <v>23.3</v>
      </c>
      <c r="V16" s="10">
        <v>0</v>
      </c>
      <c r="W16" s="10">
        <v>10.3</v>
      </c>
      <c r="X16" s="10">
        <v>0</v>
      </c>
      <c r="Y16" s="10">
        <v>39.1</v>
      </c>
      <c r="Z16" s="10">
        <v>16.899999999999999</v>
      </c>
      <c r="AA16" s="10">
        <v>23.7</v>
      </c>
      <c r="AB16" s="10">
        <v>0</v>
      </c>
      <c r="AC16" s="10">
        <v>19</v>
      </c>
      <c r="AD16" s="10">
        <v>0</v>
      </c>
      <c r="AE16" s="10">
        <v>37.799999999999997</v>
      </c>
      <c r="AF16" s="10">
        <v>20.100000000000001</v>
      </c>
      <c r="AG16" s="10">
        <v>23.5</v>
      </c>
      <c r="AH16" s="10">
        <v>0</v>
      </c>
      <c r="AI16" s="10">
        <v>21.5</v>
      </c>
      <c r="AJ16" s="10">
        <v>0</v>
      </c>
      <c r="AK16" s="10">
        <v>31.1</v>
      </c>
      <c r="AL16" s="10">
        <v>21.2</v>
      </c>
      <c r="AM16" s="10">
        <v>22.3</v>
      </c>
      <c r="AN16" s="10">
        <v>0</v>
      </c>
      <c r="AO16" s="10">
        <v>19.8</v>
      </c>
      <c r="AP16" s="10">
        <v>0</v>
      </c>
      <c r="AQ16" s="10">
        <v>31.4</v>
      </c>
      <c r="AR16" s="10">
        <v>22</v>
      </c>
      <c r="AS16" s="10">
        <v>22.3</v>
      </c>
      <c r="AT16" s="10">
        <v>0</v>
      </c>
      <c r="AU16" s="10">
        <v>20.7</v>
      </c>
      <c r="AV16" s="10">
        <v>0</v>
      </c>
      <c r="AW16" s="10">
        <v>27.5</v>
      </c>
      <c r="AX16" s="10">
        <v>22.6</v>
      </c>
      <c r="AY16" s="10">
        <v>22.1</v>
      </c>
      <c r="AZ16" s="10">
        <v>0</v>
      </c>
      <c r="BA16" s="10">
        <v>21.6</v>
      </c>
      <c r="BB16" s="10">
        <v>0</v>
      </c>
      <c r="BC16" s="10">
        <v>26.9</v>
      </c>
      <c r="BD16" s="10">
        <v>22.6</v>
      </c>
      <c r="BE16" s="10">
        <v>21.2</v>
      </c>
      <c r="BF16" s="10">
        <v>0</v>
      </c>
      <c r="BG16" s="10">
        <v>18.7</v>
      </c>
      <c r="BH16" s="10">
        <v>0</v>
      </c>
      <c r="BI16" s="10">
        <v>32.9</v>
      </c>
      <c r="BJ16" s="10">
        <v>15.8</v>
      </c>
      <c r="BK16" s="10">
        <v>15</v>
      </c>
      <c r="BL16" s="10">
        <v>0</v>
      </c>
      <c r="BM16" s="10">
        <v>14.5</v>
      </c>
      <c r="BN16" s="10">
        <v>0</v>
      </c>
      <c r="BO16" s="10">
        <v>32.6</v>
      </c>
      <c r="BP16" s="10">
        <v>17.899999999999999</v>
      </c>
      <c r="BQ16" s="10">
        <v>16.100000000000001</v>
      </c>
      <c r="BR16" s="10">
        <v>0</v>
      </c>
      <c r="BS16" s="10">
        <v>12.7</v>
      </c>
      <c r="BT16" s="10">
        <v>0</v>
      </c>
      <c r="BU16" s="10">
        <v>32.299999999999997</v>
      </c>
    </row>
    <row r="17" spans="1:73" x14ac:dyDescent="0.35">
      <c r="A17">
        <v>11</v>
      </c>
      <c r="B17" s="10">
        <v>7.9</v>
      </c>
      <c r="C17" s="10">
        <v>7.7</v>
      </c>
      <c r="D17" s="10">
        <v>0</v>
      </c>
      <c r="E17" s="10">
        <v>5.7</v>
      </c>
      <c r="F17" s="10">
        <v>0</v>
      </c>
      <c r="G17" s="10">
        <v>25.9</v>
      </c>
      <c r="H17" s="10">
        <v>8.1999999999999993</v>
      </c>
      <c r="I17" s="10">
        <v>9.3000000000000007</v>
      </c>
      <c r="J17" s="10">
        <v>0</v>
      </c>
      <c r="K17" s="10">
        <v>6.4</v>
      </c>
      <c r="L17" s="10">
        <v>0</v>
      </c>
      <c r="M17" s="10">
        <v>32</v>
      </c>
      <c r="N17" s="10">
        <v>8.6999999999999993</v>
      </c>
      <c r="O17" s="10">
        <v>12.3</v>
      </c>
      <c r="P17" s="10">
        <v>0</v>
      </c>
      <c r="Q17" s="10">
        <v>5.4</v>
      </c>
      <c r="R17" s="10">
        <v>0</v>
      </c>
      <c r="S17" s="10">
        <v>35.1</v>
      </c>
      <c r="T17" s="10">
        <v>18.399999999999999</v>
      </c>
      <c r="U17" s="10">
        <v>23.7</v>
      </c>
      <c r="V17" s="10">
        <v>0</v>
      </c>
      <c r="W17" s="10">
        <v>18.2</v>
      </c>
      <c r="X17" s="10">
        <v>0</v>
      </c>
      <c r="Y17" s="10">
        <v>37.700000000000003</v>
      </c>
      <c r="Z17" s="10">
        <v>19.3</v>
      </c>
      <c r="AA17" s="10">
        <v>22.8</v>
      </c>
      <c r="AB17" s="10">
        <v>0</v>
      </c>
      <c r="AC17" s="10">
        <v>15.6</v>
      </c>
      <c r="AD17" s="10">
        <v>0</v>
      </c>
      <c r="AE17" s="10">
        <v>37.5</v>
      </c>
      <c r="AF17" s="10">
        <v>20.3</v>
      </c>
      <c r="AG17" s="10">
        <v>21.8</v>
      </c>
      <c r="AH17" s="10">
        <v>0</v>
      </c>
      <c r="AI17" s="10">
        <v>18.8</v>
      </c>
      <c r="AJ17" s="10">
        <v>0</v>
      </c>
      <c r="AK17" s="10">
        <v>32.299999999999997</v>
      </c>
      <c r="AL17" s="10">
        <v>20.399999999999999</v>
      </c>
      <c r="AM17" s="10">
        <v>23.1</v>
      </c>
      <c r="AN17" s="10">
        <v>0</v>
      </c>
      <c r="AO17" s="10">
        <v>21</v>
      </c>
      <c r="AP17" s="10">
        <v>0</v>
      </c>
      <c r="AQ17" s="10">
        <v>31.1</v>
      </c>
      <c r="AR17" s="10">
        <v>20.8</v>
      </c>
      <c r="AS17" s="10">
        <v>21.2</v>
      </c>
      <c r="AT17" s="10">
        <v>0</v>
      </c>
      <c r="AU17" s="10">
        <v>20.9</v>
      </c>
      <c r="AV17" s="10">
        <v>0</v>
      </c>
      <c r="AW17" s="10">
        <v>27.9</v>
      </c>
      <c r="AX17" s="10">
        <v>21.4</v>
      </c>
      <c r="AY17" s="10">
        <v>21.5</v>
      </c>
      <c r="AZ17" s="10">
        <v>0</v>
      </c>
      <c r="BA17" s="10">
        <v>20.399999999999999</v>
      </c>
      <c r="BB17" s="10">
        <v>0</v>
      </c>
      <c r="BC17" s="10">
        <v>25.9</v>
      </c>
      <c r="BD17" s="10">
        <v>21.1</v>
      </c>
      <c r="BE17" s="10">
        <v>20.100000000000001</v>
      </c>
      <c r="BF17" s="10">
        <v>0</v>
      </c>
      <c r="BG17" s="10">
        <v>19.399999999999999</v>
      </c>
      <c r="BH17" s="10">
        <v>0</v>
      </c>
      <c r="BI17" s="10">
        <v>32.4</v>
      </c>
      <c r="BJ17" s="10">
        <v>18.5</v>
      </c>
      <c r="BK17" s="10">
        <v>17.2</v>
      </c>
      <c r="BL17" s="10">
        <v>0</v>
      </c>
      <c r="BM17" s="10">
        <v>13.5</v>
      </c>
      <c r="BN17" s="10">
        <v>0</v>
      </c>
      <c r="BO17" s="10">
        <v>31.6</v>
      </c>
      <c r="BP17" s="10">
        <v>15.1</v>
      </c>
      <c r="BQ17" s="10">
        <v>13</v>
      </c>
      <c r="BR17" s="10">
        <v>0</v>
      </c>
      <c r="BS17" s="10">
        <v>7.9</v>
      </c>
      <c r="BT17" s="10">
        <v>0</v>
      </c>
      <c r="BU17" s="10">
        <v>31.9</v>
      </c>
    </row>
    <row r="18" spans="1:73" x14ac:dyDescent="0.35">
      <c r="A18">
        <v>12</v>
      </c>
      <c r="B18" s="10">
        <v>8.1999999999999993</v>
      </c>
      <c r="C18" s="10">
        <v>6.8</v>
      </c>
      <c r="D18" s="10">
        <v>0</v>
      </c>
      <c r="E18" s="10">
        <v>3.1</v>
      </c>
      <c r="F18" s="10">
        <v>0</v>
      </c>
      <c r="G18" s="10">
        <v>26.9</v>
      </c>
      <c r="H18" s="10">
        <v>11.7</v>
      </c>
      <c r="I18" s="10">
        <v>11.4</v>
      </c>
      <c r="J18" s="10">
        <v>0</v>
      </c>
      <c r="K18" s="10">
        <v>3.8</v>
      </c>
      <c r="L18" s="10">
        <v>0</v>
      </c>
      <c r="M18" s="10">
        <v>34</v>
      </c>
      <c r="N18" s="10">
        <v>4.4000000000000004</v>
      </c>
      <c r="O18" s="10">
        <v>14.3</v>
      </c>
      <c r="P18" s="10">
        <v>0</v>
      </c>
      <c r="Q18" s="10">
        <v>5.5</v>
      </c>
      <c r="R18" s="10">
        <v>0</v>
      </c>
      <c r="S18" s="10">
        <v>35.200000000000003</v>
      </c>
      <c r="T18" s="10">
        <v>16.8</v>
      </c>
      <c r="U18" s="10">
        <v>21.3</v>
      </c>
      <c r="V18" s="10">
        <v>0</v>
      </c>
      <c r="W18" s="10">
        <v>18.7</v>
      </c>
      <c r="X18" s="10">
        <v>0</v>
      </c>
      <c r="Y18" s="10">
        <v>37.700000000000003</v>
      </c>
      <c r="Z18" s="10">
        <v>18.399999999999999</v>
      </c>
      <c r="AA18" s="10">
        <v>23.8</v>
      </c>
      <c r="AB18" s="10">
        <v>0</v>
      </c>
      <c r="AC18" s="10">
        <v>18.100000000000001</v>
      </c>
      <c r="AD18" s="10">
        <v>0</v>
      </c>
      <c r="AE18" s="10">
        <v>37</v>
      </c>
      <c r="AF18" s="10">
        <v>20.399999999999999</v>
      </c>
      <c r="AG18" s="10">
        <v>21.1</v>
      </c>
      <c r="AH18" s="10">
        <v>0</v>
      </c>
      <c r="AI18" s="10">
        <v>20.100000000000001</v>
      </c>
      <c r="AJ18" s="10">
        <v>0</v>
      </c>
      <c r="AK18" s="10">
        <v>34.1</v>
      </c>
      <c r="AL18" s="10">
        <v>20.2</v>
      </c>
      <c r="AM18" s="10">
        <v>22.7</v>
      </c>
      <c r="AN18" s="10">
        <v>0</v>
      </c>
      <c r="AO18" s="10">
        <v>20.3</v>
      </c>
      <c r="AP18" s="10">
        <v>0</v>
      </c>
      <c r="AQ18" s="10">
        <v>30.5</v>
      </c>
      <c r="AR18" s="10">
        <v>20.9</v>
      </c>
      <c r="AS18" s="10">
        <v>22.1</v>
      </c>
      <c r="AT18" s="10">
        <v>0</v>
      </c>
      <c r="AU18" s="10">
        <v>20.399999999999999</v>
      </c>
      <c r="AV18" s="10">
        <v>0</v>
      </c>
      <c r="AW18" s="10">
        <v>28.1</v>
      </c>
      <c r="AX18" s="10">
        <v>20.399999999999999</v>
      </c>
      <c r="AY18" s="10">
        <v>20.6</v>
      </c>
      <c r="AZ18" s="10">
        <v>0</v>
      </c>
      <c r="BA18" s="10">
        <v>19.899999999999999</v>
      </c>
      <c r="BB18" s="10">
        <v>0</v>
      </c>
      <c r="BC18" s="10">
        <v>28.3</v>
      </c>
      <c r="BD18" s="10">
        <v>19.100000000000001</v>
      </c>
      <c r="BE18" s="10">
        <v>17.5</v>
      </c>
      <c r="BF18" s="10">
        <v>0</v>
      </c>
      <c r="BG18" s="10">
        <v>19.7</v>
      </c>
      <c r="BH18" s="10">
        <v>0</v>
      </c>
      <c r="BI18" s="10">
        <v>33.1</v>
      </c>
      <c r="BJ18" s="10">
        <v>15.3</v>
      </c>
      <c r="BK18" s="10">
        <v>16.7</v>
      </c>
      <c r="BL18" s="10">
        <v>0</v>
      </c>
      <c r="BM18" s="10">
        <v>17.399999999999999</v>
      </c>
      <c r="BN18" s="10">
        <v>0</v>
      </c>
      <c r="BO18" s="10">
        <v>30.9</v>
      </c>
      <c r="BP18" s="10">
        <v>15.8</v>
      </c>
      <c r="BQ18" s="10">
        <v>12.5</v>
      </c>
      <c r="BR18" s="10">
        <v>0</v>
      </c>
      <c r="BS18" s="10">
        <v>1.6</v>
      </c>
      <c r="BT18" s="10">
        <v>0</v>
      </c>
      <c r="BU18" s="10">
        <v>31.2</v>
      </c>
    </row>
    <row r="19" spans="1:73" x14ac:dyDescent="0.35">
      <c r="A19">
        <v>13</v>
      </c>
      <c r="B19" s="10">
        <v>8</v>
      </c>
      <c r="C19" s="10">
        <v>6.6</v>
      </c>
      <c r="D19" s="10">
        <v>0</v>
      </c>
      <c r="E19" s="10">
        <v>5.0999999999999996</v>
      </c>
      <c r="F19" s="10">
        <v>0</v>
      </c>
      <c r="G19" s="10">
        <v>27.1</v>
      </c>
      <c r="H19" s="10">
        <v>12.3</v>
      </c>
      <c r="I19" s="10">
        <v>11.9</v>
      </c>
      <c r="J19" s="10">
        <v>0</v>
      </c>
      <c r="K19" s="10">
        <v>5.5</v>
      </c>
      <c r="L19" s="10">
        <v>0</v>
      </c>
      <c r="M19" s="10">
        <v>34.4</v>
      </c>
      <c r="N19" s="10">
        <v>10.6</v>
      </c>
      <c r="O19" s="10">
        <v>12.8</v>
      </c>
      <c r="P19" s="10">
        <v>0</v>
      </c>
      <c r="Q19" s="10">
        <v>2.7</v>
      </c>
      <c r="R19" s="10">
        <v>0</v>
      </c>
      <c r="S19" s="10">
        <v>34.1</v>
      </c>
      <c r="T19" s="10">
        <v>15</v>
      </c>
      <c r="U19" s="10">
        <v>18.5</v>
      </c>
      <c r="V19" s="10">
        <v>0</v>
      </c>
      <c r="W19" s="10">
        <v>9.6</v>
      </c>
      <c r="X19" s="10">
        <v>0</v>
      </c>
      <c r="Y19" s="10">
        <v>38.1</v>
      </c>
      <c r="Z19" s="10">
        <v>18.7</v>
      </c>
      <c r="AA19" s="10">
        <v>21.6</v>
      </c>
      <c r="AB19" s="10">
        <v>0</v>
      </c>
      <c r="AC19" s="10">
        <v>14.3</v>
      </c>
      <c r="AD19" s="10">
        <v>0</v>
      </c>
      <c r="AE19" s="10">
        <v>36.799999999999997</v>
      </c>
      <c r="AF19" s="10">
        <v>20.2</v>
      </c>
      <c r="AG19" s="10">
        <v>22.5</v>
      </c>
      <c r="AH19" s="10">
        <v>0</v>
      </c>
      <c r="AI19" s="10">
        <v>19.2</v>
      </c>
      <c r="AJ19" s="10">
        <v>0</v>
      </c>
      <c r="AK19" s="10">
        <v>35</v>
      </c>
      <c r="AL19" s="10">
        <v>20.9</v>
      </c>
      <c r="AM19" s="10">
        <v>22.3</v>
      </c>
      <c r="AN19" s="10">
        <v>0</v>
      </c>
      <c r="AO19" s="10">
        <v>20</v>
      </c>
      <c r="AP19" s="10">
        <v>0</v>
      </c>
      <c r="AQ19" s="10">
        <v>30.3</v>
      </c>
      <c r="AR19" s="10">
        <v>21.3</v>
      </c>
      <c r="AS19" s="10">
        <v>22.1</v>
      </c>
      <c r="AT19" s="10">
        <v>0</v>
      </c>
      <c r="AU19" s="10">
        <v>20</v>
      </c>
      <c r="AV19" s="10">
        <v>0</v>
      </c>
      <c r="AW19" s="10">
        <v>28.6</v>
      </c>
      <c r="AX19" s="10">
        <v>20.2</v>
      </c>
      <c r="AY19" s="10">
        <v>19.600000000000001</v>
      </c>
      <c r="AZ19" s="10">
        <v>0</v>
      </c>
      <c r="BA19" s="10">
        <v>20.100000000000001</v>
      </c>
      <c r="BB19" s="10">
        <v>0</v>
      </c>
      <c r="BC19" s="10">
        <v>27.8</v>
      </c>
      <c r="BD19" s="10">
        <v>19.899999999999999</v>
      </c>
      <c r="BE19" s="10">
        <v>19.600000000000001</v>
      </c>
      <c r="BF19" s="10">
        <v>0</v>
      </c>
      <c r="BG19" s="10">
        <v>18.600000000000001</v>
      </c>
      <c r="BH19" s="10">
        <v>0</v>
      </c>
      <c r="BI19" s="10">
        <v>32.4</v>
      </c>
      <c r="BJ19" s="10">
        <v>14.1</v>
      </c>
      <c r="BK19" s="10">
        <v>17.8</v>
      </c>
      <c r="BL19" s="10">
        <v>0</v>
      </c>
      <c r="BM19" s="10">
        <v>12.2</v>
      </c>
      <c r="BN19" s="10">
        <v>0</v>
      </c>
      <c r="BO19" s="10">
        <v>30.9</v>
      </c>
      <c r="BP19" s="10">
        <v>14.2</v>
      </c>
      <c r="BQ19" s="10">
        <v>10.5</v>
      </c>
      <c r="BR19" s="10">
        <v>0</v>
      </c>
      <c r="BS19" s="10">
        <v>10</v>
      </c>
      <c r="BT19" s="10">
        <v>0</v>
      </c>
      <c r="BU19" s="10">
        <v>30.9</v>
      </c>
    </row>
    <row r="20" spans="1:73" x14ac:dyDescent="0.35">
      <c r="A20">
        <v>14</v>
      </c>
      <c r="B20" s="10">
        <v>7.9</v>
      </c>
      <c r="C20" s="10">
        <v>7.6</v>
      </c>
      <c r="D20" s="10">
        <v>0</v>
      </c>
      <c r="E20" s="10">
        <v>5.5</v>
      </c>
      <c r="F20" s="10">
        <v>0</v>
      </c>
      <c r="G20" s="10">
        <v>27.9</v>
      </c>
      <c r="H20" s="10">
        <v>12.8</v>
      </c>
      <c r="I20" s="10">
        <v>11.5</v>
      </c>
      <c r="J20" s="10">
        <v>0</v>
      </c>
      <c r="K20" s="10">
        <v>6.7</v>
      </c>
      <c r="L20" s="10">
        <v>0</v>
      </c>
      <c r="M20" s="10">
        <v>33.6</v>
      </c>
      <c r="N20" s="10">
        <v>10</v>
      </c>
      <c r="O20" s="10">
        <v>12.9</v>
      </c>
      <c r="P20" s="10">
        <v>0</v>
      </c>
      <c r="Q20" s="10">
        <v>5.4</v>
      </c>
      <c r="R20" s="10">
        <v>0</v>
      </c>
      <c r="S20" s="10">
        <v>35.1</v>
      </c>
      <c r="T20" s="10">
        <v>15.7</v>
      </c>
      <c r="U20" s="10">
        <v>18.8</v>
      </c>
      <c r="V20" s="10">
        <v>0</v>
      </c>
      <c r="W20" s="10">
        <v>6.9</v>
      </c>
      <c r="X20" s="10">
        <v>0</v>
      </c>
      <c r="Y20" s="10">
        <v>38</v>
      </c>
      <c r="Z20" s="10">
        <v>16.8</v>
      </c>
      <c r="AA20" s="10">
        <v>21.9</v>
      </c>
      <c r="AB20" s="10">
        <v>0</v>
      </c>
      <c r="AC20" s="10">
        <v>11.1</v>
      </c>
      <c r="AD20" s="10">
        <v>0</v>
      </c>
      <c r="AE20" s="10">
        <v>37.6</v>
      </c>
      <c r="AF20" s="10">
        <v>20.2</v>
      </c>
      <c r="AG20" s="10">
        <v>23.2</v>
      </c>
      <c r="AH20" s="10">
        <v>0</v>
      </c>
      <c r="AI20" s="10">
        <v>20.8</v>
      </c>
      <c r="AJ20" s="10">
        <v>0</v>
      </c>
      <c r="AK20" s="10">
        <v>36</v>
      </c>
      <c r="AL20" s="10">
        <v>20.3</v>
      </c>
      <c r="AM20" s="10">
        <v>22.6</v>
      </c>
      <c r="AN20" s="10">
        <v>0</v>
      </c>
      <c r="AO20" s="10">
        <v>20.7</v>
      </c>
      <c r="AP20" s="10">
        <v>0</v>
      </c>
      <c r="AQ20" s="10">
        <v>30.4</v>
      </c>
      <c r="AR20" s="10">
        <v>20.5</v>
      </c>
      <c r="AS20" s="10">
        <v>21.9</v>
      </c>
      <c r="AT20" s="10">
        <v>0</v>
      </c>
      <c r="AU20" s="10">
        <v>20.2</v>
      </c>
      <c r="AV20" s="10">
        <v>0</v>
      </c>
      <c r="AW20" s="10">
        <v>28.9</v>
      </c>
      <c r="AX20" s="10">
        <v>20.7</v>
      </c>
      <c r="AY20" s="10">
        <v>20</v>
      </c>
      <c r="AZ20" s="10">
        <v>0</v>
      </c>
      <c r="BA20" s="10">
        <v>20.3</v>
      </c>
      <c r="BB20" s="10">
        <v>0</v>
      </c>
      <c r="BC20" s="10">
        <v>27.8</v>
      </c>
      <c r="BD20" s="10">
        <v>21</v>
      </c>
      <c r="BE20" s="10">
        <v>17.600000000000001</v>
      </c>
      <c r="BF20" s="10">
        <v>0</v>
      </c>
      <c r="BG20" s="10">
        <v>18.2</v>
      </c>
      <c r="BH20" s="10">
        <v>0</v>
      </c>
      <c r="BI20" s="10">
        <v>31.8</v>
      </c>
      <c r="BJ20" s="10">
        <v>14.8</v>
      </c>
      <c r="BK20" s="10">
        <v>15</v>
      </c>
      <c r="BL20" s="10">
        <v>0</v>
      </c>
      <c r="BM20" s="10">
        <v>12.2</v>
      </c>
      <c r="BN20" s="10">
        <v>0</v>
      </c>
      <c r="BO20" s="10">
        <v>30.6</v>
      </c>
      <c r="BP20" s="10">
        <v>14.7</v>
      </c>
      <c r="BQ20" s="10">
        <v>12.9</v>
      </c>
      <c r="BR20" s="10">
        <v>0</v>
      </c>
      <c r="BS20" s="10">
        <v>15.8</v>
      </c>
      <c r="BT20" s="10">
        <v>0</v>
      </c>
      <c r="BU20" s="10">
        <v>30.4</v>
      </c>
    </row>
    <row r="21" spans="1:73" x14ac:dyDescent="0.35">
      <c r="A21">
        <v>15</v>
      </c>
      <c r="B21" s="10">
        <v>8.5</v>
      </c>
      <c r="C21" s="10">
        <v>7.4</v>
      </c>
      <c r="D21" s="10">
        <v>0</v>
      </c>
      <c r="E21" s="10">
        <v>4.5</v>
      </c>
      <c r="F21" s="10">
        <v>0</v>
      </c>
      <c r="G21" s="10">
        <v>30</v>
      </c>
      <c r="H21" s="10">
        <v>14.3</v>
      </c>
      <c r="I21" s="10">
        <v>14.2</v>
      </c>
      <c r="J21" s="10">
        <v>0</v>
      </c>
      <c r="K21" s="10">
        <v>2.2999999999999998</v>
      </c>
      <c r="L21" s="10">
        <v>0</v>
      </c>
      <c r="M21" s="10">
        <v>31.9</v>
      </c>
      <c r="N21" s="10">
        <v>10.3</v>
      </c>
      <c r="O21" s="10">
        <v>13.5</v>
      </c>
      <c r="P21" s="10">
        <v>0</v>
      </c>
      <c r="Q21" s="10">
        <v>5.3</v>
      </c>
      <c r="R21" s="10">
        <v>0</v>
      </c>
      <c r="S21" s="10">
        <v>36.9</v>
      </c>
      <c r="T21" s="10">
        <v>16.399999999999999</v>
      </c>
      <c r="U21" s="10">
        <v>20.9</v>
      </c>
      <c r="V21" s="10">
        <v>0</v>
      </c>
      <c r="W21" s="10">
        <v>7.1</v>
      </c>
      <c r="X21" s="10">
        <v>0</v>
      </c>
      <c r="Y21" s="10">
        <v>38.5</v>
      </c>
      <c r="Z21" s="10">
        <v>14.2</v>
      </c>
      <c r="AA21" s="10">
        <v>19.8</v>
      </c>
      <c r="AB21" s="10">
        <v>0</v>
      </c>
      <c r="AC21" s="10">
        <v>11</v>
      </c>
      <c r="AD21" s="10">
        <v>0</v>
      </c>
      <c r="AE21" s="10">
        <v>39.4</v>
      </c>
      <c r="AF21" s="10">
        <v>20.6</v>
      </c>
      <c r="AG21" s="10">
        <v>24.7</v>
      </c>
      <c r="AH21" s="10">
        <v>0</v>
      </c>
      <c r="AI21" s="10">
        <v>20.2</v>
      </c>
      <c r="AJ21" s="10">
        <v>0</v>
      </c>
      <c r="AK21" s="10">
        <v>33.1</v>
      </c>
      <c r="AL21" s="10">
        <v>21.1</v>
      </c>
      <c r="AM21" s="10">
        <v>22.6</v>
      </c>
      <c r="AN21" s="10">
        <v>0</v>
      </c>
      <c r="AO21" s="10">
        <v>20.100000000000001</v>
      </c>
      <c r="AP21" s="10">
        <v>0</v>
      </c>
      <c r="AQ21" s="10">
        <v>30.3</v>
      </c>
      <c r="AR21" s="10">
        <v>20.9</v>
      </c>
      <c r="AS21" s="10">
        <v>22.1</v>
      </c>
      <c r="AT21" s="10">
        <v>0</v>
      </c>
      <c r="AU21" s="10">
        <v>20.3</v>
      </c>
      <c r="AV21" s="10">
        <v>0</v>
      </c>
      <c r="AW21" s="10">
        <v>28.4</v>
      </c>
      <c r="AX21" s="10">
        <v>21.1</v>
      </c>
      <c r="AY21" s="10">
        <v>21.2</v>
      </c>
      <c r="AZ21" s="10">
        <v>0</v>
      </c>
      <c r="BA21" s="10">
        <v>19.600000000000001</v>
      </c>
      <c r="BB21" s="10">
        <v>0</v>
      </c>
      <c r="BC21" s="10">
        <v>28.1</v>
      </c>
      <c r="BD21" s="10">
        <v>17.600000000000001</v>
      </c>
      <c r="BE21" s="10">
        <v>16.600000000000001</v>
      </c>
      <c r="BF21" s="10">
        <v>0</v>
      </c>
      <c r="BG21" s="10">
        <v>18.600000000000001</v>
      </c>
      <c r="BH21" s="10">
        <v>0</v>
      </c>
      <c r="BI21" s="10">
        <v>31.9</v>
      </c>
      <c r="BJ21" s="10">
        <v>15.6</v>
      </c>
      <c r="BK21" s="10">
        <v>13.7</v>
      </c>
      <c r="BL21" s="10">
        <v>0</v>
      </c>
      <c r="BM21" s="10">
        <v>12.9</v>
      </c>
      <c r="BN21" s="10">
        <v>0</v>
      </c>
      <c r="BO21" s="10">
        <v>30</v>
      </c>
      <c r="BP21" s="10">
        <v>14</v>
      </c>
      <c r="BQ21" s="10">
        <v>11.5</v>
      </c>
      <c r="BR21" s="10">
        <v>0</v>
      </c>
      <c r="BS21" s="10">
        <v>16.899999999999999</v>
      </c>
      <c r="BT21" s="10">
        <v>0</v>
      </c>
      <c r="BU21" s="10">
        <v>31.8</v>
      </c>
    </row>
    <row r="22" spans="1:73" x14ac:dyDescent="0.35">
      <c r="A22">
        <v>16</v>
      </c>
      <c r="B22" s="10">
        <v>8.9</v>
      </c>
      <c r="C22" s="10">
        <v>8.1999999999999993</v>
      </c>
      <c r="D22" s="10">
        <v>0</v>
      </c>
      <c r="E22" s="10">
        <v>2.8</v>
      </c>
      <c r="F22" s="10">
        <v>0</v>
      </c>
      <c r="G22" s="10">
        <v>31.1</v>
      </c>
      <c r="H22" s="10">
        <v>6.7</v>
      </c>
      <c r="I22" s="10">
        <v>9.8000000000000007</v>
      </c>
      <c r="J22" s="10">
        <v>0</v>
      </c>
      <c r="K22" s="10">
        <v>0</v>
      </c>
      <c r="L22" s="10">
        <v>0</v>
      </c>
      <c r="M22" s="10">
        <v>30.9</v>
      </c>
      <c r="N22" s="10">
        <v>11.6</v>
      </c>
      <c r="O22" s="10">
        <v>14.4</v>
      </c>
      <c r="P22" s="10">
        <v>0</v>
      </c>
      <c r="Q22" s="10">
        <v>9</v>
      </c>
      <c r="R22" s="10">
        <v>0</v>
      </c>
      <c r="S22" s="10">
        <v>37.200000000000003</v>
      </c>
      <c r="T22" s="10">
        <v>12.7</v>
      </c>
      <c r="U22" s="10">
        <v>21</v>
      </c>
      <c r="V22" s="10">
        <v>0</v>
      </c>
      <c r="W22" s="10">
        <v>18.899999999999999</v>
      </c>
      <c r="X22" s="10">
        <v>0</v>
      </c>
      <c r="Y22" s="10">
        <v>38.9</v>
      </c>
      <c r="Z22" s="10">
        <v>17.7</v>
      </c>
      <c r="AA22" s="10">
        <v>23.7</v>
      </c>
      <c r="AB22" s="10">
        <v>0</v>
      </c>
      <c r="AC22" s="10">
        <v>12.8</v>
      </c>
      <c r="AD22" s="10">
        <v>0</v>
      </c>
      <c r="AE22" s="10">
        <v>38.4</v>
      </c>
      <c r="AF22" s="10">
        <v>20.8</v>
      </c>
      <c r="AG22" s="10">
        <v>24.1</v>
      </c>
      <c r="AH22" s="10">
        <v>0</v>
      </c>
      <c r="AI22" s="10">
        <v>20.399999999999999</v>
      </c>
      <c r="AJ22" s="10">
        <v>0</v>
      </c>
      <c r="AK22" s="10">
        <v>32.6</v>
      </c>
      <c r="AL22" s="10">
        <v>21</v>
      </c>
      <c r="AM22" s="10">
        <v>22.6</v>
      </c>
      <c r="AN22" s="10">
        <v>0</v>
      </c>
      <c r="AO22" s="10">
        <v>21</v>
      </c>
      <c r="AP22" s="10">
        <v>0</v>
      </c>
      <c r="AQ22" s="10">
        <v>31.7</v>
      </c>
      <c r="AR22" s="10">
        <v>20.9</v>
      </c>
      <c r="AS22" s="10">
        <v>21.6</v>
      </c>
      <c r="AT22" s="10">
        <v>0</v>
      </c>
      <c r="AU22" s="10">
        <v>19.899999999999999</v>
      </c>
      <c r="AV22" s="10">
        <v>0</v>
      </c>
      <c r="AW22" s="10">
        <v>28.9</v>
      </c>
      <c r="AX22" s="10">
        <v>20.6</v>
      </c>
      <c r="AY22" s="10">
        <v>21.3</v>
      </c>
      <c r="AZ22" s="10">
        <v>0</v>
      </c>
      <c r="BA22" s="10">
        <v>20.399999999999999</v>
      </c>
      <c r="BB22" s="10">
        <v>0</v>
      </c>
      <c r="BC22" s="10">
        <v>28.7</v>
      </c>
      <c r="BD22" s="10">
        <v>17.5</v>
      </c>
      <c r="BE22" s="10">
        <v>17.100000000000001</v>
      </c>
      <c r="BF22" s="10">
        <v>0</v>
      </c>
      <c r="BG22" s="10">
        <v>18.399999999999999</v>
      </c>
      <c r="BH22" s="10">
        <v>0</v>
      </c>
      <c r="BI22" s="10">
        <v>31.2</v>
      </c>
      <c r="BJ22" s="10">
        <v>12.9</v>
      </c>
      <c r="BK22" s="10">
        <v>11.9</v>
      </c>
      <c r="BL22" s="10">
        <v>0</v>
      </c>
      <c r="BM22" s="10">
        <v>10.6</v>
      </c>
      <c r="BN22" s="10">
        <v>0</v>
      </c>
      <c r="BO22" s="10">
        <v>29.2</v>
      </c>
      <c r="BP22" s="10">
        <v>15.2</v>
      </c>
      <c r="BQ22" s="10">
        <v>13.5</v>
      </c>
      <c r="BR22" s="10">
        <v>0</v>
      </c>
      <c r="BS22" s="10">
        <v>11.4</v>
      </c>
      <c r="BT22" s="10">
        <v>0</v>
      </c>
      <c r="BU22" s="10">
        <v>30.2</v>
      </c>
    </row>
    <row r="23" spans="1:73" x14ac:dyDescent="0.35">
      <c r="A23">
        <v>17</v>
      </c>
      <c r="B23" s="10">
        <v>10.5</v>
      </c>
      <c r="C23" s="10">
        <v>8.1</v>
      </c>
      <c r="D23" s="10">
        <v>0</v>
      </c>
      <c r="E23" s="10">
        <v>1.3</v>
      </c>
      <c r="F23" s="10">
        <v>0</v>
      </c>
      <c r="G23" s="10">
        <v>31</v>
      </c>
      <c r="H23" s="10">
        <v>9.1</v>
      </c>
      <c r="I23" s="10">
        <v>9</v>
      </c>
      <c r="J23" s="10">
        <v>0</v>
      </c>
      <c r="K23" s="10">
        <v>4.7</v>
      </c>
      <c r="L23" s="10">
        <v>0</v>
      </c>
      <c r="M23" s="10">
        <v>32.200000000000003</v>
      </c>
      <c r="N23" s="10">
        <v>10.5</v>
      </c>
      <c r="O23" s="10">
        <v>14.8</v>
      </c>
      <c r="P23" s="10">
        <v>0</v>
      </c>
      <c r="Q23" s="10">
        <v>5.9</v>
      </c>
      <c r="R23" s="10">
        <v>0</v>
      </c>
      <c r="S23" s="10">
        <v>38.1</v>
      </c>
      <c r="T23" s="10">
        <v>19.100000000000001</v>
      </c>
      <c r="U23" s="10">
        <v>21.3</v>
      </c>
      <c r="V23" s="10">
        <v>0</v>
      </c>
      <c r="W23" s="10">
        <v>10.1</v>
      </c>
      <c r="X23" s="10">
        <v>0</v>
      </c>
      <c r="Y23" s="10">
        <v>37.299999999999997</v>
      </c>
      <c r="Z23" s="10">
        <v>15.8</v>
      </c>
      <c r="AA23" s="10">
        <v>20.7</v>
      </c>
      <c r="AB23" s="10">
        <v>0</v>
      </c>
      <c r="AC23" s="10">
        <v>14.3</v>
      </c>
      <c r="AD23" s="10">
        <v>0</v>
      </c>
      <c r="AE23" s="10">
        <v>39</v>
      </c>
      <c r="AF23" s="10">
        <v>22.3</v>
      </c>
      <c r="AG23" s="10">
        <v>23.5</v>
      </c>
      <c r="AH23" s="10">
        <v>0</v>
      </c>
      <c r="AI23" s="10">
        <v>22.6</v>
      </c>
      <c r="AJ23" s="10">
        <v>0</v>
      </c>
      <c r="AK23" s="10">
        <v>28.2</v>
      </c>
      <c r="AL23" s="10">
        <v>20.7</v>
      </c>
      <c r="AM23" s="10">
        <v>20.7</v>
      </c>
      <c r="AN23" s="10">
        <v>0</v>
      </c>
      <c r="AO23" s="10">
        <v>20.7</v>
      </c>
      <c r="AP23" s="10">
        <v>0</v>
      </c>
      <c r="AQ23" s="10">
        <v>32.200000000000003</v>
      </c>
      <c r="AR23" s="10">
        <v>19.899999999999999</v>
      </c>
      <c r="AS23" s="10">
        <v>21.2</v>
      </c>
      <c r="AT23" s="10">
        <v>0</v>
      </c>
      <c r="AU23" s="10">
        <v>18.899999999999999</v>
      </c>
      <c r="AV23" s="10">
        <v>0</v>
      </c>
      <c r="AW23" s="10">
        <v>28.8</v>
      </c>
      <c r="AX23" s="10">
        <v>21</v>
      </c>
      <c r="AY23" s="10">
        <v>19.2</v>
      </c>
      <c r="AZ23" s="10">
        <v>0</v>
      </c>
      <c r="BA23" s="10">
        <v>20.100000000000001</v>
      </c>
      <c r="BB23" s="10">
        <v>0</v>
      </c>
      <c r="BC23" s="10">
        <v>28.9</v>
      </c>
      <c r="BD23" s="10">
        <v>17.899999999999999</v>
      </c>
      <c r="BE23" s="10">
        <v>17.399999999999999</v>
      </c>
      <c r="BF23" s="10">
        <v>0</v>
      </c>
      <c r="BG23" s="10">
        <v>15.5</v>
      </c>
      <c r="BH23" s="10">
        <v>0</v>
      </c>
      <c r="BI23" s="10">
        <v>31.9</v>
      </c>
      <c r="BJ23" s="10">
        <v>11.4</v>
      </c>
      <c r="BK23" s="10">
        <v>9.5</v>
      </c>
      <c r="BL23" s="10">
        <v>0</v>
      </c>
      <c r="BM23" s="10">
        <v>9</v>
      </c>
      <c r="BN23" s="10">
        <v>0</v>
      </c>
      <c r="BO23" s="10">
        <v>28.3</v>
      </c>
      <c r="BP23" s="10">
        <v>13.8</v>
      </c>
      <c r="BQ23" s="10">
        <v>12.5</v>
      </c>
      <c r="BR23" s="10">
        <v>0</v>
      </c>
      <c r="BS23" s="10">
        <v>12.1</v>
      </c>
      <c r="BT23" s="10">
        <v>0</v>
      </c>
      <c r="BU23" s="10">
        <v>29.5</v>
      </c>
    </row>
    <row r="24" spans="1:73" x14ac:dyDescent="0.35">
      <c r="A24">
        <v>18</v>
      </c>
      <c r="B24" s="10">
        <v>11.9</v>
      </c>
      <c r="C24" s="10">
        <v>9.4</v>
      </c>
      <c r="D24" s="10">
        <v>0</v>
      </c>
      <c r="E24" s="10">
        <v>8.9</v>
      </c>
      <c r="F24" s="10">
        <v>0</v>
      </c>
      <c r="G24" s="10">
        <v>27</v>
      </c>
      <c r="H24" s="10">
        <v>12.1</v>
      </c>
      <c r="I24" s="10">
        <v>12.2</v>
      </c>
      <c r="J24" s="10">
        <v>0</v>
      </c>
      <c r="K24" s="10">
        <v>11</v>
      </c>
      <c r="L24" s="10">
        <v>0</v>
      </c>
      <c r="M24" s="10">
        <v>34</v>
      </c>
      <c r="N24" s="10">
        <v>9.8000000000000007</v>
      </c>
      <c r="O24" s="10">
        <v>14.8</v>
      </c>
      <c r="P24" s="10">
        <v>0</v>
      </c>
      <c r="Q24" s="10">
        <v>5.9</v>
      </c>
      <c r="R24" s="10">
        <v>0</v>
      </c>
      <c r="S24" s="10">
        <v>37.799999999999997</v>
      </c>
      <c r="T24" s="10">
        <v>16.8</v>
      </c>
      <c r="U24" s="10">
        <v>21.8</v>
      </c>
      <c r="V24" s="10">
        <v>0</v>
      </c>
      <c r="W24" s="10">
        <v>8.3000000000000007</v>
      </c>
      <c r="X24" s="10">
        <v>0</v>
      </c>
      <c r="Y24" s="10">
        <v>38.9</v>
      </c>
      <c r="Z24" s="10">
        <v>17.100000000000001</v>
      </c>
      <c r="AA24" s="10">
        <v>22.1</v>
      </c>
      <c r="AB24" s="10">
        <v>0</v>
      </c>
      <c r="AC24" s="10">
        <v>11.2</v>
      </c>
      <c r="AD24" s="10">
        <v>0</v>
      </c>
      <c r="AE24" s="10">
        <v>37.700000000000003</v>
      </c>
      <c r="AF24" s="10">
        <v>22.3</v>
      </c>
      <c r="AG24" s="10">
        <v>22.7</v>
      </c>
      <c r="AH24" s="10">
        <v>0</v>
      </c>
      <c r="AI24" s="10">
        <v>20.8</v>
      </c>
      <c r="AJ24" s="10">
        <v>0</v>
      </c>
      <c r="AK24" s="10">
        <v>31.4</v>
      </c>
      <c r="AL24" s="10">
        <v>22</v>
      </c>
      <c r="AM24" s="10">
        <v>22.1</v>
      </c>
      <c r="AN24" s="10">
        <v>0</v>
      </c>
      <c r="AO24" s="10">
        <v>21.5</v>
      </c>
      <c r="AP24" s="10">
        <v>0</v>
      </c>
      <c r="AQ24" s="10">
        <v>28.3</v>
      </c>
      <c r="AR24" s="10">
        <v>21.3</v>
      </c>
      <c r="AS24" s="10">
        <v>21</v>
      </c>
      <c r="AT24" s="10">
        <v>0</v>
      </c>
      <c r="AU24" s="10">
        <v>20.399999999999999</v>
      </c>
      <c r="AV24" s="10">
        <v>0</v>
      </c>
      <c r="AW24" s="10">
        <v>28.3</v>
      </c>
      <c r="AX24" s="10">
        <v>19.899999999999999</v>
      </c>
      <c r="AY24" s="10">
        <v>19.8</v>
      </c>
      <c r="AZ24" s="10">
        <v>0</v>
      </c>
      <c r="BA24" s="10">
        <v>19.7</v>
      </c>
      <c r="BB24" s="10">
        <v>0</v>
      </c>
      <c r="BC24" s="10">
        <v>30</v>
      </c>
      <c r="BD24" s="10">
        <v>18.3</v>
      </c>
      <c r="BE24" s="10">
        <v>16.5</v>
      </c>
      <c r="BF24" s="10">
        <v>0</v>
      </c>
      <c r="BG24" s="10">
        <v>15.1</v>
      </c>
      <c r="BH24" s="10">
        <v>0</v>
      </c>
      <c r="BI24" s="10">
        <v>32.1</v>
      </c>
      <c r="BJ24" s="10">
        <v>13.1</v>
      </c>
      <c r="BK24" s="10">
        <v>9</v>
      </c>
      <c r="BL24" s="10">
        <v>0</v>
      </c>
      <c r="BM24" s="10">
        <v>9.5</v>
      </c>
      <c r="BN24" s="10">
        <v>0</v>
      </c>
      <c r="BO24" s="10">
        <v>29.3</v>
      </c>
      <c r="BP24" s="10">
        <v>13.9</v>
      </c>
      <c r="BQ24" s="10">
        <v>13.1</v>
      </c>
      <c r="BR24" s="10">
        <v>0</v>
      </c>
      <c r="BS24" s="10">
        <v>8.8000000000000007</v>
      </c>
      <c r="BT24" s="10">
        <v>0</v>
      </c>
      <c r="BU24" s="10">
        <v>29.8</v>
      </c>
    </row>
    <row r="25" spans="1:73" x14ac:dyDescent="0.35">
      <c r="A25">
        <v>19</v>
      </c>
      <c r="B25" s="10">
        <v>10.5</v>
      </c>
      <c r="C25" s="10">
        <v>9.9</v>
      </c>
      <c r="D25" s="10">
        <v>0</v>
      </c>
      <c r="E25" s="10">
        <v>10.6</v>
      </c>
      <c r="F25" s="10">
        <v>0</v>
      </c>
      <c r="G25" s="10">
        <v>25.1</v>
      </c>
      <c r="H25" s="10">
        <v>14.3</v>
      </c>
      <c r="I25" s="10">
        <v>14.8</v>
      </c>
      <c r="J25" s="10">
        <v>0</v>
      </c>
      <c r="K25" s="10">
        <v>8.8000000000000007</v>
      </c>
      <c r="L25" s="10">
        <v>0</v>
      </c>
      <c r="M25" s="10">
        <v>35.1</v>
      </c>
      <c r="N25" s="10">
        <v>9.5</v>
      </c>
      <c r="O25" s="10">
        <v>14.3</v>
      </c>
      <c r="P25" s="10">
        <v>0</v>
      </c>
      <c r="Q25" s="10">
        <v>3.6</v>
      </c>
      <c r="R25" s="10">
        <v>0</v>
      </c>
      <c r="S25" s="10">
        <v>38.1</v>
      </c>
      <c r="T25" s="10">
        <v>20.100000000000001</v>
      </c>
      <c r="U25" s="10">
        <v>25</v>
      </c>
      <c r="V25" s="10">
        <v>0</v>
      </c>
      <c r="W25" s="10">
        <v>18.5</v>
      </c>
      <c r="X25" s="10">
        <v>0</v>
      </c>
      <c r="Y25" s="10">
        <v>36.799999999999997</v>
      </c>
      <c r="Z25" s="10">
        <v>12.8</v>
      </c>
      <c r="AA25" s="10">
        <v>20.7</v>
      </c>
      <c r="AB25" s="10">
        <v>0</v>
      </c>
      <c r="AC25" s="10">
        <v>9.1999999999999993</v>
      </c>
      <c r="AD25" s="10">
        <v>0</v>
      </c>
      <c r="AE25" s="10">
        <v>38.4</v>
      </c>
      <c r="AF25" s="10">
        <v>20.8</v>
      </c>
      <c r="AG25" s="10">
        <v>24.4</v>
      </c>
      <c r="AH25" s="10">
        <v>0</v>
      </c>
      <c r="AI25" s="10">
        <v>20</v>
      </c>
      <c r="AJ25" s="10">
        <v>0</v>
      </c>
      <c r="AK25" s="10">
        <v>32.5</v>
      </c>
      <c r="AL25" s="10">
        <v>21.6</v>
      </c>
      <c r="AM25" s="10">
        <v>22.1</v>
      </c>
      <c r="AN25" s="10">
        <v>0</v>
      </c>
      <c r="AO25" s="10">
        <v>21.7</v>
      </c>
      <c r="AP25" s="10">
        <v>0</v>
      </c>
      <c r="AQ25" s="10">
        <v>26.4</v>
      </c>
      <c r="AR25" s="10">
        <v>21.7</v>
      </c>
      <c r="AS25" s="10">
        <v>21.3</v>
      </c>
      <c r="AT25" s="10">
        <v>0</v>
      </c>
      <c r="AU25" s="10">
        <v>20.9</v>
      </c>
      <c r="AV25" s="10">
        <v>0</v>
      </c>
      <c r="AW25" s="10">
        <v>26.9</v>
      </c>
      <c r="AX25" s="10">
        <v>19.899999999999999</v>
      </c>
      <c r="AY25" s="10">
        <v>20.100000000000001</v>
      </c>
      <c r="AZ25" s="10">
        <v>0</v>
      </c>
      <c r="BA25" s="10">
        <v>21.5</v>
      </c>
      <c r="BB25" s="10">
        <v>0</v>
      </c>
      <c r="BC25" s="10">
        <v>28.8</v>
      </c>
      <c r="BD25" s="10">
        <v>16.600000000000001</v>
      </c>
      <c r="BE25" s="10">
        <v>15.7</v>
      </c>
      <c r="BF25" s="10">
        <v>0</v>
      </c>
      <c r="BG25" s="10">
        <v>11.4</v>
      </c>
      <c r="BH25" s="10">
        <v>0</v>
      </c>
      <c r="BI25" s="10">
        <v>31.6</v>
      </c>
      <c r="BJ25" s="10">
        <v>10.6</v>
      </c>
      <c r="BK25" s="10">
        <v>7.9</v>
      </c>
      <c r="BL25" s="10">
        <v>0</v>
      </c>
      <c r="BM25" s="10">
        <v>10.9</v>
      </c>
      <c r="BN25" s="10">
        <v>0</v>
      </c>
      <c r="BO25" s="10">
        <v>29.4</v>
      </c>
      <c r="BP25" s="10">
        <v>11.6</v>
      </c>
      <c r="BQ25" s="10">
        <v>10.3</v>
      </c>
      <c r="BR25" s="10">
        <v>0</v>
      </c>
      <c r="BS25" s="10">
        <v>9.8000000000000007</v>
      </c>
      <c r="BT25" s="10">
        <v>0</v>
      </c>
      <c r="BU25" s="10">
        <v>27.2</v>
      </c>
    </row>
    <row r="26" spans="1:73" x14ac:dyDescent="0.35">
      <c r="A26">
        <v>20</v>
      </c>
      <c r="B26" s="10">
        <v>10.5</v>
      </c>
      <c r="C26" s="10">
        <v>7.8</v>
      </c>
      <c r="D26" s="10">
        <v>0</v>
      </c>
      <c r="E26" s="10">
        <v>9.1999999999999993</v>
      </c>
      <c r="F26" s="10">
        <v>0</v>
      </c>
      <c r="G26" s="10">
        <v>27.2</v>
      </c>
      <c r="H26" s="10">
        <v>14.8</v>
      </c>
      <c r="I26" s="10">
        <v>14.6</v>
      </c>
      <c r="J26" s="10">
        <v>0</v>
      </c>
      <c r="K26" s="10">
        <v>6.7</v>
      </c>
      <c r="L26" s="10">
        <v>0</v>
      </c>
      <c r="M26" s="10">
        <v>34.5</v>
      </c>
      <c r="N26" s="10">
        <v>10.3</v>
      </c>
      <c r="O26" s="10">
        <v>14.6</v>
      </c>
      <c r="P26" s="10">
        <v>0</v>
      </c>
      <c r="Q26" s="10">
        <v>3.8</v>
      </c>
      <c r="R26" s="10">
        <v>0</v>
      </c>
      <c r="S26" s="10">
        <v>39.1</v>
      </c>
      <c r="T26" s="10">
        <v>17.7</v>
      </c>
      <c r="U26" s="10">
        <v>20.399999999999999</v>
      </c>
      <c r="V26" s="10">
        <v>0</v>
      </c>
      <c r="W26" s="10">
        <v>14</v>
      </c>
      <c r="X26" s="10">
        <v>0</v>
      </c>
      <c r="Y26" s="10">
        <v>36.9</v>
      </c>
      <c r="Z26" s="10">
        <v>15.5</v>
      </c>
      <c r="AA26" s="10">
        <v>21.8</v>
      </c>
      <c r="AB26" s="10">
        <v>0</v>
      </c>
      <c r="AC26" s="10">
        <v>12.5</v>
      </c>
      <c r="AD26" s="10">
        <v>0</v>
      </c>
      <c r="AE26" s="10">
        <v>38.6</v>
      </c>
      <c r="AF26" s="10">
        <v>21.1</v>
      </c>
      <c r="AG26" s="10">
        <v>23.8</v>
      </c>
      <c r="AH26" s="10">
        <v>0</v>
      </c>
      <c r="AI26" s="10">
        <v>19.399999999999999</v>
      </c>
      <c r="AJ26" s="10">
        <v>0</v>
      </c>
      <c r="AK26" s="10">
        <v>32.799999999999997</v>
      </c>
      <c r="AL26" s="10">
        <v>22.3</v>
      </c>
      <c r="AM26" s="10">
        <v>22.7</v>
      </c>
      <c r="AN26" s="10">
        <v>0</v>
      </c>
      <c r="AO26" s="10">
        <v>22.6</v>
      </c>
      <c r="AP26" s="10">
        <v>0</v>
      </c>
      <c r="AQ26" s="10">
        <v>26.1</v>
      </c>
      <c r="AR26" s="10">
        <v>20.9</v>
      </c>
      <c r="AS26" s="10">
        <v>22</v>
      </c>
      <c r="AT26" s="10">
        <v>0</v>
      </c>
      <c r="AU26" s="10">
        <v>20.3</v>
      </c>
      <c r="AV26" s="10">
        <v>0</v>
      </c>
      <c r="AW26" s="10">
        <v>28.4</v>
      </c>
      <c r="AX26" s="10">
        <v>20.7</v>
      </c>
      <c r="AY26" s="10">
        <v>21.6</v>
      </c>
      <c r="AZ26" s="10">
        <v>0</v>
      </c>
      <c r="BA26" s="10">
        <v>20.3</v>
      </c>
      <c r="BB26" s="10">
        <v>0</v>
      </c>
      <c r="BC26" s="10">
        <v>30.9</v>
      </c>
      <c r="BD26" s="10">
        <v>14</v>
      </c>
      <c r="BE26" s="10">
        <v>14.8</v>
      </c>
      <c r="BF26" s="10">
        <v>0</v>
      </c>
      <c r="BG26" s="10">
        <v>14.4</v>
      </c>
      <c r="BH26" s="10">
        <v>0</v>
      </c>
      <c r="BI26" s="10">
        <v>31.7</v>
      </c>
      <c r="BJ26" s="10">
        <v>10.4</v>
      </c>
      <c r="BK26" s="10">
        <v>8.6</v>
      </c>
      <c r="BL26" s="10">
        <v>0</v>
      </c>
      <c r="BM26" s="10">
        <v>13</v>
      </c>
      <c r="BN26" s="10">
        <v>0</v>
      </c>
      <c r="BO26" s="10">
        <v>29.2</v>
      </c>
      <c r="BP26" s="10">
        <v>11.9</v>
      </c>
      <c r="BQ26" s="10">
        <v>10.1</v>
      </c>
      <c r="BR26" s="10">
        <v>0</v>
      </c>
      <c r="BS26" s="10">
        <v>10.1</v>
      </c>
      <c r="BT26" s="10">
        <v>0</v>
      </c>
      <c r="BU26" s="10">
        <v>28.7</v>
      </c>
    </row>
    <row r="27" spans="1:73" x14ac:dyDescent="0.35">
      <c r="A27">
        <v>21</v>
      </c>
      <c r="B27" s="10">
        <v>11.1</v>
      </c>
      <c r="C27" s="10">
        <v>8.6999999999999993</v>
      </c>
      <c r="D27" s="10">
        <v>0</v>
      </c>
      <c r="E27" s="10">
        <v>9</v>
      </c>
      <c r="F27" s="10">
        <v>0</v>
      </c>
      <c r="G27" s="10">
        <v>29.6</v>
      </c>
      <c r="H27" s="10">
        <v>12.8</v>
      </c>
      <c r="I27" s="10">
        <v>13.1</v>
      </c>
      <c r="J27" s="10">
        <v>0</v>
      </c>
      <c r="K27" s="10">
        <v>2.7</v>
      </c>
      <c r="L27" s="10">
        <v>0</v>
      </c>
      <c r="M27" s="10">
        <v>35.4</v>
      </c>
      <c r="N27" s="10">
        <v>13.5</v>
      </c>
      <c r="O27" s="10">
        <v>15.8</v>
      </c>
      <c r="P27" s="10">
        <v>0</v>
      </c>
      <c r="Q27" s="10">
        <v>5.6</v>
      </c>
      <c r="R27" s="10">
        <v>0</v>
      </c>
      <c r="S27" s="10">
        <v>38.4</v>
      </c>
      <c r="T27" s="10">
        <v>18.7</v>
      </c>
      <c r="U27" s="10">
        <v>21</v>
      </c>
      <c r="V27" s="10">
        <v>0</v>
      </c>
      <c r="W27" s="10">
        <v>16.899999999999999</v>
      </c>
      <c r="X27" s="10">
        <v>0</v>
      </c>
      <c r="Y27" s="10">
        <v>36.9</v>
      </c>
      <c r="Z27" s="10">
        <v>16.899999999999999</v>
      </c>
      <c r="AA27" s="10">
        <v>23.4</v>
      </c>
      <c r="AB27" s="10">
        <v>0</v>
      </c>
      <c r="AC27" s="10">
        <v>13.5</v>
      </c>
      <c r="AD27" s="10">
        <v>0</v>
      </c>
      <c r="AE27" s="10">
        <v>37.5</v>
      </c>
      <c r="AF27" s="10">
        <v>20.100000000000001</v>
      </c>
      <c r="AG27" s="10">
        <v>24.3</v>
      </c>
      <c r="AH27" s="10">
        <v>0</v>
      </c>
      <c r="AI27" s="10">
        <v>18</v>
      </c>
      <c r="AJ27" s="10">
        <v>0</v>
      </c>
      <c r="AK27" s="10">
        <v>33.1</v>
      </c>
      <c r="AL27" s="10">
        <v>22.4</v>
      </c>
      <c r="AM27" s="10">
        <v>23</v>
      </c>
      <c r="AN27" s="10">
        <v>0</v>
      </c>
      <c r="AO27" s="10">
        <v>21.5</v>
      </c>
      <c r="AP27" s="10">
        <v>0</v>
      </c>
      <c r="AQ27" s="10">
        <v>29.5</v>
      </c>
      <c r="AR27" s="10">
        <v>21.1</v>
      </c>
      <c r="AS27" s="10">
        <v>20.8</v>
      </c>
      <c r="AT27" s="10">
        <v>0</v>
      </c>
      <c r="AU27" s="10">
        <v>20.7</v>
      </c>
      <c r="AV27" s="10">
        <v>0</v>
      </c>
      <c r="AW27" s="10">
        <v>28.3</v>
      </c>
      <c r="AX27" s="10">
        <v>20</v>
      </c>
      <c r="AY27" s="10">
        <v>22.5</v>
      </c>
      <c r="AZ27" s="10">
        <v>0</v>
      </c>
      <c r="BA27" s="10">
        <v>21.7</v>
      </c>
      <c r="BB27" s="10">
        <v>0</v>
      </c>
      <c r="BC27" s="10">
        <v>28</v>
      </c>
      <c r="BD27" s="10">
        <v>20.6</v>
      </c>
      <c r="BE27" s="10">
        <v>20.100000000000001</v>
      </c>
      <c r="BF27" s="10">
        <v>0</v>
      </c>
      <c r="BG27" s="10">
        <v>18</v>
      </c>
      <c r="BH27" s="10">
        <v>0</v>
      </c>
      <c r="BI27" s="10">
        <v>29.2</v>
      </c>
      <c r="BJ27" s="10">
        <v>13.6</v>
      </c>
      <c r="BK27" s="10">
        <v>10.8</v>
      </c>
      <c r="BL27" s="10">
        <v>0</v>
      </c>
      <c r="BM27" s="10">
        <v>16.5</v>
      </c>
      <c r="BN27" s="10">
        <v>0</v>
      </c>
      <c r="BO27" s="10">
        <v>30.5</v>
      </c>
      <c r="BP27" s="10">
        <v>12.5</v>
      </c>
      <c r="BQ27" s="10">
        <v>10</v>
      </c>
      <c r="BR27" s="10">
        <v>0</v>
      </c>
      <c r="BS27" s="10">
        <v>16.899999999999999</v>
      </c>
      <c r="BT27" s="10">
        <v>0</v>
      </c>
      <c r="BU27" s="10">
        <v>31.5</v>
      </c>
    </row>
    <row r="28" spans="1:73" x14ac:dyDescent="0.35">
      <c r="A28">
        <v>22</v>
      </c>
      <c r="B28" s="10">
        <v>12.8</v>
      </c>
      <c r="C28" s="10">
        <v>11.2</v>
      </c>
      <c r="D28" s="10">
        <v>0</v>
      </c>
      <c r="E28" s="10">
        <v>13.5</v>
      </c>
      <c r="F28" s="10">
        <v>0</v>
      </c>
      <c r="G28" s="10">
        <v>29</v>
      </c>
      <c r="H28" s="10">
        <v>11.7</v>
      </c>
      <c r="I28" s="10">
        <v>12.8</v>
      </c>
      <c r="J28" s="10">
        <v>0</v>
      </c>
      <c r="K28" s="10">
        <v>2.6</v>
      </c>
      <c r="L28" s="10">
        <v>0</v>
      </c>
      <c r="M28" s="10">
        <v>36</v>
      </c>
      <c r="N28" s="10">
        <v>11.6</v>
      </c>
      <c r="O28" s="10">
        <v>16.3</v>
      </c>
      <c r="P28" s="10">
        <v>0</v>
      </c>
      <c r="Q28" s="10">
        <v>8.3000000000000007</v>
      </c>
      <c r="R28" s="10">
        <v>0</v>
      </c>
      <c r="S28" s="10">
        <v>38</v>
      </c>
      <c r="T28" s="10">
        <v>14.1</v>
      </c>
      <c r="U28" s="10">
        <v>20.7</v>
      </c>
      <c r="V28" s="10">
        <v>0</v>
      </c>
      <c r="W28" s="10">
        <v>10.3</v>
      </c>
      <c r="X28" s="10">
        <v>0</v>
      </c>
      <c r="Y28" s="10">
        <v>37.9</v>
      </c>
      <c r="Z28" s="10">
        <v>18.899999999999999</v>
      </c>
      <c r="AA28" s="10">
        <v>22.2</v>
      </c>
      <c r="AB28" s="10">
        <v>0</v>
      </c>
      <c r="AC28" s="10">
        <v>15.8</v>
      </c>
      <c r="AD28" s="10">
        <v>0</v>
      </c>
      <c r="AE28" s="10">
        <v>37.700000000000003</v>
      </c>
      <c r="AF28" s="10">
        <v>20.100000000000001</v>
      </c>
      <c r="AG28" s="10">
        <v>23.4</v>
      </c>
      <c r="AH28" s="10">
        <v>0</v>
      </c>
      <c r="AI28" s="10">
        <v>18.7</v>
      </c>
      <c r="AJ28" s="10">
        <v>0</v>
      </c>
      <c r="AK28" s="10">
        <v>32.700000000000003</v>
      </c>
      <c r="AL28" s="10">
        <v>21.5</v>
      </c>
      <c r="AM28" s="10">
        <v>23.2</v>
      </c>
      <c r="AN28" s="10">
        <v>0</v>
      </c>
      <c r="AO28" s="10">
        <v>21.3</v>
      </c>
      <c r="AP28" s="10">
        <v>0</v>
      </c>
      <c r="AQ28" s="10">
        <v>27.4</v>
      </c>
      <c r="AR28" s="10">
        <v>20.100000000000001</v>
      </c>
      <c r="AS28" s="10">
        <v>21.1</v>
      </c>
      <c r="AT28" s="10">
        <v>0</v>
      </c>
      <c r="AU28" s="10">
        <v>20.100000000000001</v>
      </c>
      <c r="AV28" s="10">
        <v>0</v>
      </c>
      <c r="AW28" s="10">
        <v>29.1</v>
      </c>
      <c r="AX28" s="10">
        <v>20.9</v>
      </c>
      <c r="AY28" s="10">
        <v>21.7</v>
      </c>
      <c r="AZ28" s="10">
        <v>0</v>
      </c>
      <c r="BA28" s="10">
        <v>20.399999999999999</v>
      </c>
      <c r="BB28" s="10">
        <v>0</v>
      </c>
      <c r="BC28" s="10">
        <v>30.6</v>
      </c>
      <c r="BD28" s="10">
        <v>13.5</v>
      </c>
      <c r="BE28" s="10">
        <v>20.2</v>
      </c>
      <c r="BF28" s="10">
        <v>0</v>
      </c>
      <c r="BG28" s="10">
        <v>19.600000000000001</v>
      </c>
      <c r="BH28" s="10">
        <v>0</v>
      </c>
      <c r="BI28" s="10">
        <v>29.5</v>
      </c>
      <c r="BJ28" s="10">
        <v>16.100000000000001</v>
      </c>
      <c r="BK28" s="10">
        <v>13.4</v>
      </c>
      <c r="BL28" s="10">
        <v>0</v>
      </c>
      <c r="BM28" s="10">
        <v>16.3</v>
      </c>
      <c r="BN28" s="10">
        <v>0</v>
      </c>
      <c r="BO28" s="10">
        <v>31.4</v>
      </c>
      <c r="BP28" s="10">
        <v>15.3</v>
      </c>
      <c r="BQ28" s="10">
        <v>12.6</v>
      </c>
      <c r="BR28" s="10">
        <v>0</v>
      </c>
      <c r="BS28" s="10">
        <v>14.1</v>
      </c>
      <c r="BT28" s="10">
        <v>0</v>
      </c>
      <c r="BU28" s="10">
        <v>31.7</v>
      </c>
    </row>
    <row r="29" spans="1:73" x14ac:dyDescent="0.35">
      <c r="A29">
        <v>23</v>
      </c>
      <c r="B29" s="10">
        <v>14.7</v>
      </c>
      <c r="C29" s="10">
        <v>13.8</v>
      </c>
      <c r="D29" s="10">
        <v>0</v>
      </c>
      <c r="E29" s="10">
        <v>12.1</v>
      </c>
      <c r="F29" s="10">
        <v>0</v>
      </c>
      <c r="G29" s="10">
        <v>30</v>
      </c>
      <c r="H29" s="10">
        <v>12.7</v>
      </c>
      <c r="I29" s="10">
        <v>12.9</v>
      </c>
      <c r="J29" s="10">
        <v>0</v>
      </c>
      <c r="K29" s="10">
        <v>4.4000000000000004</v>
      </c>
      <c r="L29" s="10">
        <v>0</v>
      </c>
      <c r="M29" s="10">
        <v>35</v>
      </c>
      <c r="N29" s="10">
        <v>13.5</v>
      </c>
      <c r="O29" s="10">
        <v>16.399999999999999</v>
      </c>
      <c r="P29" s="10">
        <v>0</v>
      </c>
      <c r="Q29" s="10">
        <v>5.0999999999999996</v>
      </c>
      <c r="R29" s="10">
        <v>0</v>
      </c>
      <c r="S29" s="10">
        <v>38.4</v>
      </c>
      <c r="T29" s="10">
        <v>11.2</v>
      </c>
      <c r="U29" s="10">
        <v>19.899999999999999</v>
      </c>
      <c r="V29" s="10">
        <v>0</v>
      </c>
      <c r="W29" s="10">
        <v>0.5</v>
      </c>
      <c r="X29" s="10">
        <v>0</v>
      </c>
      <c r="Y29" s="10">
        <v>37.1</v>
      </c>
      <c r="Z29" s="10">
        <v>19.5</v>
      </c>
      <c r="AA29" s="10">
        <v>22.9</v>
      </c>
      <c r="AB29" s="10">
        <v>0</v>
      </c>
      <c r="AC29" s="10">
        <v>16.399999999999999</v>
      </c>
      <c r="AD29" s="10">
        <v>0</v>
      </c>
      <c r="AE29" s="10">
        <v>37.9</v>
      </c>
      <c r="AF29" s="10">
        <v>20.3</v>
      </c>
      <c r="AG29" s="10">
        <v>23.5</v>
      </c>
      <c r="AH29" s="10">
        <v>0</v>
      </c>
      <c r="AI29" s="10">
        <v>19.100000000000001</v>
      </c>
      <c r="AJ29" s="10">
        <v>0</v>
      </c>
      <c r="AK29" s="10">
        <v>33.1</v>
      </c>
      <c r="AL29" s="10">
        <v>21.4</v>
      </c>
      <c r="AM29" s="10">
        <v>22.6</v>
      </c>
      <c r="AN29" s="10">
        <v>0</v>
      </c>
      <c r="AO29" s="10">
        <v>21.5</v>
      </c>
      <c r="AP29" s="10">
        <v>0</v>
      </c>
      <c r="AQ29" s="10">
        <v>28.7</v>
      </c>
      <c r="AR29" s="10">
        <v>21.1</v>
      </c>
      <c r="AS29" s="10">
        <v>20.6</v>
      </c>
      <c r="AT29" s="10">
        <v>0</v>
      </c>
      <c r="AU29" s="10">
        <v>21.3</v>
      </c>
      <c r="AV29" s="10">
        <v>0</v>
      </c>
      <c r="AW29" s="10">
        <v>30.9</v>
      </c>
      <c r="AX29" s="10">
        <v>20.3</v>
      </c>
      <c r="AY29" s="10">
        <v>19.3</v>
      </c>
      <c r="AZ29" s="10">
        <v>0</v>
      </c>
      <c r="BA29" s="10">
        <v>19.7</v>
      </c>
      <c r="BB29" s="10">
        <v>0</v>
      </c>
      <c r="BC29" s="10">
        <v>30.1</v>
      </c>
      <c r="BD29" s="10">
        <v>20.100000000000001</v>
      </c>
      <c r="BE29" s="10">
        <v>21.8</v>
      </c>
      <c r="BF29" s="10">
        <v>0</v>
      </c>
      <c r="BG29" s="10">
        <v>17.899999999999999</v>
      </c>
      <c r="BH29" s="10">
        <v>0</v>
      </c>
      <c r="BI29" s="10">
        <v>31.7</v>
      </c>
      <c r="BJ29" s="10">
        <v>17.100000000000001</v>
      </c>
      <c r="BK29" s="10">
        <v>14.8</v>
      </c>
      <c r="BL29" s="10">
        <v>0</v>
      </c>
      <c r="BM29" s="10">
        <v>13.9</v>
      </c>
      <c r="BN29" s="10">
        <v>0</v>
      </c>
      <c r="BO29" s="10">
        <v>31.1</v>
      </c>
      <c r="BP29" s="10">
        <v>15</v>
      </c>
      <c r="BQ29" s="10">
        <v>14</v>
      </c>
      <c r="BR29" s="10">
        <v>0</v>
      </c>
      <c r="BS29" s="10">
        <v>15.4</v>
      </c>
      <c r="BT29" s="10">
        <v>0</v>
      </c>
      <c r="BU29" s="10">
        <v>30.5</v>
      </c>
    </row>
    <row r="30" spans="1:73" x14ac:dyDescent="0.35">
      <c r="A30">
        <v>24</v>
      </c>
      <c r="B30" s="10">
        <v>14.6</v>
      </c>
      <c r="C30" s="10">
        <v>13.8</v>
      </c>
      <c r="D30" s="10">
        <v>0</v>
      </c>
      <c r="E30" s="10">
        <v>11.7</v>
      </c>
      <c r="F30" s="10">
        <v>0</v>
      </c>
      <c r="G30" s="10">
        <v>29.6</v>
      </c>
      <c r="H30" s="10">
        <v>12.9</v>
      </c>
      <c r="I30" s="10">
        <v>14</v>
      </c>
      <c r="J30" s="10">
        <v>0</v>
      </c>
      <c r="K30" s="10">
        <v>7.3</v>
      </c>
      <c r="L30" s="10">
        <v>0</v>
      </c>
      <c r="M30" s="10">
        <v>35.200000000000003</v>
      </c>
      <c r="N30" s="10">
        <v>13.1</v>
      </c>
      <c r="O30" s="10">
        <v>16</v>
      </c>
      <c r="P30" s="10">
        <v>0</v>
      </c>
      <c r="Q30" s="10">
        <v>9.4</v>
      </c>
      <c r="R30" s="10">
        <v>0</v>
      </c>
      <c r="S30" s="10">
        <v>38.4</v>
      </c>
      <c r="T30" s="10">
        <v>13.1</v>
      </c>
      <c r="U30" s="10">
        <v>18.399999999999999</v>
      </c>
      <c r="V30" s="10">
        <v>0</v>
      </c>
      <c r="W30" s="10">
        <v>9.4</v>
      </c>
      <c r="X30" s="10">
        <v>0</v>
      </c>
      <c r="Y30" s="10">
        <v>37.1</v>
      </c>
      <c r="Z30" s="10">
        <v>18.2</v>
      </c>
      <c r="AA30" s="10">
        <v>23.8</v>
      </c>
      <c r="AB30" s="10">
        <v>0</v>
      </c>
      <c r="AC30" s="10">
        <v>16.899999999999999</v>
      </c>
      <c r="AD30" s="10">
        <v>0</v>
      </c>
      <c r="AE30" s="10">
        <v>37.4</v>
      </c>
      <c r="AF30" s="10">
        <v>21.4</v>
      </c>
      <c r="AG30" s="10">
        <v>23.8</v>
      </c>
      <c r="AH30" s="10">
        <v>0</v>
      </c>
      <c r="AI30" s="10">
        <v>22</v>
      </c>
      <c r="AJ30" s="10">
        <v>0</v>
      </c>
      <c r="AK30" s="10">
        <v>31.6</v>
      </c>
      <c r="AL30" s="10">
        <v>21.9</v>
      </c>
      <c r="AM30" s="10">
        <v>22.5</v>
      </c>
      <c r="AN30" s="10">
        <v>0</v>
      </c>
      <c r="AO30" s="10">
        <v>20.8</v>
      </c>
      <c r="AP30" s="10">
        <v>0</v>
      </c>
      <c r="AQ30" s="10">
        <v>29.3</v>
      </c>
      <c r="AR30" s="10">
        <v>21.4</v>
      </c>
      <c r="AS30" s="10">
        <v>21.7</v>
      </c>
      <c r="AT30" s="10">
        <v>0</v>
      </c>
      <c r="AU30" s="10">
        <v>20.7</v>
      </c>
      <c r="AV30" s="10">
        <v>0</v>
      </c>
      <c r="AW30" s="10">
        <v>30.8</v>
      </c>
      <c r="AX30" s="10">
        <v>18.7</v>
      </c>
      <c r="AY30" s="10">
        <v>18.7</v>
      </c>
      <c r="AZ30" s="10">
        <v>0</v>
      </c>
      <c r="BA30" s="10">
        <v>16.899999999999999</v>
      </c>
      <c r="BB30" s="10">
        <v>0</v>
      </c>
      <c r="BC30" s="10">
        <v>29.8</v>
      </c>
      <c r="BD30" s="10">
        <v>21.1</v>
      </c>
      <c r="BE30" s="10">
        <v>20.6</v>
      </c>
      <c r="BF30" s="10">
        <v>0</v>
      </c>
      <c r="BG30" s="10">
        <v>20.399999999999999</v>
      </c>
      <c r="BH30" s="10">
        <v>0</v>
      </c>
      <c r="BI30" s="10">
        <v>31.5</v>
      </c>
      <c r="BJ30" s="10">
        <v>15.8</v>
      </c>
      <c r="BK30" s="10">
        <v>15.3</v>
      </c>
      <c r="BL30" s="10">
        <v>0</v>
      </c>
      <c r="BM30" s="10">
        <v>18</v>
      </c>
      <c r="BN30" s="10">
        <v>0</v>
      </c>
      <c r="BO30" s="10">
        <v>31.8</v>
      </c>
      <c r="BP30" s="10">
        <v>13.9</v>
      </c>
      <c r="BQ30" s="10">
        <v>14</v>
      </c>
      <c r="BR30" s="10">
        <v>0</v>
      </c>
      <c r="BS30" s="10">
        <v>13.3</v>
      </c>
      <c r="BT30" s="10">
        <v>0</v>
      </c>
      <c r="BU30" s="10">
        <v>30.1</v>
      </c>
    </row>
    <row r="31" spans="1:73" x14ac:dyDescent="0.35">
      <c r="A31">
        <v>25</v>
      </c>
      <c r="B31" s="10">
        <v>14.3</v>
      </c>
      <c r="C31" s="10">
        <v>13.5</v>
      </c>
      <c r="D31" s="10">
        <v>0</v>
      </c>
      <c r="E31" s="10">
        <v>13.2</v>
      </c>
      <c r="F31" s="10">
        <v>0</v>
      </c>
      <c r="G31" s="10">
        <v>30.6</v>
      </c>
      <c r="H31" s="10">
        <v>11.2</v>
      </c>
      <c r="I31" s="10">
        <v>13</v>
      </c>
      <c r="J31" s="10">
        <v>0</v>
      </c>
      <c r="K31" s="10">
        <v>6.1</v>
      </c>
      <c r="L31" s="10">
        <v>0</v>
      </c>
      <c r="M31" s="10">
        <v>35.1</v>
      </c>
      <c r="N31" s="10">
        <v>11.5</v>
      </c>
      <c r="O31" s="10">
        <v>15.3</v>
      </c>
      <c r="P31" s="10">
        <v>0</v>
      </c>
      <c r="Q31" s="10">
        <v>100.3</v>
      </c>
      <c r="R31" s="10">
        <v>0</v>
      </c>
      <c r="S31" s="10">
        <v>38.700000000000003</v>
      </c>
      <c r="T31" s="10">
        <v>14.9</v>
      </c>
      <c r="U31" s="10">
        <v>19.399999999999999</v>
      </c>
      <c r="V31" s="10">
        <v>0</v>
      </c>
      <c r="W31" s="10">
        <v>8.3000000000000007</v>
      </c>
      <c r="X31" s="10">
        <v>0</v>
      </c>
      <c r="Y31" s="10">
        <v>37.6</v>
      </c>
      <c r="Z31" s="10">
        <v>20.100000000000001</v>
      </c>
      <c r="AA31" s="10">
        <v>23.8</v>
      </c>
      <c r="AB31" s="10">
        <v>0</v>
      </c>
      <c r="AC31" s="10">
        <v>16.899999999999999</v>
      </c>
      <c r="AD31" s="10">
        <v>0</v>
      </c>
      <c r="AE31" s="10">
        <v>37.200000000000003</v>
      </c>
      <c r="AF31" s="10">
        <v>23</v>
      </c>
      <c r="AG31" s="10">
        <v>22.9</v>
      </c>
      <c r="AH31" s="10">
        <v>0</v>
      </c>
      <c r="AI31" s="10">
        <v>20.7</v>
      </c>
      <c r="AJ31" s="10">
        <v>0</v>
      </c>
      <c r="AK31" s="10">
        <v>31.6</v>
      </c>
      <c r="AL31" s="10">
        <v>21</v>
      </c>
      <c r="AM31" s="10">
        <v>23.1</v>
      </c>
      <c r="AN31" s="10">
        <v>0</v>
      </c>
      <c r="AO31" s="10">
        <v>20.8</v>
      </c>
      <c r="AP31" s="10">
        <v>0</v>
      </c>
      <c r="AQ31" s="10">
        <v>28.6</v>
      </c>
      <c r="AR31" s="10">
        <v>21.5</v>
      </c>
      <c r="AS31" s="10">
        <v>21.7</v>
      </c>
      <c r="AT31" s="10">
        <v>0</v>
      </c>
      <c r="AU31" s="10">
        <v>19.7</v>
      </c>
      <c r="AV31" s="10">
        <v>0</v>
      </c>
      <c r="AW31" s="10">
        <v>30.1</v>
      </c>
      <c r="AX31" s="10">
        <v>19</v>
      </c>
      <c r="AY31" s="10">
        <v>19.100000000000001</v>
      </c>
      <c r="AZ31" s="10">
        <v>0</v>
      </c>
      <c r="BA31" s="10">
        <v>18.3</v>
      </c>
      <c r="BB31" s="10">
        <v>0</v>
      </c>
      <c r="BC31" s="10">
        <v>29.9</v>
      </c>
      <c r="BD31" s="10">
        <v>20.7</v>
      </c>
      <c r="BE31" s="10">
        <v>19.899999999999999</v>
      </c>
      <c r="BF31" s="10">
        <v>0</v>
      </c>
      <c r="BG31" s="10">
        <v>18.899999999999999</v>
      </c>
      <c r="BH31" s="10">
        <v>0</v>
      </c>
      <c r="BI31" s="10">
        <v>31.9</v>
      </c>
      <c r="BJ31" s="10">
        <v>17</v>
      </c>
      <c r="BK31" s="10">
        <v>15.6</v>
      </c>
      <c r="BL31" s="10">
        <v>0</v>
      </c>
      <c r="BM31" s="10">
        <v>18.399999999999999</v>
      </c>
      <c r="BN31" s="10">
        <v>0</v>
      </c>
      <c r="BO31" s="10">
        <v>31.1</v>
      </c>
      <c r="BP31" s="10">
        <v>15.2</v>
      </c>
      <c r="BQ31" s="10">
        <v>13.1</v>
      </c>
      <c r="BR31" s="10">
        <v>0</v>
      </c>
      <c r="BS31" s="10">
        <v>11.2</v>
      </c>
      <c r="BT31" s="10">
        <v>0</v>
      </c>
      <c r="BU31" s="10">
        <v>27.9</v>
      </c>
    </row>
    <row r="32" spans="1:73" x14ac:dyDescent="0.35">
      <c r="A32">
        <v>26</v>
      </c>
      <c r="B32" s="10">
        <v>12.5</v>
      </c>
      <c r="C32" s="10">
        <v>11.8</v>
      </c>
      <c r="D32" s="10">
        <v>0</v>
      </c>
      <c r="E32" s="10">
        <v>10.9</v>
      </c>
      <c r="F32" s="10">
        <v>0</v>
      </c>
      <c r="G32" s="10">
        <v>29</v>
      </c>
      <c r="H32" s="10">
        <v>10.8</v>
      </c>
      <c r="I32" s="10">
        <v>12.5</v>
      </c>
      <c r="J32" s="10">
        <v>0</v>
      </c>
      <c r="K32" s="10">
        <v>7.2</v>
      </c>
      <c r="L32" s="10">
        <v>0</v>
      </c>
      <c r="M32" s="10">
        <v>35.9</v>
      </c>
      <c r="N32" s="10">
        <v>12.2</v>
      </c>
      <c r="O32" s="10">
        <v>15.7</v>
      </c>
      <c r="P32" s="10">
        <v>0</v>
      </c>
      <c r="Q32" s="10">
        <v>101.1</v>
      </c>
      <c r="R32" s="10">
        <v>0</v>
      </c>
      <c r="S32" s="10">
        <v>38.6</v>
      </c>
      <c r="T32" s="10">
        <v>11.2</v>
      </c>
      <c r="U32" s="10">
        <v>21.3</v>
      </c>
      <c r="V32" s="10">
        <v>0</v>
      </c>
      <c r="W32" s="10">
        <v>1.7</v>
      </c>
      <c r="X32" s="10">
        <v>0</v>
      </c>
      <c r="Y32" s="10">
        <v>38.4</v>
      </c>
      <c r="Z32" s="10">
        <v>20.3</v>
      </c>
      <c r="AA32" s="10">
        <v>24</v>
      </c>
      <c r="AB32" s="10">
        <v>0</v>
      </c>
      <c r="AC32" s="10">
        <v>15.7</v>
      </c>
      <c r="AD32" s="10">
        <v>0</v>
      </c>
      <c r="AE32" s="10">
        <v>37.200000000000003</v>
      </c>
      <c r="AF32" s="10">
        <v>21.7</v>
      </c>
      <c r="AG32" s="10">
        <v>23.6</v>
      </c>
      <c r="AH32" s="10">
        <v>0</v>
      </c>
      <c r="AI32" s="10">
        <v>20.3</v>
      </c>
      <c r="AJ32" s="10">
        <v>0</v>
      </c>
      <c r="AK32" s="10">
        <v>32.1</v>
      </c>
      <c r="AL32" s="10">
        <v>21.4</v>
      </c>
      <c r="AM32" s="10">
        <v>23.2</v>
      </c>
      <c r="AN32" s="10">
        <v>0</v>
      </c>
      <c r="AO32" s="10">
        <v>21.1</v>
      </c>
      <c r="AP32" s="10">
        <v>0</v>
      </c>
      <c r="AQ32" s="10">
        <v>25.6</v>
      </c>
      <c r="AR32" s="10">
        <v>20.3</v>
      </c>
      <c r="AS32" s="10">
        <v>22.1</v>
      </c>
      <c r="AT32" s="10">
        <v>0</v>
      </c>
      <c r="AU32" s="10">
        <v>20.7</v>
      </c>
      <c r="AV32" s="10">
        <v>0</v>
      </c>
      <c r="AW32" s="10">
        <v>28.3</v>
      </c>
      <c r="AX32" s="10">
        <v>19.7</v>
      </c>
      <c r="AY32" s="10">
        <v>18.5</v>
      </c>
      <c r="AZ32" s="10">
        <v>0</v>
      </c>
      <c r="BA32" s="10">
        <v>19.8</v>
      </c>
      <c r="BB32" s="10">
        <v>0</v>
      </c>
      <c r="BC32" s="10">
        <v>31.1</v>
      </c>
      <c r="BD32" s="10">
        <v>21.1</v>
      </c>
      <c r="BE32" s="10">
        <v>20.2</v>
      </c>
      <c r="BF32" s="10">
        <v>0</v>
      </c>
      <c r="BG32" s="10">
        <v>21.6</v>
      </c>
      <c r="BH32" s="10">
        <v>0</v>
      </c>
      <c r="BI32" s="10">
        <v>31.5</v>
      </c>
      <c r="BJ32" s="10">
        <v>18.100000000000001</v>
      </c>
      <c r="BK32" s="10">
        <v>16.3</v>
      </c>
      <c r="BL32" s="10">
        <v>0</v>
      </c>
      <c r="BM32" s="10">
        <v>17.8</v>
      </c>
      <c r="BN32" s="10">
        <v>0</v>
      </c>
      <c r="BO32" s="10">
        <v>31.7</v>
      </c>
      <c r="BP32" s="10">
        <v>11.4</v>
      </c>
      <c r="BQ32" s="10">
        <v>9.9</v>
      </c>
      <c r="BR32" s="10">
        <v>0</v>
      </c>
      <c r="BS32" s="10">
        <v>7.3</v>
      </c>
      <c r="BT32" s="10">
        <v>0</v>
      </c>
      <c r="BU32" s="10">
        <v>27.9</v>
      </c>
    </row>
    <row r="33" spans="1:73" x14ac:dyDescent="0.35">
      <c r="A33">
        <v>27</v>
      </c>
      <c r="B33" s="10">
        <v>12.3</v>
      </c>
      <c r="C33" s="10">
        <v>10.9</v>
      </c>
      <c r="D33" s="10">
        <v>0</v>
      </c>
      <c r="E33" s="10">
        <v>7.7</v>
      </c>
      <c r="F33" s="10">
        <v>0</v>
      </c>
      <c r="G33" s="10">
        <v>30.7</v>
      </c>
      <c r="H33" s="10">
        <v>12.7</v>
      </c>
      <c r="I33" s="10">
        <v>13.5</v>
      </c>
      <c r="J33" s="10">
        <v>0</v>
      </c>
      <c r="K33" s="10">
        <v>6.8</v>
      </c>
      <c r="L33" s="10">
        <v>0</v>
      </c>
      <c r="M33" s="10">
        <v>36.700000000000003</v>
      </c>
      <c r="N33" s="10">
        <v>12.8</v>
      </c>
      <c r="O33" s="10">
        <v>16.7</v>
      </c>
      <c r="P33" s="10">
        <v>0</v>
      </c>
      <c r="Q33" s="10">
        <v>11.3</v>
      </c>
      <c r="R33" s="10">
        <v>0</v>
      </c>
      <c r="S33" s="10">
        <v>38.799999999999997</v>
      </c>
      <c r="T33" s="10">
        <v>11.4</v>
      </c>
      <c r="U33" s="10">
        <v>20.2</v>
      </c>
      <c r="V33" s="10">
        <v>0</v>
      </c>
      <c r="W33" s="10">
        <v>5.0999999999999996</v>
      </c>
      <c r="X33" s="10">
        <v>0</v>
      </c>
      <c r="Y33" s="10">
        <v>37.1</v>
      </c>
      <c r="Z33" s="10">
        <v>19.600000000000001</v>
      </c>
      <c r="AA33" s="10">
        <v>23.6</v>
      </c>
      <c r="AB33" s="10">
        <v>0</v>
      </c>
      <c r="AC33" s="10">
        <v>15.1</v>
      </c>
      <c r="AD33" s="10">
        <v>0</v>
      </c>
      <c r="AE33" s="10">
        <v>35.299999999999997</v>
      </c>
      <c r="AF33" s="10">
        <v>22.2</v>
      </c>
      <c r="AG33" s="10">
        <v>23.4</v>
      </c>
      <c r="AH33" s="10">
        <v>0</v>
      </c>
      <c r="AI33" s="10">
        <v>19.899999999999999</v>
      </c>
      <c r="AJ33" s="10">
        <v>0</v>
      </c>
      <c r="AK33" s="10">
        <v>31.1</v>
      </c>
      <c r="AL33" s="10">
        <v>21.5</v>
      </c>
      <c r="AM33" s="10">
        <v>23.1</v>
      </c>
      <c r="AN33" s="10">
        <v>0</v>
      </c>
      <c r="AO33" s="10">
        <v>21.1</v>
      </c>
      <c r="AP33" s="10">
        <v>0</v>
      </c>
      <c r="AQ33" s="10">
        <v>28.4</v>
      </c>
      <c r="AR33" s="10">
        <v>20.2</v>
      </c>
      <c r="AS33" s="10">
        <v>21.5</v>
      </c>
      <c r="AT33" s="10">
        <v>0</v>
      </c>
      <c r="AU33" s="10">
        <v>21.3</v>
      </c>
      <c r="AV33" s="10">
        <v>0</v>
      </c>
      <c r="AW33" s="10">
        <v>25.9</v>
      </c>
      <c r="AX33" s="10">
        <v>21.3</v>
      </c>
      <c r="AY33" s="10">
        <v>20.100000000000001</v>
      </c>
      <c r="AZ33" s="10">
        <v>0</v>
      </c>
      <c r="BA33" s="10">
        <v>20.3</v>
      </c>
      <c r="BB33" s="10">
        <v>0</v>
      </c>
      <c r="BC33" s="10">
        <v>31.4</v>
      </c>
      <c r="BD33" s="10">
        <v>20.2</v>
      </c>
      <c r="BE33" s="10">
        <v>18</v>
      </c>
      <c r="BF33" s="10">
        <v>0</v>
      </c>
      <c r="BG33" s="10">
        <v>17.3</v>
      </c>
      <c r="BH33" s="10">
        <v>0</v>
      </c>
      <c r="BI33" s="10">
        <v>30.9</v>
      </c>
      <c r="BJ33" s="10">
        <v>16.899999999999999</v>
      </c>
      <c r="BK33" s="10">
        <v>16.899999999999999</v>
      </c>
      <c r="BL33" s="10">
        <v>0</v>
      </c>
      <c r="BM33" s="10">
        <v>17.899999999999999</v>
      </c>
      <c r="BN33" s="10">
        <v>0</v>
      </c>
      <c r="BO33" s="10">
        <v>32.1</v>
      </c>
      <c r="BP33" s="10">
        <v>8.9</v>
      </c>
      <c r="BQ33" s="10">
        <v>7.4</v>
      </c>
      <c r="BR33" s="10">
        <v>0</v>
      </c>
      <c r="BS33" s="10">
        <v>11.2</v>
      </c>
      <c r="BT33" s="10">
        <v>0</v>
      </c>
      <c r="BU33" s="10">
        <v>28.7</v>
      </c>
    </row>
    <row r="34" spans="1:73" x14ac:dyDescent="0.35">
      <c r="A34">
        <v>28</v>
      </c>
      <c r="B34" s="10">
        <v>12.1</v>
      </c>
      <c r="C34" s="10">
        <v>10.8</v>
      </c>
      <c r="D34" s="10">
        <v>0</v>
      </c>
      <c r="E34" s="10">
        <v>6</v>
      </c>
      <c r="F34" s="10">
        <v>0</v>
      </c>
      <c r="G34" s="10">
        <v>29.7</v>
      </c>
      <c r="H34" s="10">
        <v>10.1</v>
      </c>
      <c r="I34" s="10">
        <v>13.3</v>
      </c>
      <c r="J34" s="10">
        <v>0</v>
      </c>
      <c r="K34" s="10">
        <v>1.1000000000000001</v>
      </c>
      <c r="L34" s="10">
        <v>0</v>
      </c>
      <c r="M34" s="10">
        <v>34.700000000000003</v>
      </c>
      <c r="N34" s="10">
        <v>16.8</v>
      </c>
      <c r="O34" s="10">
        <v>18.600000000000001</v>
      </c>
      <c r="P34" s="10">
        <v>0</v>
      </c>
      <c r="Q34" s="10">
        <v>10.6</v>
      </c>
      <c r="R34" s="10">
        <v>0</v>
      </c>
      <c r="S34" s="10">
        <v>38.700000000000003</v>
      </c>
      <c r="T34" s="10">
        <v>10.7</v>
      </c>
      <c r="U34" s="10">
        <v>21.5</v>
      </c>
      <c r="V34" s="10">
        <v>0</v>
      </c>
      <c r="W34" s="10">
        <v>13.2</v>
      </c>
      <c r="X34" s="10">
        <v>0</v>
      </c>
      <c r="Y34" s="10">
        <v>37.799999999999997</v>
      </c>
      <c r="Z34" s="10">
        <v>19.8</v>
      </c>
      <c r="AA34" s="10">
        <v>22.7</v>
      </c>
      <c r="AB34" s="10">
        <v>0</v>
      </c>
      <c r="AC34" s="10">
        <v>20.2</v>
      </c>
      <c r="AD34" s="10">
        <v>0</v>
      </c>
      <c r="AE34" s="10">
        <v>34.799999999999997</v>
      </c>
      <c r="AF34" s="10">
        <v>20.7</v>
      </c>
      <c r="AG34" s="10">
        <v>23</v>
      </c>
      <c r="AH34" s="10">
        <v>0</v>
      </c>
      <c r="AI34" s="10">
        <v>20.2</v>
      </c>
      <c r="AJ34" s="10">
        <v>0</v>
      </c>
      <c r="AK34" s="10">
        <v>31.8</v>
      </c>
      <c r="AL34" s="10">
        <v>21</v>
      </c>
      <c r="AM34" s="10">
        <v>22.4</v>
      </c>
      <c r="AN34" s="10">
        <v>0</v>
      </c>
      <c r="AO34" s="10">
        <v>21.5</v>
      </c>
      <c r="AP34" s="10">
        <v>0</v>
      </c>
      <c r="AQ34" s="10">
        <v>28</v>
      </c>
      <c r="AR34" s="10">
        <v>21.8</v>
      </c>
      <c r="AS34" s="10">
        <v>21.6</v>
      </c>
      <c r="AT34" s="10">
        <v>0</v>
      </c>
      <c r="AU34" s="10">
        <v>21.8</v>
      </c>
      <c r="AV34" s="10">
        <v>0</v>
      </c>
      <c r="AW34" s="10">
        <v>27.8</v>
      </c>
      <c r="AX34" s="10">
        <v>20.399999999999999</v>
      </c>
      <c r="AY34" s="10">
        <v>21.7</v>
      </c>
      <c r="AZ34" s="10">
        <v>0</v>
      </c>
      <c r="BA34" s="10">
        <v>19.7</v>
      </c>
      <c r="BB34" s="10">
        <v>0</v>
      </c>
      <c r="BC34" s="10">
        <v>31.1</v>
      </c>
      <c r="BD34" s="10">
        <v>19.100000000000001</v>
      </c>
      <c r="BE34" s="10">
        <v>17.100000000000001</v>
      </c>
      <c r="BF34" s="10">
        <v>0</v>
      </c>
      <c r="BG34" s="10">
        <v>16.899999999999999</v>
      </c>
      <c r="BH34" s="10">
        <v>0</v>
      </c>
      <c r="BI34" s="10">
        <v>30.7</v>
      </c>
      <c r="BJ34" s="10">
        <v>17.899999999999999</v>
      </c>
      <c r="BK34" s="10">
        <v>15.7</v>
      </c>
      <c r="BL34" s="10">
        <v>0</v>
      </c>
      <c r="BM34" s="10">
        <v>12.4</v>
      </c>
      <c r="BN34" s="10">
        <v>0</v>
      </c>
      <c r="BO34" s="10">
        <v>30.8</v>
      </c>
      <c r="BP34" s="10">
        <v>10.3</v>
      </c>
      <c r="BQ34" s="10">
        <v>7.8</v>
      </c>
      <c r="BR34" s="10">
        <v>0</v>
      </c>
      <c r="BS34" s="10">
        <v>11.2</v>
      </c>
      <c r="BT34" s="10">
        <v>0</v>
      </c>
      <c r="BU34" s="10">
        <v>29.5</v>
      </c>
    </row>
    <row r="35" spans="1:73" x14ac:dyDescent="0.35">
      <c r="A35">
        <v>29</v>
      </c>
      <c r="B35" s="10">
        <v>9.5</v>
      </c>
      <c r="C35" s="10">
        <v>9.1999999999999993</v>
      </c>
      <c r="D35" s="10">
        <v>0</v>
      </c>
      <c r="E35" s="10">
        <v>1.7</v>
      </c>
      <c r="F35" s="10">
        <v>0</v>
      </c>
      <c r="G35" s="10">
        <v>28.6</v>
      </c>
      <c r="H35" s="10">
        <v>6.3</v>
      </c>
      <c r="I35" s="10">
        <v>9.8000000000000007</v>
      </c>
      <c r="J35" s="10">
        <v>0</v>
      </c>
      <c r="K35" s="10">
        <v>4.5</v>
      </c>
      <c r="L35" s="10">
        <v>0</v>
      </c>
      <c r="M35" s="10">
        <v>33.6</v>
      </c>
      <c r="N35" s="10">
        <v>16.7</v>
      </c>
      <c r="O35" s="10">
        <v>19.7</v>
      </c>
      <c r="P35" s="10">
        <v>0</v>
      </c>
      <c r="Q35" s="10">
        <v>14.5</v>
      </c>
      <c r="R35" s="10">
        <v>0</v>
      </c>
      <c r="S35" s="10">
        <v>38.700000000000003</v>
      </c>
      <c r="T35" s="10">
        <v>4.0999999999999996</v>
      </c>
      <c r="U35" s="10">
        <v>20.399999999999999</v>
      </c>
      <c r="V35" s="10">
        <v>0</v>
      </c>
      <c r="W35" s="10">
        <v>10.6</v>
      </c>
      <c r="X35" s="10">
        <v>0</v>
      </c>
      <c r="Y35" s="10">
        <v>38.200000000000003</v>
      </c>
      <c r="Z35" s="10">
        <v>19.8</v>
      </c>
      <c r="AA35" s="10">
        <v>23.4</v>
      </c>
      <c r="AB35" s="10">
        <v>0</v>
      </c>
      <c r="AC35" s="10">
        <v>18.100000000000001</v>
      </c>
      <c r="AD35" s="10">
        <v>0</v>
      </c>
      <c r="AE35" s="10">
        <v>36.1</v>
      </c>
      <c r="AF35" s="10">
        <v>20.6</v>
      </c>
      <c r="AG35" s="10">
        <v>23.4</v>
      </c>
      <c r="AH35" s="10">
        <v>0</v>
      </c>
      <c r="AI35" s="10">
        <v>20.3</v>
      </c>
      <c r="AJ35" s="10">
        <v>0</v>
      </c>
      <c r="AK35" s="10">
        <v>32.4</v>
      </c>
      <c r="AL35" s="10">
        <v>20.7</v>
      </c>
      <c r="AM35" s="10">
        <v>22.7</v>
      </c>
      <c r="AN35" s="10">
        <v>0</v>
      </c>
      <c r="AO35" s="10">
        <v>20.8</v>
      </c>
      <c r="AP35" s="10">
        <v>0</v>
      </c>
      <c r="AQ35" s="10">
        <v>27.6</v>
      </c>
      <c r="AR35" s="10">
        <v>22.1</v>
      </c>
      <c r="AS35" s="10">
        <v>22</v>
      </c>
      <c r="AT35" s="10">
        <v>0</v>
      </c>
      <c r="AU35" s="10">
        <v>23.1</v>
      </c>
      <c r="AV35" s="10">
        <v>0</v>
      </c>
      <c r="AW35" s="10">
        <v>29.8</v>
      </c>
      <c r="AX35" s="10">
        <v>21.2</v>
      </c>
      <c r="AY35" s="10">
        <v>20.6</v>
      </c>
      <c r="AZ35" s="10">
        <v>0</v>
      </c>
      <c r="BA35" s="10">
        <v>21.8</v>
      </c>
      <c r="BB35" s="10">
        <v>0</v>
      </c>
      <c r="BC35" s="10">
        <v>31.9</v>
      </c>
      <c r="BD35" s="10">
        <v>19.100000000000001</v>
      </c>
      <c r="BE35" s="10">
        <v>17.7</v>
      </c>
      <c r="BF35" s="10">
        <v>0</v>
      </c>
      <c r="BG35" s="10">
        <v>22.9</v>
      </c>
      <c r="BH35" s="10">
        <v>0</v>
      </c>
      <c r="BI35" s="10">
        <v>30.1</v>
      </c>
      <c r="BJ35" s="10">
        <v>15</v>
      </c>
      <c r="BK35" s="10">
        <v>13.4</v>
      </c>
      <c r="BL35" s="10">
        <v>0</v>
      </c>
      <c r="BM35" s="10">
        <v>10.7</v>
      </c>
      <c r="BN35" s="10">
        <v>0</v>
      </c>
      <c r="BO35" s="10">
        <v>31.8</v>
      </c>
      <c r="BP35" s="10">
        <v>11.9</v>
      </c>
      <c r="BQ35" s="10">
        <v>9.6</v>
      </c>
      <c r="BR35" s="10">
        <v>0</v>
      </c>
      <c r="BS35" s="10">
        <v>15.3</v>
      </c>
      <c r="BT35" s="10">
        <v>0</v>
      </c>
      <c r="BU35" s="10">
        <v>30.4</v>
      </c>
    </row>
    <row r="36" spans="1:73" x14ac:dyDescent="0.35">
      <c r="A36">
        <v>30</v>
      </c>
      <c r="B36" s="10">
        <v>9.1</v>
      </c>
      <c r="C36" s="10">
        <v>8.6999999999999993</v>
      </c>
      <c r="D36" s="10">
        <v>0</v>
      </c>
      <c r="E36" s="10">
        <v>13.4</v>
      </c>
      <c r="F36" s="10">
        <v>0</v>
      </c>
      <c r="G36" s="10">
        <v>29.9</v>
      </c>
      <c r="H36" s="10"/>
      <c r="I36" s="10"/>
      <c r="J36" s="10"/>
      <c r="K36" s="10"/>
      <c r="L36" s="10"/>
      <c r="M36" s="10"/>
      <c r="N36" s="10">
        <v>13.3</v>
      </c>
      <c r="O36" s="10">
        <v>18.8</v>
      </c>
      <c r="P36" s="10">
        <v>0</v>
      </c>
      <c r="Q36" s="10">
        <v>12.3</v>
      </c>
      <c r="R36" s="10">
        <v>0</v>
      </c>
      <c r="S36" s="10">
        <v>36.6</v>
      </c>
      <c r="T36" s="10">
        <v>8.6999999999999993</v>
      </c>
      <c r="U36" s="10">
        <v>21.4</v>
      </c>
      <c r="V36" s="10">
        <v>0</v>
      </c>
      <c r="W36" s="10">
        <v>14.7</v>
      </c>
      <c r="X36" s="10">
        <v>0</v>
      </c>
      <c r="Y36" s="10">
        <v>37.700000000000003</v>
      </c>
      <c r="Z36" s="10">
        <v>19.100000000000001</v>
      </c>
      <c r="AA36" s="10">
        <v>23.3</v>
      </c>
      <c r="AB36" s="10">
        <v>0</v>
      </c>
      <c r="AC36" s="10">
        <v>16.899999999999999</v>
      </c>
      <c r="AD36" s="10">
        <v>0</v>
      </c>
      <c r="AE36" s="10">
        <v>35.6</v>
      </c>
      <c r="AF36" s="10">
        <v>18.7</v>
      </c>
      <c r="AG36" s="10">
        <v>22.7</v>
      </c>
      <c r="AH36" s="10">
        <v>0</v>
      </c>
      <c r="AI36" s="10">
        <v>18.7</v>
      </c>
      <c r="AJ36" s="10">
        <v>0</v>
      </c>
      <c r="AK36" s="10">
        <v>33.200000000000003</v>
      </c>
      <c r="AL36" s="10">
        <v>21.7</v>
      </c>
      <c r="AM36" s="10">
        <v>22.6</v>
      </c>
      <c r="AN36" s="10">
        <v>0</v>
      </c>
      <c r="AO36" s="10">
        <v>21.7</v>
      </c>
      <c r="AP36" s="10">
        <v>0</v>
      </c>
      <c r="AQ36" s="10">
        <v>26.9</v>
      </c>
      <c r="AR36" s="10">
        <v>21.5</v>
      </c>
      <c r="AS36" s="10">
        <v>22.1</v>
      </c>
      <c r="AT36" s="10">
        <v>0</v>
      </c>
      <c r="AU36" s="10">
        <v>21.8</v>
      </c>
      <c r="AV36" s="10">
        <v>0</v>
      </c>
      <c r="AW36" s="10">
        <v>31.1</v>
      </c>
      <c r="AX36" s="10">
        <v>21.9</v>
      </c>
      <c r="AY36" s="10">
        <v>20.399999999999999</v>
      </c>
      <c r="AZ36" s="10">
        <v>0</v>
      </c>
      <c r="BA36" s="10">
        <v>20.7</v>
      </c>
      <c r="BB36" s="10">
        <v>0</v>
      </c>
      <c r="BC36" s="10">
        <v>31.8</v>
      </c>
      <c r="BD36" s="10">
        <v>15.1</v>
      </c>
      <c r="BE36" s="10">
        <v>12.7</v>
      </c>
      <c r="BF36" s="10">
        <v>0</v>
      </c>
      <c r="BG36" s="10">
        <v>6</v>
      </c>
      <c r="BH36" s="10">
        <v>0</v>
      </c>
      <c r="BI36" s="10">
        <v>30.5</v>
      </c>
      <c r="BJ36" s="10">
        <v>13.7</v>
      </c>
      <c r="BK36" s="10">
        <v>12.1</v>
      </c>
      <c r="BL36" s="10">
        <v>0</v>
      </c>
      <c r="BM36" s="10">
        <v>11.2</v>
      </c>
      <c r="BN36" s="10">
        <v>0</v>
      </c>
      <c r="BO36" s="10">
        <v>31.1</v>
      </c>
      <c r="BP36" s="10">
        <v>12.5</v>
      </c>
      <c r="BQ36" s="10">
        <v>10.9</v>
      </c>
      <c r="BR36" s="10">
        <v>0</v>
      </c>
      <c r="BS36" s="10">
        <v>16.7</v>
      </c>
      <c r="BT36" s="10">
        <v>0</v>
      </c>
      <c r="BU36" s="10">
        <v>31.3</v>
      </c>
    </row>
    <row r="37" spans="1:73" x14ac:dyDescent="0.35">
      <c r="A37">
        <v>31</v>
      </c>
      <c r="B37" s="10">
        <v>12.3</v>
      </c>
      <c r="C37" s="10">
        <v>12.4</v>
      </c>
      <c r="D37" s="10">
        <v>0</v>
      </c>
      <c r="E37" s="10">
        <v>11.8</v>
      </c>
      <c r="F37" s="10">
        <v>0</v>
      </c>
      <c r="G37" s="10">
        <v>30.9</v>
      </c>
      <c r="H37" s="10"/>
      <c r="I37" s="10"/>
      <c r="J37" s="10"/>
      <c r="K37" s="10"/>
      <c r="L37" s="10"/>
      <c r="M37" s="10"/>
      <c r="N37" s="10">
        <v>16.8</v>
      </c>
      <c r="O37" s="10">
        <v>18</v>
      </c>
      <c r="P37" s="10">
        <v>0</v>
      </c>
      <c r="Q37" s="10">
        <v>3.5</v>
      </c>
      <c r="R37" s="10">
        <v>0</v>
      </c>
      <c r="S37" s="10">
        <v>37.9</v>
      </c>
      <c r="T37" s="10"/>
      <c r="U37" s="10"/>
      <c r="V37" s="10"/>
      <c r="W37" s="10"/>
      <c r="X37" s="10"/>
      <c r="Y37" s="10"/>
      <c r="Z37" s="10">
        <v>18.399999999999999</v>
      </c>
      <c r="AA37" s="10">
        <v>22.7</v>
      </c>
      <c r="AB37" s="10">
        <v>0</v>
      </c>
      <c r="AC37" s="10">
        <v>13</v>
      </c>
      <c r="AD37" s="10">
        <v>0</v>
      </c>
      <c r="AE37" s="10">
        <v>36.4</v>
      </c>
      <c r="AF37" s="10"/>
      <c r="AG37" s="10"/>
      <c r="AH37" s="10"/>
      <c r="AI37" s="10"/>
      <c r="AJ37" s="10"/>
      <c r="AK37" s="10"/>
      <c r="AL37" s="10">
        <v>21.2</v>
      </c>
      <c r="AM37" s="10">
        <v>21.7</v>
      </c>
      <c r="AN37" s="10">
        <v>0</v>
      </c>
      <c r="AO37" s="10">
        <v>21.1</v>
      </c>
      <c r="AP37" s="10">
        <v>0</v>
      </c>
      <c r="AQ37" s="10">
        <v>24.1</v>
      </c>
      <c r="AR37" s="10">
        <v>22.1</v>
      </c>
      <c r="AS37" s="10">
        <v>22.3</v>
      </c>
      <c r="AT37" s="10">
        <v>0</v>
      </c>
      <c r="AU37" s="10">
        <v>23.4</v>
      </c>
      <c r="AV37" s="10">
        <v>0</v>
      </c>
      <c r="AW37" s="10">
        <v>29.5</v>
      </c>
      <c r="AX37" s="10"/>
      <c r="AY37" s="10"/>
      <c r="AZ37" s="10"/>
      <c r="BA37" s="10"/>
      <c r="BB37" s="10"/>
      <c r="BC37" s="10"/>
      <c r="BD37" s="10">
        <v>12.9</v>
      </c>
      <c r="BE37" s="10">
        <v>13.1</v>
      </c>
      <c r="BF37" s="10">
        <v>0</v>
      </c>
      <c r="BG37" s="10">
        <v>14.3</v>
      </c>
      <c r="BH37" s="10">
        <v>0</v>
      </c>
      <c r="BI37" s="10">
        <v>28.9</v>
      </c>
      <c r="BJ37" s="10"/>
      <c r="BK37" s="10"/>
      <c r="BL37" s="10"/>
      <c r="BM37" s="10"/>
      <c r="BN37" s="10"/>
      <c r="BO37" s="10"/>
      <c r="BP37" s="10">
        <v>18.399999999999999</v>
      </c>
      <c r="BQ37" s="10">
        <v>17.2</v>
      </c>
      <c r="BR37" s="10">
        <v>0</v>
      </c>
      <c r="BS37" s="10"/>
      <c r="BT37" s="10"/>
      <c r="BU37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32"/>
  <sheetViews>
    <sheetView topLeftCell="S1" workbookViewId="0">
      <selection activeCell="C2" sqref="C2"/>
    </sheetView>
  </sheetViews>
  <sheetFormatPr defaultColWidth="9.1796875" defaultRowHeight="14.5" x14ac:dyDescent="0.35"/>
  <cols>
    <col min="1" max="1" width="13.453125" style="1" customWidth="1"/>
    <col min="2" max="2" width="21.54296875" style="1" customWidth="1"/>
    <col min="3" max="3" width="12.81640625" style="1" customWidth="1"/>
    <col min="4" max="4" width="12.26953125" style="1" customWidth="1"/>
    <col min="5" max="5" width="13.26953125" style="1" customWidth="1"/>
    <col min="6" max="6" width="17.1796875" style="1" customWidth="1"/>
    <col min="7" max="7" width="12" style="1" customWidth="1"/>
    <col min="8" max="8" width="12.54296875" style="1" customWidth="1"/>
    <col min="9" max="9" width="13.1796875" style="1" customWidth="1"/>
    <col min="10" max="11" width="12.81640625" style="1" customWidth="1"/>
    <col min="12" max="12" width="18.1796875" style="1" customWidth="1"/>
    <col min="13" max="13" width="14.26953125" style="1" customWidth="1"/>
    <col min="14" max="14" width="20.54296875" style="1" customWidth="1"/>
    <col min="15" max="15" width="17.1796875" style="1" customWidth="1"/>
    <col min="16" max="20" width="9.1796875" style="1"/>
    <col min="21" max="21" width="13" style="1" customWidth="1"/>
    <col min="22" max="22" width="14" style="1" customWidth="1"/>
    <col min="23" max="23" width="9.1796875" style="1"/>
    <col min="24" max="24" width="10.81640625" style="1" customWidth="1"/>
    <col min="25" max="25" width="15.26953125" style="1" customWidth="1"/>
    <col min="26" max="26" width="24" style="1" customWidth="1"/>
    <col min="27" max="27" width="15.81640625" style="1" customWidth="1"/>
    <col min="28" max="28" width="20.1796875" style="1" customWidth="1"/>
    <col min="29" max="33" width="9.1796875" style="18"/>
    <col min="34" max="16384" width="9.1796875" style="1"/>
  </cols>
  <sheetData>
    <row r="1" spans="1:34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2377</v>
      </c>
      <c r="AD1" s="6" t="s">
        <v>2378</v>
      </c>
      <c r="AE1" s="6" t="s">
        <v>2379</v>
      </c>
      <c r="AF1" s="14" t="s">
        <v>2371</v>
      </c>
      <c r="AG1" s="14" t="s">
        <v>2372</v>
      </c>
      <c r="AH1" s="14" t="s">
        <v>2373</v>
      </c>
    </row>
    <row r="2" spans="1:34" x14ac:dyDescent="0.35">
      <c r="A2" s="2" t="s">
        <v>28</v>
      </c>
      <c r="B2" s="2" t="s">
        <v>29</v>
      </c>
      <c r="C2" s="2" t="s">
        <v>49</v>
      </c>
      <c r="D2" s="2" t="s">
        <v>50</v>
      </c>
      <c r="E2" s="2" t="s">
        <v>51</v>
      </c>
      <c r="F2" s="2" t="s">
        <v>52</v>
      </c>
      <c r="G2" s="2" t="s">
        <v>53</v>
      </c>
      <c r="H2" s="2" t="s">
        <v>54</v>
      </c>
      <c r="I2" s="2" t="s">
        <v>37</v>
      </c>
      <c r="J2" s="2" t="s">
        <v>55</v>
      </c>
      <c r="K2" s="2" t="s">
        <v>38</v>
      </c>
      <c r="L2" s="2" t="s">
        <v>38</v>
      </c>
      <c r="M2" s="2" t="s">
        <v>39</v>
      </c>
      <c r="N2" s="2" t="s">
        <v>38</v>
      </c>
      <c r="O2" s="2" t="s">
        <v>38</v>
      </c>
      <c r="P2" s="2" t="s">
        <v>38</v>
      </c>
      <c r="Q2" s="2" t="s">
        <v>56</v>
      </c>
      <c r="R2" s="2" t="s">
        <v>57</v>
      </c>
      <c r="S2" s="2" t="s">
        <v>58</v>
      </c>
      <c r="T2" s="2" t="s">
        <v>59</v>
      </c>
      <c r="U2" s="2" t="s">
        <v>60</v>
      </c>
      <c r="V2" s="2" t="s">
        <v>61</v>
      </c>
      <c r="W2" s="2" t="s">
        <v>38</v>
      </c>
      <c r="X2" s="3">
        <v>40909</v>
      </c>
      <c r="Y2" s="2" t="s">
        <v>62</v>
      </c>
      <c r="Z2" s="35">
        <v>181</v>
      </c>
      <c r="AA2" s="2" t="s">
        <v>63</v>
      </c>
      <c r="AB2" s="2" t="s">
        <v>64</v>
      </c>
      <c r="AC2" s="11">
        <f t="shared" ref="AC2:AC65" si="0">YEAR(X2)</f>
        <v>2012</v>
      </c>
      <c r="AD2" s="11">
        <f t="shared" ref="AD2:AD65" si="1">MONTH(X2)</f>
        <v>1</v>
      </c>
      <c r="AE2" s="11">
        <f t="shared" ref="AE2:AE65" si="2">DAY(X2)</f>
        <v>1</v>
      </c>
      <c r="AF2" s="15">
        <f t="shared" ref="AF2:AF65" si="3">IF(LEN(V2)&gt;0,V2/10,"")</f>
        <v>16.8</v>
      </c>
      <c r="AG2" s="15" t="str">
        <f t="shared" ref="AG2:AG65" si="4">IF(LEN(P2)&gt;0,P2/10,"")</f>
        <v/>
      </c>
      <c r="AH2" s="15">
        <f t="shared" ref="AH2:AH65" si="5">IF(LEN(Q2)&gt;0,Q2/10,"")</f>
        <v>18.100000000000001</v>
      </c>
    </row>
    <row r="3" spans="1:34" x14ac:dyDescent="0.35">
      <c r="A3" s="2" t="s">
        <v>65</v>
      </c>
      <c r="B3" s="2" t="s">
        <v>29</v>
      </c>
      <c r="C3" s="2" t="s">
        <v>49</v>
      </c>
      <c r="D3" s="2" t="s">
        <v>55</v>
      </c>
      <c r="E3" s="2" t="s">
        <v>66</v>
      </c>
      <c r="F3" s="2" t="s">
        <v>67</v>
      </c>
      <c r="G3" s="2" t="s">
        <v>68</v>
      </c>
      <c r="H3" s="2" t="s">
        <v>69</v>
      </c>
      <c r="I3" s="2" t="s">
        <v>37</v>
      </c>
      <c r="J3" s="2" t="s">
        <v>66</v>
      </c>
      <c r="K3" s="2" t="s">
        <v>38</v>
      </c>
      <c r="L3" s="2" t="s">
        <v>38</v>
      </c>
      <c r="M3" s="2" t="s">
        <v>39</v>
      </c>
      <c r="N3" s="2" t="s">
        <v>38</v>
      </c>
      <c r="O3" s="2" t="s">
        <v>38</v>
      </c>
      <c r="P3" s="2" t="s">
        <v>38</v>
      </c>
      <c r="Q3" s="2" t="s">
        <v>70</v>
      </c>
      <c r="R3" s="2" t="s">
        <v>71</v>
      </c>
      <c r="S3" s="2" t="s">
        <v>72</v>
      </c>
      <c r="T3" s="2" t="s">
        <v>73</v>
      </c>
      <c r="U3" s="2" t="s">
        <v>74</v>
      </c>
      <c r="V3" s="2" t="s">
        <v>75</v>
      </c>
      <c r="W3" s="2" t="s">
        <v>38</v>
      </c>
      <c r="X3" s="3">
        <v>40910</v>
      </c>
      <c r="Y3" s="2" t="s">
        <v>76</v>
      </c>
      <c r="Z3" s="5">
        <v>153</v>
      </c>
      <c r="AA3" s="2" t="s">
        <v>47</v>
      </c>
      <c r="AB3" s="2" t="s">
        <v>48</v>
      </c>
      <c r="AC3" s="12">
        <f t="shared" si="0"/>
        <v>2012</v>
      </c>
      <c r="AD3" s="12">
        <f t="shared" si="1"/>
        <v>1</v>
      </c>
      <c r="AE3" s="12">
        <f t="shared" si="2"/>
        <v>2</v>
      </c>
      <c r="AF3" s="16">
        <f t="shared" si="3"/>
        <v>15.3</v>
      </c>
      <c r="AG3" s="16" t="str">
        <f t="shared" si="4"/>
        <v/>
      </c>
      <c r="AH3" s="16">
        <f t="shared" si="5"/>
        <v>15.3</v>
      </c>
    </row>
    <row r="4" spans="1:34" x14ac:dyDescent="0.35">
      <c r="A4" s="2" t="s">
        <v>84</v>
      </c>
      <c r="B4" s="2" t="s">
        <v>29</v>
      </c>
      <c r="C4" s="2" t="s">
        <v>49</v>
      </c>
      <c r="D4" s="2" t="s">
        <v>51</v>
      </c>
      <c r="E4" s="2" t="s">
        <v>32</v>
      </c>
      <c r="F4" s="2" t="s">
        <v>85</v>
      </c>
      <c r="G4" s="2" t="s">
        <v>86</v>
      </c>
      <c r="H4" s="2" t="s">
        <v>87</v>
      </c>
      <c r="I4" s="2" t="s">
        <v>37</v>
      </c>
      <c r="J4" s="2" t="s">
        <v>66</v>
      </c>
      <c r="K4" s="2" t="s">
        <v>38</v>
      </c>
      <c r="L4" s="2" t="s">
        <v>38</v>
      </c>
      <c r="M4" s="2" t="s">
        <v>39</v>
      </c>
      <c r="N4" s="2" t="s">
        <v>38</v>
      </c>
      <c r="O4" s="2" t="s">
        <v>38</v>
      </c>
      <c r="P4" s="2" t="s">
        <v>38</v>
      </c>
      <c r="Q4" s="2" t="s">
        <v>88</v>
      </c>
      <c r="R4" s="2" t="s">
        <v>71</v>
      </c>
      <c r="S4" s="2" t="s">
        <v>89</v>
      </c>
      <c r="T4" s="2" t="s">
        <v>90</v>
      </c>
      <c r="U4" s="2" t="s">
        <v>91</v>
      </c>
      <c r="V4" s="2" t="s">
        <v>92</v>
      </c>
      <c r="W4" s="2" t="s">
        <v>38</v>
      </c>
      <c r="X4" s="3">
        <v>40911</v>
      </c>
      <c r="Y4" s="2" t="s">
        <v>93</v>
      </c>
      <c r="Z4" s="5">
        <v>149</v>
      </c>
      <c r="AA4" s="2" t="s">
        <v>47</v>
      </c>
      <c r="AB4" s="2" t="s">
        <v>48</v>
      </c>
      <c r="AC4" s="12">
        <f t="shared" si="0"/>
        <v>2012</v>
      </c>
      <c r="AD4" s="12">
        <f t="shared" si="1"/>
        <v>1</v>
      </c>
      <c r="AE4" s="12">
        <f t="shared" si="2"/>
        <v>3</v>
      </c>
      <c r="AF4" s="16">
        <f t="shared" si="3"/>
        <v>15.8</v>
      </c>
      <c r="AG4" s="16" t="str">
        <f t="shared" si="4"/>
        <v/>
      </c>
      <c r="AH4" s="16">
        <f t="shared" si="5"/>
        <v>14.9</v>
      </c>
    </row>
    <row r="5" spans="1:34" x14ac:dyDescent="0.35">
      <c r="A5" s="2" t="s">
        <v>103</v>
      </c>
      <c r="B5" s="2" t="s">
        <v>29</v>
      </c>
      <c r="C5" s="2" t="s">
        <v>49</v>
      </c>
      <c r="D5" s="2" t="s">
        <v>51</v>
      </c>
      <c r="E5" s="2" t="s">
        <v>104</v>
      </c>
      <c r="F5" s="2" t="s">
        <v>105</v>
      </c>
      <c r="G5" s="2" t="s">
        <v>106</v>
      </c>
      <c r="H5" s="2" t="s">
        <v>35</v>
      </c>
      <c r="I5" s="2" t="s">
        <v>37</v>
      </c>
      <c r="J5" s="2" t="s">
        <v>104</v>
      </c>
      <c r="K5" s="2" t="s">
        <v>38</v>
      </c>
      <c r="L5" s="2" t="s">
        <v>38</v>
      </c>
      <c r="M5" s="2" t="s">
        <v>39</v>
      </c>
      <c r="N5" s="2" t="s">
        <v>38</v>
      </c>
      <c r="O5" s="2" t="s">
        <v>38</v>
      </c>
      <c r="P5" s="2" t="s">
        <v>38</v>
      </c>
      <c r="Q5" s="2" t="s">
        <v>107</v>
      </c>
      <c r="R5" s="2" t="s">
        <v>71</v>
      </c>
      <c r="S5" s="2" t="s">
        <v>89</v>
      </c>
      <c r="T5" s="2" t="s">
        <v>90</v>
      </c>
      <c r="U5" s="2" t="s">
        <v>108</v>
      </c>
      <c r="V5" s="2" t="s">
        <v>109</v>
      </c>
      <c r="W5" s="2" t="s">
        <v>38</v>
      </c>
      <c r="X5" s="3">
        <v>40912</v>
      </c>
      <c r="Y5" s="2" t="s">
        <v>110</v>
      </c>
      <c r="Z5" s="35">
        <v>126</v>
      </c>
      <c r="AA5" s="2" t="s">
        <v>47</v>
      </c>
      <c r="AB5" s="2" t="s">
        <v>48</v>
      </c>
      <c r="AC5" s="12">
        <f t="shared" si="0"/>
        <v>2012</v>
      </c>
      <c r="AD5" s="12">
        <f t="shared" si="1"/>
        <v>1</v>
      </c>
      <c r="AE5" s="12">
        <f t="shared" si="2"/>
        <v>4</v>
      </c>
      <c r="AF5" s="16">
        <f t="shared" si="3"/>
        <v>13.2</v>
      </c>
      <c r="AG5" s="16" t="str">
        <f t="shared" si="4"/>
        <v/>
      </c>
      <c r="AH5" s="16">
        <f t="shared" si="5"/>
        <v>12.6</v>
      </c>
    </row>
    <row r="6" spans="1:34" x14ac:dyDescent="0.35">
      <c r="A6" s="2" t="s">
        <v>119</v>
      </c>
      <c r="B6" s="2" t="s">
        <v>29</v>
      </c>
      <c r="C6" s="2" t="s">
        <v>49</v>
      </c>
      <c r="D6" s="2" t="s">
        <v>66</v>
      </c>
      <c r="E6" s="2" t="s">
        <v>104</v>
      </c>
      <c r="F6" s="2" t="s">
        <v>120</v>
      </c>
      <c r="G6" s="2" t="s">
        <v>53</v>
      </c>
      <c r="H6" s="2" t="s">
        <v>121</v>
      </c>
      <c r="I6" s="2" t="s">
        <v>37</v>
      </c>
      <c r="J6" s="2" t="s">
        <v>104</v>
      </c>
      <c r="K6" s="2" t="s">
        <v>38</v>
      </c>
      <c r="L6" s="2" t="s">
        <v>38</v>
      </c>
      <c r="M6" s="2" t="s">
        <v>39</v>
      </c>
      <c r="N6" s="2" t="s">
        <v>38</v>
      </c>
      <c r="O6" s="2" t="s">
        <v>38</v>
      </c>
      <c r="P6" s="2" t="s">
        <v>38</v>
      </c>
      <c r="Q6" s="2" t="s">
        <v>107</v>
      </c>
      <c r="R6" s="2" t="s">
        <v>71</v>
      </c>
      <c r="S6" s="2" t="s">
        <v>122</v>
      </c>
      <c r="T6" s="2" t="s">
        <v>73</v>
      </c>
      <c r="U6" s="2" t="s">
        <v>123</v>
      </c>
      <c r="V6" s="2" t="s">
        <v>124</v>
      </c>
      <c r="W6" s="2" t="s">
        <v>38</v>
      </c>
      <c r="X6" s="3">
        <v>40913</v>
      </c>
      <c r="Y6" s="2" t="s">
        <v>125</v>
      </c>
      <c r="Z6" s="5">
        <v>126</v>
      </c>
      <c r="AA6" s="2" t="s">
        <v>47</v>
      </c>
      <c r="AB6" s="2" t="s">
        <v>48</v>
      </c>
      <c r="AC6" s="12">
        <f t="shared" si="0"/>
        <v>2012</v>
      </c>
      <c r="AD6" s="12">
        <f t="shared" si="1"/>
        <v>1</v>
      </c>
      <c r="AE6" s="12">
        <f t="shared" si="2"/>
        <v>5</v>
      </c>
      <c r="AF6" s="16">
        <f t="shared" si="3"/>
        <v>13.5</v>
      </c>
      <c r="AG6" s="16" t="str">
        <f t="shared" si="4"/>
        <v/>
      </c>
      <c r="AH6" s="16">
        <f t="shared" si="5"/>
        <v>12.6</v>
      </c>
    </row>
    <row r="7" spans="1:34" x14ac:dyDescent="0.35">
      <c r="A7" s="2" t="s">
        <v>135</v>
      </c>
      <c r="B7" s="2" t="s">
        <v>29</v>
      </c>
      <c r="C7" s="2" t="s">
        <v>49</v>
      </c>
      <c r="D7" s="2" t="s">
        <v>32</v>
      </c>
      <c r="E7" s="2" t="s">
        <v>66</v>
      </c>
      <c r="F7" s="2" t="s">
        <v>136</v>
      </c>
      <c r="G7" s="2" t="s">
        <v>86</v>
      </c>
      <c r="H7" s="2" t="s">
        <v>137</v>
      </c>
      <c r="I7" s="2" t="s">
        <v>37</v>
      </c>
      <c r="J7" s="2" t="s">
        <v>94</v>
      </c>
      <c r="K7" s="2" t="s">
        <v>38</v>
      </c>
      <c r="L7" s="2" t="s">
        <v>38</v>
      </c>
      <c r="M7" s="2" t="s">
        <v>39</v>
      </c>
      <c r="N7" s="2" t="s">
        <v>38</v>
      </c>
      <c r="O7" s="2" t="s">
        <v>38</v>
      </c>
      <c r="P7" s="2" t="s">
        <v>38</v>
      </c>
      <c r="Q7" s="2" t="s">
        <v>138</v>
      </c>
      <c r="R7" s="2" t="s">
        <v>71</v>
      </c>
      <c r="S7" s="2" t="s">
        <v>89</v>
      </c>
      <c r="T7" s="2" t="s">
        <v>90</v>
      </c>
      <c r="U7" s="2" t="s">
        <v>139</v>
      </c>
      <c r="V7" s="2" t="s">
        <v>140</v>
      </c>
      <c r="W7" s="2" t="s">
        <v>38</v>
      </c>
      <c r="X7" s="3">
        <v>40914</v>
      </c>
      <c r="Y7" s="2" t="s">
        <v>141</v>
      </c>
      <c r="Z7" s="35">
        <v>136</v>
      </c>
      <c r="AA7" s="2" t="s">
        <v>47</v>
      </c>
      <c r="AB7" s="2" t="s">
        <v>48</v>
      </c>
      <c r="AC7" s="12">
        <f t="shared" si="0"/>
        <v>2012</v>
      </c>
      <c r="AD7" s="12">
        <f t="shared" si="1"/>
        <v>1</v>
      </c>
      <c r="AE7" s="12">
        <f t="shared" si="2"/>
        <v>6</v>
      </c>
      <c r="AF7" s="16">
        <f t="shared" si="3"/>
        <v>14.7</v>
      </c>
      <c r="AG7" s="16" t="str">
        <f t="shared" si="4"/>
        <v/>
      </c>
      <c r="AH7" s="16">
        <f t="shared" si="5"/>
        <v>13.6</v>
      </c>
    </row>
    <row r="8" spans="1:34" x14ac:dyDescent="0.35">
      <c r="A8" s="2" t="s">
        <v>150</v>
      </c>
      <c r="B8" s="2" t="s">
        <v>29</v>
      </c>
      <c r="C8" s="2" t="s">
        <v>49</v>
      </c>
      <c r="D8" s="2" t="s">
        <v>66</v>
      </c>
      <c r="E8" s="2" t="s">
        <v>104</v>
      </c>
      <c r="F8" s="2" t="s">
        <v>156</v>
      </c>
      <c r="G8" s="2" t="s">
        <v>106</v>
      </c>
      <c r="H8" s="2" t="s">
        <v>113</v>
      </c>
      <c r="I8" s="2" t="s">
        <v>37</v>
      </c>
      <c r="J8" s="2" t="s">
        <v>142</v>
      </c>
      <c r="K8" s="2" t="s">
        <v>38</v>
      </c>
      <c r="L8" s="2" t="s">
        <v>38</v>
      </c>
      <c r="M8" s="2" t="s">
        <v>39</v>
      </c>
      <c r="N8" s="2" t="s">
        <v>38</v>
      </c>
      <c r="O8" s="2" t="s">
        <v>38</v>
      </c>
      <c r="P8" s="2" t="s">
        <v>38</v>
      </c>
      <c r="Q8" s="2" t="s">
        <v>157</v>
      </c>
      <c r="R8" s="2" t="s">
        <v>158</v>
      </c>
      <c r="S8" s="2" t="s">
        <v>159</v>
      </c>
      <c r="T8" s="2" t="s">
        <v>73</v>
      </c>
      <c r="U8" s="2" t="s">
        <v>160</v>
      </c>
      <c r="V8" s="2" t="s">
        <v>161</v>
      </c>
      <c r="W8" s="2" t="s">
        <v>38</v>
      </c>
      <c r="X8" s="3">
        <v>40915</v>
      </c>
      <c r="Y8" s="2" t="s">
        <v>162</v>
      </c>
      <c r="Z8" s="5">
        <v>107</v>
      </c>
      <c r="AA8" s="2" t="s">
        <v>47</v>
      </c>
      <c r="AB8" s="2" t="s">
        <v>48</v>
      </c>
      <c r="AC8" s="12">
        <f t="shared" si="0"/>
        <v>2012</v>
      </c>
      <c r="AD8" s="12">
        <f t="shared" si="1"/>
        <v>1</v>
      </c>
      <c r="AE8" s="12">
        <f t="shared" si="2"/>
        <v>7</v>
      </c>
      <c r="AF8" s="16">
        <f t="shared" si="3"/>
        <v>12.9</v>
      </c>
      <c r="AG8" s="16" t="str">
        <f t="shared" si="4"/>
        <v/>
      </c>
      <c r="AH8" s="16">
        <f t="shared" si="5"/>
        <v>10.7</v>
      </c>
    </row>
    <row r="9" spans="1:34" x14ac:dyDescent="0.35">
      <c r="A9" s="2" t="s">
        <v>163</v>
      </c>
      <c r="B9" s="2" t="s">
        <v>29</v>
      </c>
      <c r="C9" s="2" t="s">
        <v>49</v>
      </c>
      <c r="D9" s="2" t="s">
        <v>104</v>
      </c>
      <c r="E9" s="2" t="s">
        <v>112</v>
      </c>
      <c r="F9" s="2" t="s">
        <v>164</v>
      </c>
      <c r="G9" s="2" t="s">
        <v>106</v>
      </c>
      <c r="H9" s="2" t="s">
        <v>127</v>
      </c>
      <c r="I9" s="2" t="s">
        <v>37</v>
      </c>
      <c r="J9" s="2" t="s">
        <v>165</v>
      </c>
      <c r="K9" s="2" t="s">
        <v>38</v>
      </c>
      <c r="L9" s="2" t="s">
        <v>38</v>
      </c>
      <c r="M9" s="2" t="s">
        <v>39</v>
      </c>
      <c r="N9" s="2" t="s">
        <v>38</v>
      </c>
      <c r="O9" s="2" t="s">
        <v>38</v>
      </c>
      <c r="P9" s="2" t="s">
        <v>38</v>
      </c>
      <c r="Q9" s="2" t="s">
        <v>166</v>
      </c>
      <c r="R9" s="2" t="s">
        <v>71</v>
      </c>
      <c r="S9" s="2" t="s">
        <v>167</v>
      </c>
      <c r="T9" s="2" t="s">
        <v>73</v>
      </c>
      <c r="U9" s="2" t="s">
        <v>168</v>
      </c>
      <c r="V9" s="2" t="s">
        <v>169</v>
      </c>
      <c r="W9" s="2" t="s">
        <v>38</v>
      </c>
      <c r="X9" s="3">
        <v>40916</v>
      </c>
      <c r="Y9" s="2" t="s">
        <v>170</v>
      </c>
      <c r="Z9" s="35">
        <v>91</v>
      </c>
      <c r="AA9" s="2" t="s">
        <v>47</v>
      </c>
      <c r="AB9" s="2" t="s">
        <v>48</v>
      </c>
      <c r="AC9" s="12">
        <f t="shared" si="0"/>
        <v>2012</v>
      </c>
      <c r="AD9" s="12">
        <f t="shared" si="1"/>
        <v>1</v>
      </c>
      <c r="AE9" s="12">
        <f t="shared" si="2"/>
        <v>8</v>
      </c>
      <c r="AF9" s="16">
        <f t="shared" si="3"/>
        <v>10</v>
      </c>
      <c r="AG9" s="16" t="str">
        <f t="shared" si="4"/>
        <v/>
      </c>
      <c r="AH9" s="16">
        <f t="shared" si="5"/>
        <v>9.1</v>
      </c>
    </row>
    <row r="10" spans="1:34" x14ac:dyDescent="0.35">
      <c r="A10" s="2" t="s">
        <v>178</v>
      </c>
      <c r="B10" s="2" t="s">
        <v>29</v>
      </c>
      <c r="C10" s="2" t="s">
        <v>49</v>
      </c>
      <c r="D10" s="2" t="s">
        <v>142</v>
      </c>
      <c r="E10" s="2" t="s">
        <v>165</v>
      </c>
      <c r="F10" s="2" t="s">
        <v>179</v>
      </c>
      <c r="G10" s="2" t="s">
        <v>106</v>
      </c>
      <c r="H10" s="2" t="s">
        <v>180</v>
      </c>
      <c r="I10" s="2" t="s">
        <v>37</v>
      </c>
      <c r="J10" s="2" t="s">
        <v>181</v>
      </c>
      <c r="K10" s="2" t="s">
        <v>38</v>
      </c>
      <c r="L10" s="2" t="s">
        <v>38</v>
      </c>
      <c r="M10" s="2" t="s">
        <v>39</v>
      </c>
      <c r="N10" s="2" t="s">
        <v>38</v>
      </c>
      <c r="O10" s="2" t="s">
        <v>38</v>
      </c>
      <c r="P10" s="2" t="s">
        <v>38</v>
      </c>
      <c r="Q10" s="2" t="s">
        <v>182</v>
      </c>
      <c r="R10" s="2" t="s">
        <v>183</v>
      </c>
      <c r="S10" s="2" t="s">
        <v>89</v>
      </c>
      <c r="T10" s="2" t="s">
        <v>90</v>
      </c>
      <c r="U10" s="2" t="s">
        <v>184</v>
      </c>
      <c r="V10" s="2" t="s">
        <v>185</v>
      </c>
      <c r="W10" s="2" t="s">
        <v>38</v>
      </c>
      <c r="X10" s="3">
        <v>40917</v>
      </c>
      <c r="Y10" s="2" t="s">
        <v>186</v>
      </c>
      <c r="Z10" s="5">
        <v>72</v>
      </c>
      <c r="AA10" s="2" t="s">
        <v>47</v>
      </c>
      <c r="AB10" s="2" t="s">
        <v>48</v>
      </c>
      <c r="AC10" s="12">
        <f t="shared" si="0"/>
        <v>2012</v>
      </c>
      <c r="AD10" s="12">
        <f t="shared" si="1"/>
        <v>1</v>
      </c>
      <c r="AE10" s="12">
        <f t="shared" si="2"/>
        <v>9</v>
      </c>
      <c r="AF10" s="16">
        <f t="shared" si="3"/>
        <v>8.6999999999999993</v>
      </c>
      <c r="AG10" s="16" t="str">
        <f t="shared" si="4"/>
        <v/>
      </c>
      <c r="AH10" s="16">
        <f t="shared" si="5"/>
        <v>7.2</v>
      </c>
    </row>
    <row r="11" spans="1:34" x14ac:dyDescent="0.35">
      <c r="A11" s="2" t="s">
        <v>193</v>
      </c>
      <c r="B11" s="2" t="s">
        <v>29</v>
      </c>
      <c r="C11" s="2" t="s">
        <v>49</v>
      </c>
      <c r="D11" s="2" t="s">
        <v>142</v>
      </c>
      <c r="E11" s="2" t="s">
        <v>165</v>
      </c>
      <c r="F11" s="2" t="s">
        <v>194</v>
      </c>
      <c r="G11" s="2" t="s">
        <v>106</v>
      </c>
      <c r="H11" s="2" t="s">
        <v>35</v>
      </c>
      <c r="I11" s="2" t="s">
        <v>37</v>
      </c>
      <c r="J11" s="2" t="s">
        <v>195</v>
      </c>
      <c r="K11" s="2" t="s">
        <v>38</v>
      </c>
      <c r="L11" s="2" t="s">
        <v>38</v>
      </c>
      <c r="M11" s="2" t="s">
        <v>39</v>
      </c>
      <c r="N11" s="2" t="s">
        <v>38</v>
      </c>
      <c r="O11" s="2" t="s">
        <v>38</v>
      </c>
      <c r="P11" s="2" t="s">
        <v>38</v>
      </c>
      <c r="Q11" s="2" t="s">
        <v>196</v>
      </c>
      <c r="R11" s="2" t="s">
        <v>71</v>
      </c>
      <c r="S11" s="2" t="s">
        <v>89</v>
      </c>
      <c r="T11" s="2" t="s">
        <v>90</v>
      </c>
      <c r="U11" s="2" t="s">
        <v>197</v>
      </c>
      <c r="V11" s="2" t="s">
        <v>198</v>
      </c>
      <c r="W11" s="2" t="s">
        <v>38</v>
      </c>
      <c r="X11" s="3">
        <v>40918</v>
      </c>
      <c r="Y11" s="2" t="s">
        <v>199</v>
      </c>
      <c r="Z11" s="35">
        <v>78</v>
      </c>
      <c r="AA11" s="2" t="s">
        <v>47</v>
      </c>
      <c r="AB11" s="2" t="s">
        <v>48</v>
      </c>
      <c r="AC11" s="12">
        <f t="shared" si="0"/>
        <v>2012</v>
      </c>
      <c r="AD11" s="12">
        <f t="shared" si="1"/>
        <v>1</v>
      </c>
      <c r="AE11" s="12">
        <f t="shared" si="2"/>
        <v>10</v>
      </c>
      <c r="AF11" s="16">
        <f t="shared" si="3"/>
        <v>9.1</v>
      </c>
      <c r="AG11" s="16" t="str">
        <f t="shared" si="4"/>
        <v/>
      </c>
      <c r="AH11" s="16">
        <f t="shared" si="5"/>
        <v>7.8</v>
      </c>
    </row>
    <row r="12" spans="1:34" x14ac:dyDescent="0.35">
      <c r="A12" s="2" t="s">
        <v>207</v>
      </c>
      <c r="B12" s="2" t="s">
        <v>29</v>
      </c>
      <c r="C12" s="2" t="s">
        <v>49</v>
      </c>
      <c r="D12" s="2" t="s">
        <v>142</v>
      </c>
      <c r="E12" s="2" t="s">
        <v>195</v>
      </c>
      <c r="F12" s="2" t="s">
        <v>208</v>
      </c>
      <c r="G12" s="2" t="s">
        <v>106</v>
      </c>
      <c r="H12" s="2" t="s">
        <v>209</v>
      </c>
      <c r="I12" s="2" t="s">
        <v>37</v>
      </c>
      <c r="J12" s="2" t="s">
        <v>195</v>
      </c>
      <c r="K12" s="2" t="s">
        <v>38</v>
      </c>
      <c r="L12" s="2" t="s">
        <v>38</v>
      </c>
      <c r="M12" s="2" t="s">
        <v>39</v>
      </c>
      <c r="N12" s="2" t="s">
        <v>38</v>
      </c>
      <c r="O12" s="2" t="s">
        <v>38</v>
      </c>
      <c r="P12" s="2" t="s">
        <v>38</v>
      </c>
      <c r="Q12" s="2" t="s">
        <v>210</v>
      </c>
      <c r="R12" s="2" t="s">
        <v>71</v>
      </c>
      <c r="S12" s="2" t="s">
        <v>89</v>
      </c>
      <c r="T12" s="2" t="s">
        <v>90</v>
      </c>
      <c r="U12" s="2" t="s">
        <v>211</v>
      </c>
      <c r="V12" s="2" t="s">
        <v>212</v>
      </c>
      <c r="W12" s="2" t="s">
        <v>38</v>
      </c>
      <c r="X12" s="3">
        <v>40919</v>
      </c>
      <c r="Y12" s="2" t="s">
        <v>213</v>
      </c>
      <c r="Z12" s="5">
        <v>77</v>
      </c>
      <c r="AA12" s="2" t="s">
        <v>47</v>
      </c>
      <c r="AB12" s="2" t="s">
        <v>48</v>
      </c>
      <c r="AC12" s="12">
        <f t="shared" si="0"/>
        <v>2012</v>
      </c>
      <c r="AD12" s="12">
        <f t="shared" si="1"/>
        <v>1</v>
      </c>
      <c r="AE12" s="12">
        <f t="shared" si="2"/>
        <v>11</v>
      </c>
      <c r="AF12" s="16">
        <f t="shared" si="3"/>
        <v>7.9</v>
      </c>
      <c r="AG12" s="16" t="str">
        <f t="shared" si="4"/>
        <v/>
      </c>
      <c r="AH12" s="16">
        <f t="shared" si="5"/>
        <v>7.7</v>
      </c>
    </row>
    <row r="13" spans="1:34" x14ac:dyDescent="0.35">
      <c r="A13" s="2" t="s">
        <v>222</v>
      </c>
      <c r="B13" s="2" t="s">
        <v>29</v>
      </c>
      <c r="C13" s="2" t="s">
        <v>49</v>
      </c>
      <c r="D13" s="2" t="s">
        <v>112</v>
      </c>
      <c r="E13" s="2" t="s">
        <v>195</v>
      </c>
      <c r="F13" s="2" t="s">
        <v>226</v>
      </c>
      <c r="G13" s="2" t="s">
        <v>106</v>
      </c>
      <c r="H13" s="2" t="s">
        <v>180</v>
      </c>
      <c r="I13" s="2" t="s">
        <v>37</v>
      </c>
      <c r="J13" s="2" t="s">
        <v>181</v>
      </c>
      <c r="K13" s="2" t="s">
        <v>38</v>
      </c>
      <c r="L13" s="2" t="s">
        <v>38</v>
      </c>
      <c r="M13" s="2" t="s">
        <v>39</v>
      </c>
      <c r="N13" s="2" t="s">
        <v>38</v>
      </c>
      <c r="O13" s="2" t="s">
        <v>38</v>
      </c>
      <c r="P13" s="2" t="s">
        <v>38</v>
      </c>
      <c r="Q13" s="2" t="s">
        <v>227</v>
      </c>
      <c r="R13" s="2" t="s">
        <v>71</v>
      </c>
      <c r="S13" s="2" t="s">
        <v>89</v>
      </c>
      <c r="T13" s="2" t="s">
        <v>90</v>
      </c>
      <c r="U13" s="2" t="s">
        <v>228</v>
      </c>
      <c r="V13" s="2" t="s">
        <v>229</v>
      </c>
      <c r="W13" s="2" t="s">
        <v>38</v>
      </c>
      <c r="X13" s="3">
        <v>40920</v>
      </c>
      <c r="Y13" s="2" t="s">
        <v>230</v>
      </c>
      <c r="Z13" s="35">
        <v>68</v>
      </c>
      <c r="AA13" s="2" t="s">
        <v>47</v>
      </c>
      <c r="AB13" s="2" t="s">
        <v>48</v>
      </c>
      <c r="AC13" s="12">
        <f t="shared" si="0"/>
        <v>2012</v>
      </c>
      <c r="AD13" s="12">
        <f t="shared" si="1"/>
        <v>1</v>
      </c>
      <c r="AE13" s="12">
        <f t="shared" si="2"/>
        <v>12</v>
      </c>
      <c r="AF13" s="16">
        <f t="shared" si="3"/>
        <v>8.1999999999999993</v>
      </c>
      <c r="AG13" s="16" t="str">
        <f t="shared" si="4"/>
        <v/>
      </c>
      <c r="AH13" s="16">
        <f t="shared" si="5"/>
        <v>6.8</v>
      </c>
    </row>
    <row r="14" spans="1:34" x14ac:dyDescent="0.35">
      <c r="A14" s="2" t="s">
        <v>231</v>
      </c>
      <c r="B14" s="2" t="s">
        <v>29</v>
      </c>
      <c r="C14" s="2" t="s">
        <v>49</v>
      </c>
      <c r="D14" s="2" t="s">
        <v>112</v>
      </c>
      <c r="E14" s="2" t="s">
        <v>195</v>
      </c>
      <c r="F14" s="2" t="s">
        <v>239</v>
      </c>
      <c r="G14" s="2" t="s">
        <v>106</v>
      </c>
      <c r="H14" s="2" t="s">
        <v>240</v>
      </c>
      <c r="I14" s="2" t="s">
        <v>37</v>
      </c>
      <c r="J14" s="2" t="s">
        <v>181</v>
      </c>
      <c r="K14" s="2" t="s">
        <v>38</v>
      </c>
      <c r="L14" s="2" t="s">
        <v>38</v>
      </c>
      <c r="M14" s="2" t="s">
        <v>39</v>
      </c>
      <c r="N14" s="2" t="s">
        <v>38</v>
      </c>
      <c r="O14" s="2" t="s">
        <v>38</v>
      </c>
      <c r="P14" s="2" t="s">
        <v>38</v>
      </c>
      <c r="Q14" s="2" t="s">
        <v>241</v>
      </c>
      <c r="R14" s="2" t="s">
        <v>71</v>
      </c>
      <c r="S14" s="2" t="s">
        <v>89</v>
      </c>
      <c r="T14" s="2" t="s">
        <v>90</v>
      </c>
      <c r="U14" s="2" t="s">
        <v>169</v>
      </c>
      <c r="V14" s="2" t="s">
        <v>242</v>
      </c>
      <c r="W14" s="2" t="s">
        <v>38</v>
      </c>
      <c r="X14" s="3">
        <v>40921</v>
      </c>
      <c r="Y14" s="2" t="s">
        <v>243</v>
      </c>
      <c r="Z14" s="35">
        <v>66</v>
      </c>
      <c r="AA14" s="2" t="s">
        <v>47</v>
      </c>
      <c r="AB14" s="2" t="s">
        <v>48</v>
      </c>
      <c r="AC14" s="12">
        <f t="shared" si="0"/>
        <v>2012</v>
      </c>
      <c r="AD14" s="12">
        <f t="shared" si="1"/>
        <v>1</v>
      </c>
      <c r="AE14" s="12">
        <f t="shared" si="2"/>
        <v>13</v>
      </c>
      <c r="AF14" s="16">
        <f t="shared" si="3"/>
        <v>8</v>
      </c>
      <c r="AG14" s="16" t="str">
        <f t="shared" si="4"/>
        <v/>
      </c>
      <c r="AH14" s="16">
        <f t="shared" si="5"/>
        <v>6.6</v>
      </c>
    </row>
    <row r="15" spans="1:34" x14ac:dyDescent="0.35">
      <c r="A15" s="2" t="s">
        <v>244</v>
      </c>
      <c r="B15" s="2" t="s">
        <v>29</v>
      </c>
      <c r="C15" s="2" t="s">
        <v>49</v>
      </c>
      <c r="D15" s="2" t="s">
        <v>30</v>
      </c>
      <c r="E15" s="2" t="s">
        <v>195</v>
      </c>
      <c r="F15" s="2" t="s">
        <v>245</v>
      </c>
      <c r="G15" s="2" t="s">
        <v>106</v>
      </c>
      <c r="H15" s="2" t="s">
        <v>246</v>
      </c>
      <c r="I15" s="2" t="s">
        <v>37</v>
      </c>
      <c r="J15" s="2" t="s">
        <v>195</v>
      </c>
      <c r="K15" s="2" t="s">
        <v>38</v>
      </c>
      <c r="L15" s="2" t="s">
        <v>38</v>
      </c>
      <c r="M15" s="2" t="s">
        <v>39</v>
      </c>
      <c r="N15" s="2" t="s">
        <v>38</v>
      </c>
      <c r="O15" s="2" t="s">
        <v>38</v>
      </c>
      <c r="P15" s="2" t="s">
        <v>38</v>
      </c>
      <c r="Q15" s="2" t="s">
        <v>247</v>
      </c>
      <c r="R15" s="2" t="s">
        <v>71</v>
      </c>
      <c r="S15" s="2" t="s">
        <v>89</v>
      </c>
      <c r="T15" s="2" t="s">
        <v>90</v>
      </c>
      <c r="U15" s="2" t="s">
        <v>248</v>
      </c>
      <c r="V15" s="2" t="s">
        <v>212</v>
      </c>
      <c r="W15" s="2" t="s">
        <v>38</v>
      </c>
      <c r="X15" s="3">
        <v>40922</v>
      </c>
      <c r="Y15" s="2" t="s">
        <v>249</v>
      </c>
      <c r="Z15" s="5">
        <v>76</v>
      </c>
      <c r="AA15" s="2" t="s">
        <v>47</v>
      </c>
      <c r="AB15" s="2" t="s">
        <v>48</v>
      </c>
      <c r="AC15" s="12">
        <f t="shared" si="0"/>
        <v>2012</v>
      </c>
      <c r="AD15" s="12">
        <f t="shared" si="1"/>
        <v>1</v>
      </c>
      <c r="AE15" s="12">
        <f t="shared" si="2"/>
        <v>14</v>
      </c>
      <c r="AF15" s="16">
        <f t="shared" si="3"/>
        <v>7.9</v>
      </c>
      <c r="AG15" s="16" t="str">
        <f t="shared" si="4"/>
        <v/>
      </c>
      <c r="AH15" s="16">
        <f t="shared" si="5"/>
        <v>7.6</v>
      </c>
    </row>
    <row r="16" spans="1:34" x14ac:dyDescent="0.35">
      <c r="A16" s="2" t="s">
        <v>256</v>
      </c>
      <c r="B16" s="2" t="s">
        <v>29</v>
      </c>
      <c r="C16" s="2" t="s">
        <v>49</v>
      </c>
      <c r="D16" s="2" t="s">
        <v>142</v>
      </c>
      <c r="E16" s="2" t="s">
        <v>165</v>
      </c>
      <c r="F16" s="2" t="s">
        <v>257</v>
      </c>
      <c r="G16" s="2" t="s">
        <v>106</v>
      </c>
      <c r="H16" s="2" t="s">
        <v>258</v>
      </c>
      <c r="I16" s="2" t="s">
        <v>37</v>
      </c>
      <c r="J16" s="2" t="s">
        <v>181</v>
      </c>
      <c r="K16" s="2" t="s">
        <v>38</v>
      </c>
      <c r="L16" s="2" t="s">
        <v>38</v>
      </c>
      <c r="M16" s="2" t="s">
        <v>39</v>
      </c>
      <c r="N16" s="2" t="s">
        <v>38</v>
      </c>
      <c r="O16" s="2" t="s">
        <v>38</v>
      </c>
      <c r="P16" s="2" t="s">
        <v>38</v>
      </c>
      <c r="Q16" s="2" t="s">
        <v>259</v>
      </c>
      <c r="R16" s="2" t="s">
        <v>71</v>
      </c>
      <c r="S16" s="2" t="s">
        <v>89</v>
      </c>
      <c r="T16" s="2" t="s">
        <v>90</v>
      </c>
      <c r="U16" s="2" t="s">
        <v>260</v>
      </c>
      <c r="V16" s="2" t="s">
        <v>261</v>
      </c>
      <c r="W16" s="2" t="s">
        <v>38</v>
      </c>
      <c r="X16" s="3">
        <v>40923</v>
      </c>
      <c r="Y16" s="2" t="s">
        <v>262</v>
      </c>
      <c r="Z16" s="5">
        <v>74</v>
      </c>
      <c r="AA16" s="2" t="s">
        <v>47</v>
      </c>
      <c r="AB16" s="2" t="s">
        <v>48</v>
      </c>
      <c r="AC16" s="12">
        <f t="shared" si="0"/>
        <v>2012</v>
      </c>
      <c r="AD16" s="12">
        <f t="shared" si="1"/>
        <v>1</v>
      </c>
      <c r="AE16" s="12">
        <f t="shared" si="2"/>
        <v>15</v>
      </c>
      <c r="AF16" s="16">
        <f t="shared" si="3"/>
        <v>8.5</v>
      </c>
      <c r="AG16" s="16" t="str">
        <f t="shared" si="4"/>
        <v/>
      </c>
      <c r="AH16" s="16">
        <f t="shared" si="5"/>
        <v>7.4</v>
      </c>
    </row>
    <row r="17" spans="1:34" x14ac:dyDescent="0.35">
      <c r="A17" s="2" t="s">
        <v>268</v>
      </c>
      <c r="B17" s="2" t="s">
        <v>29</v>
      </c>
      <c r="C17" s="2" t="s">
        <v>49</v>
      </c>
      <c r="D17" s="2" t="s">
        <v>142</v>
      </c>
      <c r="E17" s="2" t="s">
        <v>165</v>
      </c>
      <c r="F17" s="2" t="s">
        <v>269</v>
      </c>
      <c r="G17" s="2" t="s">
        <v>106</v>
      </c>
      <c r="H17" s="2" t="s">
        <v>270</v>
      </c>
      <c r="I17" s="2" t="s">
        <v>37</v>
      </c>
      <c r="J17" s="2" t="s">
        <v>195</v>
      </c>
      <c r="K17" s="2" t="s">
        <v>38</v>
      </c>
      <c r="L17" s="2" t="s">
        <v>38</v>
      </c>
      <c r="M17" s="2" t="s">
        <v>39</v>
      </c>
      <c r="N17" s="2" t="s">
        <v>38</v>
      </c>
      <c r="O17" s="2" t="s">
        <v>38</v>
      </c>
      <c r="P17" s="2" t="s">
        <v>38</v>
      </c>
      <c r="Q17" s="2" t="s">
        <v>271</v>
      </c>
      <c r="R17" s="2" t="s">
        <v>71</v>
      </c>
      <c r="S17" s="2" t="s">
        <v>89</v>
      </c>
      <c r="T17" s="2" t="s">
        <v>90</v>
      </c>
      <c r="U17" s="2" t="s">
        <v>272</v>
      </c>
      <c r="V17" s="2" t="s">
        <v>273</v>
      </c>
      <c r="W17" s="2" t="s">
        <v>38</v>
      </c>
      <c r="X17" s="3">
        <v>40924</v>
      </c>
      <c r="Y17" s="2" t="s">
        <v>274</v>
      </c>
      <c r="Z17" s="35">
        <v>82</v>
      </c>
      <c r="AA17" s="2" t="s">
        <v>47</v>
      </c>
      <c r="AB17" s="2" t="s">
        <v>48</v>
      </c>
      <c r="AC17" s="12">
        <f t="shared" si="0"/>
        <v>2012</v>
      </c>
      <c r="AD17" s="12">
        <f t="shared" si="1"/>
        <v>1</v>
      </c>
      <c r="AE17" s="12">
        <f t="shared" si="2"/>
        <v>16</v>
      </c>
      <c r="AF17" s="16">
        <f t="shared" si="3"/>
        <v>8.9</v>
      </c>
      <c r="AG17" s="16" t="str">
        <f t="shared" si="4"/>
        <v/>
      </c>
      <c r="AH17" s="16">
        <f t="shared" si="5"/>
        <v>8.1999999999999993</v>
      </c>
    </row>
    <row r="18" spans="1:34" x14ac:dyDescent="0.35">
      <c r="A18" s="2" t="s">
        <v>281</v>
      </c>
      <c r="B18" s="2" t="s">
        <v>29</v>
      </c>
      <c r="C18" s="2" t="s">
        <v>49</v>
      </c>
      <c r="D18" s="2" t="s">
        <v>142</v>
      </c>
      <c r="E18" s="2" t="s">
        <v>142</v>
      </c>
      <c r="F18" s="2" t="s">
        <v>282</v>
      </c>
      <c r="G18" s="2" t="s">
        <v>106</v>
      </c>
      <c r="H18" s="2" t="s">
        <v>258</v>
      </c>
      <c r="I18" s="2" t="s">
        <v>37</v>
      </c>
      <c r="J18" s="2" t="s">
        <v>195</v>
      </c>
      <c r="K18" s="2" t="s">
        <v>38</v>
      </c>
      <c r="L18" s="2" t="s">
        <v>38</v>
      </c>
      <c r="M18" s="2" t="s">
        <v>39</v>
      </c>
      <c r="N18" s="2" t="s">
        <v>38</v>
      </c>
      <c r="O18" s="2" t="s">
        <v>38</v>
      </c>
      <c r="P18" s="2" t="s">
        <v>38</v>
      </c>
      <c r="Q18" s="2" t="s">
        <v>283</v>
      </c>
      <c r="R18" s="2" t="s">
        <v>71</v>
      </c>
      <c r="S18" s="2" t="s">
        <v>89</v>
      </c>
      <c r="T18" s="2" t="s">
        <v>90</v>
      </c>
      <c r="U18" s="2" t="s">
        <v>272</v>
      </c>
      <c r="V18" s="2" t="s">
        <v>284</v>
      </c>
      <c r="W18" s="2" t="s">
        <v>38</v>
      </c>
      <c r="X18" s="3">
        <v>40925</v>
      </c>
      <c r="Y18" s="2" t="s">
        <v>285</v>
      </c>
      <c r="Z18" s="5">
        <v>81</v>
      </c>
      <c r="AA18" s="2" t="s">
        <v>47</v>
      </c>
      <c r="AB18" s="2" t="s">
        <v>48</v>
      </c>
      <c r="AC18" s="12">
        <f t="shared" si="0"/>
        <v>2012</v>
      </c>
      <c r="AD18" s="12">
        <f t="shared" si="1"/>
        <v>1</v>
      </c>
      <c r="AE18" s="12">
        <f t="shared" si="2"/>
        <v>17</v>
      </c>
      <c r="AF18" s="16">
        <f t="shared" si="3"/>
        <v>10.5</v>
      </c>
      <c r="AG18" s="16" t="str">
        <f t="shared" si="4"/>
        <v/>
      </c>
      <c r="AH18" s="16">
        <f t="shared" si="5"/>
        <v>8.1</v>
      </c>
    </row>
    <row r="19" spans="1:34" x14ac:dyDescent="0.35">
      <c r="A19" s="2" t="s">
        <v>293</v>
      </c>
      <c r="B19" s="2" t="s">
        <v>29</v>
      </c>
      <c r="C19" s="2" t="s">
        <v>49</v>
      </c>
      <c r="D19" s="2" t="s">
        <v>94</v>
      </c>
      <c r="E19" s="2" t="s">
        <v>30</v>
      </c>
      <c r="F19" s="2" t="s">
        <v>294</v>
      </c>
      <c r="G19" s="2" t="s">
        <v>106</v>
      </c>
      <c r="H19" s="2" t="s">
        <v>295</v>
      </c>
      <c r="I19" s="2" t="s">
        <v>37</v>
      </c>
      <c r="J19" s="2" t="s">
        <v>165</v>
      </c>
      <c r="K19" s="2" t="s">
        <v>38</v>
      </c>
      <c r="L19" s="2" t="s">
        <v>38</v>
      </c>
      <c r="M19" s="2" t="s">
        <v>39</v>
      </c>
      <c r="N19" s="2" t="s">
        <v>38</v>
      </c>
      <c r="O19" s="2" t="s">
        <v>38</v>
      </c>
      <c r="P19" s="2" t="s">
        <v>38</v>
      </c>
      <c r="Q19" s="2" t="s">
        <v>296</v>
      </c>
      <c r="R19" s="2" t="s">
        <v>71</v>
      </c>
      <c r="S19" s="2" t="s">
        <v>89</v>
      </c>
      <c r="T19" s="2" t="s">
        <v>90</v>
      </c>
      <c r="U19" s="2" t="s">
        <v>297</v>
      </c>
      <c r="V19" s="2" t="s">
        <v>298</v>
      </c>
      <c r="W19" s="2" t="s">
        <v>38</v>
      </c>
      <c r="X19" s="3">
        <v>40926</v>
      </c>
      <c r="Y19" s="2" t="s">
        <v>299</v>
      </c>
      <c r="Z19" s="35">
        <v>94</v>
      </c>
      <c r="AA19" s="2" t="s">
        <v>47</v>
      </c>
      <c r="AB19" s="2" t="s">
        <v>48</v>
      </c>
      <c r="AC19" s="12">
        <f t="shared" si="0"/>
        <v>2012</v>
      </c>
      <c r="AD19" s="12">
        <f t="shared" si="1"/>
        <v>1</v>
      </c>
      <c r="AE19" s="12">
        <f t="shared" si="2"/>
        <v>18</v>
      </c>
      <c r="AF19" s="16">
        <f t="shared" si="3"/>
        <v>11.9</v>
      </c>
      <c r="AG19" s="16" t="str">
        <f t="shared" si="4"/>
        <v/>
      </c>
      <c r="AH19" s="16">
        <f t="shared" si="5"/>
        <v>9.4</v>
      </c>
    </row>
    <row r="20" spans="1:34" x14ac:dyDescent="0.35">
      <c r="A20" s="2" t="s">
        <v>305</v>
      </c>
      <c r="B20" s="2" t="s">
        <v>29</v>
      </c>
      <c r="C20" s="2" t="s">
        <v>49</v>
      </c>
      <c r="D20" s="2" t="s">
        <v>66</v>
      </c>
      <c r="E20" s="2" t="s">
        <v>142</v>
      </c>
      <c r="F20" s="2" t="s">
        <v>313</v>
      </c>
      <c r="G20" s="2" t="s">
        <v>106</v>
      </c>
      <c r="H20" s="2" t="s">
        <v>87</v>
      </c>
      <c r="I20" s="2" t="s">
        <v>37</v>
      </c>
      <c r="J20" s="2" t="s">
        <v>112</v>
      </c>
      <c r="K20" s="2" t="s">
        <v>38</v>
      </c>
      <c r="L20" s="2" t="s">
        <v>38</v>
      </c>
      <c r="M20" s="2" t="s">
        <v>39</v>
      </c>
      <c r="N20" s="2" t="s">
        <v>38</v>
      </c>
      <c r="O20" s="2" t="s">
        <v>38</v>
      </c>
      <c r="P20" s="2" t="s">
        <v>38</v>
      </c>
      <c r="Q20" s="2" t="s">
        <v>314</v>
      </c>
      <c r="R20" s="2" t="s">
        <v>71</v>
      </c>
      <c r="S20" s="2" t="s">
        <v>89</v>
      </c>
      <c r="T20" s="2" t="s">
        <v>90</v>
      </c>
      <c r="U20" s="2" t="s">
        <v>315</v>
      </c>
      <c r="V20" s="2" t="s">
        <v>284</v>
      </c>
      <c r="W20" s="2" t="s">
        <v>38</v>
      </c>
      <c r="X20" s="3">
        <v>40927</v>
      </c>
      <c r="Y20" s="2" t="s">
        <v>316</v>
      </c>
      <c r="Z20" s="5">
        <v>99</v>
      </c>
      <c r="AA20" s="2" t="s">
        <v>47</v>
      </c>
      <c r="AB20" s="2" t="s">
        <v>48</v>
      </c>
      <c r="AC20" s="12">
        <f t="shared" si="0"/>
        <v>2012</v>
      </c>
      <c r="AD20" s="12">
        <f t="shared" si="1"/>
        <v>1</v>
      </c>
      <c r="AE20" s="12">
        <f t="shared" si="2"/>
        <v>19</v>
      </c>
      <c r="AF20" s="16">
        <f t="shared" si="3"/>
        <v>10.5</v>
      </c>
      <c r="AG20" s="16" t="str">
        <f t="shared" si="4"/>
        <v/>
      </c>
      <c r="AH20" s="16">
        <f t="shared" si="5"/>
        <v>9.9</v>
      </c>
    </row>
    <row r="21" spans="1:34" x14ac:dyDescent="0.35">
      <c r="A21" s="2" t="s">
        <v>317</v>
      </c>
      <c r="B21" s="2" t="s">
        <v>29</v>
      </c>
      <c r="C21" s="2" t="s">
        <v>49</v>
      </c>
      <c r="D21" s="2" t="s">
        <v>30</v>
      </c>
      <c r="E21" s="2" t="s">
        <v>142</v>
      </c>
      <c r="F21" s="2" t="s">
        <v>85</v>
      </c>
      <c r="G21" s="2" t="s">
        <v>106</v>
      </c>
      <c r="H21" s="2" t="s">
        <v>69</v>
      </c>
      <c r="I21" s="2" t="s">
        <v>37</v>
      </c>
      <c r="J21" s="2" t="s">
        <v>195</v>
      </c>
      <c r="K21" s="2" t="s">
        <v>38</v>
      </c>
      <c r="L21" s="2" t="s">
        <v>38</v>
      </c>
      <c r="M21" s="2" t="s">
        <v>39</v>
      </c>
      <c r="N21" s="2" t="s">
        <v>38</v>
      </c>
      <c r="O21" s="2" t="s">
        <v>38</v>
      </c>
      <c r="P21" s="2" t="s">
        <v>38</v>
      </c>
      <c r="Q21" s="2" t="s">
        <v>196</v>
      </c>
      <c r="R21" s="2" t="s">
        <v>71</v>
      </c>
      <c r="S21" s="2" t="s">
        <v>89</v>
      </c>
      <c r="T21" s="2" t="s">
        <v>90</v>
      </c>
      <c r="U21" s="2" t="s">
        <v>318</v>
      </c>
      <c r="V21" s="2" t="s">
        <v>284</v>
      </c>
      <c r="W21" s="2" t="s">
        <v>38</v>
      </c>
      <c r="X21" s="3">
        <v>40928</v>
      </c>
      <c r="Y21" s="2" t="s">
        <v>319</v>
      </c>
      <c r="Z21" s="35">
        <v>78</v>
      </c>
      <c r="AA21" s="2" t="s">
        <v>47</v>
      </c>
      <c r="AB21" s="2" t="s">
        <v>48</v>
      </c>
      <c r="AC21" s="12">
        <f t="shared" si="0"/>
        <v>2012</v>
      </c>
      <c r="AD21" s="12">
        <f t="shared" si="1"/>
        <v>1</v>
      </c>
      <c r="AE21" s="12">
        <f t="shared" si="2"/>
        <v>20</v>
      </c>
      <c r="AF21" s="16">
        <f t="shared" si="3"/>
        <v>10.5</v>
      </c>
      <c r="AG21" s="16" t="str">
        <f t="shared" si="4"/>
        <v/>
      </c>
      <c r="AH21" s="16">
        <f t="shared" si="5"/>
        <v>7.8</v>
      </c>
    </row>
    <row r="22" spans="1:34" x14ac:dyDescent="0.35">
      <c r="A22" s="2" t="s">
        <v>324</v>
      </c>
      <c r="B22" s="2" t="s">
        <v>29</v>
      </c>
      <c r="C22" s="2" t="s">
        <v>49</v>
      </c>
      <c r="D22" s="2" t="s">
        <v>104</v>
      </c>
      <c r="E22" s="2" t="s">
        <v>142</v>
      </c>
      <c r="F22" s="2" t="s">
        <v>325</v>
      </c>
      <c r="G22" s="2" t="s">
        <v>106</v>
      </c>
      <c r="H22" s="2" t="s">
        <v>87</v>
      </c>
      <c r="I22" s="2" t="s">
        <v>37</v>
      </c>
      <c r="J22" s="2" t="s">
        <v>165</v>
      </c>
      <c r="K22" s="2" t="s">
        <v>38</v>
      </c>
      <c r="L22" s="2" t="s">
        <v>38</v>
      </c>
      <c r="M22" s="2" t="s">
        <v>39</v>
      </c>
      <c r="N22" s="2" t="s">
        <v>38</v>
      </c>
      <c r="O22" s="2" t="s">
        <v>38</v>
      </c>
      <c r="P22" s="2" t="s">
        <v>38</v>
      </c>
      <c r="Q22" s="2" t="s">
        <v>326</v>
      </c>
      <c r="R22" s="2" t="s">
        <v>71</v>
      </c>
      <c r="S22" s="2" t="s">
        <v>89</v>
      </c>
      <c r="T22" s="2" t="s">
        <v>90</v>
      </c>
      <c r="U22" s="2" t="s">
        <v>327</v>
      </c>
      <c r="V22" s="2" t="s">
        <v>328</v>
      </c>
      <c r="W22" s="2" t="s">
        <v>38</v>
      </c>
      <c r="X22" s="3">
        <v>40929</v>
      </c>
      <c r="Y22" s="2" t="s">
        <v>329</v>
      </c>
      <c r="Z22" s="5">
        <v>87</v>
      </c>
      <c r="AA22" s="2" t="s">
        <v>47</v>
      </c>
      <c r="AB22" s="2" t="s">
        <v>48</v>
      </c>
      <c r="AC22" s="12">
        <f t="shared" si="0"/>
        <v>2012</v>
      </c>
      <c r="AD22" s="12">
        <f t="shared" si="1"/>
        <v>1</v>
      </c>
      <c r="AE22" s="12">
        <f t="shared" si="2"/>
        <v>21</v>
      </c>
      <c r="AF22" s="16">
        <f t="shared" si="3"/>
        <v>11.1</v>
      </c>
      <c r="AG22" s="16" t="str">
        <f t="shared" si="4"/>
        <v/>
      </c>
      <c r="AH22" s="16">
        <f t="shared" si="5"/>
        <v>8.6999999999999993</v>
      </c>
    </row>
    <row r="23" spans="1:34" x14ac:dyDescent="0.35">
      <c r="A23" s="2" t="s">
        <v>335</v>
      </c>
      <c r="B23" s="2" t="s">
        <v>29</v>
      </c>
      <c r="C23" s="2" t="s">
        <v>49</v>
      </c>
      <c r="D23" s="2" t="s">
        <v>94</v>
      </c>
      <c r="E23" s="2" t="s">
        <v>104</v>
      </c>
      <c r="F23" s="2" t="s">
        <v>336</v>
      </c>
      <c r="G23" s="2" t="s">
        <v>106</v>
      </c>
      <c r="H23" s="2" t="s">
        <v>233</v>
      </c>
      <c r="I23" s="2" t="s">
        <v>37</v>
      </c>
      <c r="J23" s="2" t="s">
        <v>142</v>
      </c>
      <c r="K23" s="2" t="s">
        <v>38</v>
      </c>
      <c r="L23" s="2" t="s">
        <v>38</v>
      </c>
      <c r="M23" s="2" t="s">
        <v>39</v>
      </c>
      <c r="N23" s="2" t="s">
        <v>38</v>
      </c>
      <c r="O23" s="2" t="s">
        <v>38</v>
      </c>
      <c r="P23" s="2" t="s">
        <v>38</v>
      </c>
      <c r="Q23" s="2" t="s">
        <v>337</v>
      </c>
      <c r="R23" s="2" t="s">
        <v>71</v>
      </c>
      <c r="S23" s="2" t="s">
        <v>89</v>
      </c>
      <c r="T23" s="2" t="s">
        <v>90</v>
      </c>
      <c r="U23" s="2" t="s">
        <v>338</v>
      </c>
      <c r="V23" s="2" t="s">
        <v>339</v>
      </c>
      <c r="W23" s="2" t="s">
        <v>38</v>
      </c>
      <c r="X23" s="3">
        <v>40930</v>
      </c>
      <c r="Y23" s="2" t="s">
        <v>340</v>
      </c>
      <c r="Z23" s="35">
        <v>112</v>
      </c>
      <c r="AA23" s="2" t="s">
        <v>47</v>
      </c>
      <c r="AB23" s="2" t="s">
        <v>48</v>
      </c>
      <c r="AC23" s="12">
        <f t="shared" si="0"/>
        <v>2012</v>
      </c>
      <c r="AD23" s="12">
        <f t="shared" si="1"/>
        <v>1</v>
      </c>
      <c r="AE23" s="12">
        <f t="shared" si="2"/>
        <v>22</v>
      </c>
      <c r="AF23" s="16">
        <f t="shared" si="3"/>
        <v>12.8</v>
      </c>
      <c r="AG23" s="16" t="str">
        <f t="shared" si="4"/>
        <v/>
      </c>
      <c r="AH23" s="16">
        <f t="shared" si="5"/>
        <v>11.2</v>
      </c>
    </row>
    <row r="24" spans="1:34" x14ac:dyDescent="0.35">
      <c r="A24" s="2" t="s">
        <v>348</v>
      </c>
      <c r="B24" s="2" t="s">
        <v>29</v>
      </c>
      <c r="C24" s="2" t="s">
        <v>49</v>
      </c>
      <c r="D24" s="2" t="s">
        <v>32</v>
      </c>
      <c r="E24" s="2" t="s">
        <v>66</v>
      </c>
      <c r="F24" s="2" t="s">
        <v>349</v>
      </c>
      <c r="G24" s="2" t="s">
        <v>106</v>
      </c>
      <c r="H24" s="2" t="s">
        <v>69</v>
      </c>
      <c r="I24" s="2" t="s">
        <v>37</v>
      </c>
      <c r="J24" s="2" t="s">
        <v>94</v>
      </c>
      <c r="K24" s="2" t="s">
        <v>38</v>
      </c>
      <c r="L24" s="2" t="s">
        <v>38</v>
      </c>
      <c r="M24" s="2" t="s">
        <v>39</v>
      </c>
      <c r="N24" s="2" t="s">
        <v>38</v>
      </c>
      <c r="O24" s="2" t="s">
        <v>38</v>
      </c>
      <c r="P24" s="2" t="s">
        <v>38</v>
      </c>
      <c r="Q24" s="2" t="s">
        <v>350</v>
      </c>
      <c r="R24" s="2" t="s">
        <v>71</v>
      </c>
      <c r="S24" s="2" t="s">
        <v>89</v>
      </c>
      <c r="T24" s="2" t="s">
        <v>90</v>
      </c>
      <c r="U24" s="2" t="s">
        <v>139</v>
      </c>
      <c r="V24" s="2" t="s">
        <v>140</v>
      </c>
      <c r="W24" s="2" t="s">
        <v>38</v>
      </c>
      <c r="X24" s="3">
        <v>40931</v>
      </c>
      <c r="Y24" s="2" t="s">
        <v>351</v>
      </c>
      <c r="Z24" s="35">
        <v>138</v>
      </c>
      <c r="AA24" s="2" t="s">
        <v>47</v>
      </c>
      <c r="AB24" s="2" t="s">
        <v>48</v>
      </c>
      <c r="AC24" s="12">
        <f t="shared" si="0"/>
        <v>2012</v>
      </c>
      <c r="AD24" s="12">
        <f t="shared" si="1"/>
        <v>1</v>
      </c>
      <c r="AE24" s="12">
        <f t="shared" si="2"/>
        <v>23</v>
      </c>
      <c r="AF24" s="16">
        <f t="shared" si="3"/>
        <v>14.7</v>
      </c>
      <c r="AG24" s="16" t="str">
        <f t="shared" si="4"/>
        <v/>
      </c>
      <c r="AH24" s="16">
        <f t="shared" si="5"/>
        <v>13.8</v>
      </c>
    </row>
    <row r="25" spans="1:34" x14ac:dyDescent="0.35">
      <c r="A25" s="2" t="s">
        <v>356</v>
      </c>
      <c r="B25" s="2" t="s">
        <v>29</v>
      </c>
      <c r="C25" s="2" t="s">
        <v>49</v>
      </c>
      <c r="D25" s="2" t="s">
        <v>32</v>
      </c>
      <c r="E25" s="2" t="s">
        <v>66</v>
      </c>
      <c r="F25" s="2" t="s">
        <v>357</v>
      </c>
      <c r="G25" s="2" t="s">
        <v>106</v>
      </c>
      <c r="H25" s="2" t="s">
        <v>180</v>
      </c>
      <c r="I25" s="2" t="s">
        <v>37</v>
      </c>
      <c r="J25" s="2" t="s">
        <v>94</v>
      </c>
      <c r="K25" s="2" t="s">
        <v>38</v>
      </c>
      <c r="L25" s="2" t="s">
        <v>38</v>
      </c>
      <c r="M25" s="2" t="s">
        <v>39</v>
      </c>
      <c r="N25" s="2" t="s">
        <v>38</v>
      </c>
      <c r="O25" s="2" t="s">
        <v>38</v>
      </c>
      <c r="P25" s="2" t="s">
        <v>38</v>
      </c>
      <c r="Q25" s="2" t="s">
        <v>350</v>
      </c>
      <c r="R25" s="2" t="s">
        <v>358</v>
      </c>
      <c r="S25" s="2" t="s">
        <v>159</v>
      </c>
      <c r="T25" s="2" t="s">
        <v>345</v>
      </c>
      <c r="U25" s="2" t="s">
        <v>359</v>
      </c>
      <c r="V25" s="2" t="s">
        <v>160</v>
      </c>
      <c r="W25" s="2" t="s">
        <v>38</v>
      </c>
      <c r="X25" s="3">
        <v>40932</v>
      </c>
      <c r="Y25" s="2" t="s">
        <v>360</v>
      </c>
      <c r="Z25" s="5">
        <v>138</v>
      </c>
      <c r="AA25" s="2" t="s">
        <v>47</v>
      </c>
      <c r="AB25" s="2" t="s">
        <v>48</v>
      </c>
      <c r="AC25" s="12">
        <f t="shared" si="0"/>
        <v>2012</v>
      </c>
      <c r="AD25" s="12">
        <f t="shared" si="1"/>
        <v>1</v>
      </c>
      <c r="AE25" s="12">
        <f t="shared" si="2"/>
        <v>24</v>
      </c>
      <c r="AF25" s="16">
        <f t="shared" si="3"/>
        <v>14.6</v>
      </c>
      <c r="AG25" s="16" t="str">
        <f t="shared" si="4"/>
        <v/>
      </c>
      <c r="AH25" s="16">
        <f t="shared" si="5"/>
        <v>13.8</v>
      </c>
    </row>
    <row r="26" spans="1:34" x14ac:dyDescent="0.35">
      <c r="A26" s="2" t="s">
        <v>365</v>
      </c>
      <c r="B26" s="2" t="s">
        <v>29</v>
      </c>
      <c r="C26" s="2" t="s">
        <v>49</v>
      </c>
      <c r="D26" s="2" t="s">
        <v>32</v>
      </c>
      <c r="E26" s="2" t="s">
        <v>94</v>
      </c>
      <c r="F26" s="2" t="s">
        <v>366</v>
      </c>
      <c r="G26" s="2" t="s">
        <v>68</v>
      </c>
      <c r="H26" s="2" t="s">
        <v>54</v>
      </c>
      <c r="I26" s="2" t="s">
        <v>37</v>
      </c>
      <c r="J26" s="2" t="s">
        <v>104</v>
      </c>
      <c r="K26" s="2" t="s">
        <v>38</v>
      </c>
      <c r="L26" s="2" t="s">
        <v>38</v>
      </c>
      <c r="M26" s="2" t="s">
        <v>39</v>
      </c>
      <c r="N26" s="2" t="s">
        <v>38</v>
      </c>
      <c r="O26" s="2" t="s">
        <v>38</v>
      </c>
      <c r="P26" s="2" t="s">
        <v>38</v>
      </c>
      <c r="Q26" s="2" t="s">
        <v>367</v>
      </c>
      <c r="R26" s="2" t="s">
        <v>71</v>
      </c>
      <c r="S26" s="2" t="s">
        <v>72</v>
      </c>
      <c r="T26" s="2" t="s">
        <v>73</v>
      </c>
      <c r="U26" s="2" t="s">
        <v>139</v>
      </c>
      <c r="V26" s="2" t="s">
        <v>368</v>
      </c>
      <c r="W26" s="2" t="s">
        <v>38</v>
      </c>
      <c r="X26" s="3">
        <v>40933</v>
      </c>
      <c r="Y26" s="2" t="s">
        <v>369</v>
      </c>
      <c r="Z26" s="35">
        <v>135</v>
      </c>
      <c r="AA26" s="2" t="s">
        <v>47</v>
      </c>
      <c r="AB26" s="2" t="s">
        <v>48</v>
      </c>
      <c r="AC26" s="12">
        <f t="shared" si="0"/>
        <v>2012</v>
      </c>
      <c r="AD26" s="12">
        <f t="shared" si="1"/>
        <v>1</v>
      </c>
      <c r="AE26" s="12">
        <f t="shared" si="2"/>
        <v>25</v>
      </c>
      <c r="AF26" s="16">
        <f t="shared" si="3"/>
        <v>14.3</v>
      </c>
      <c r="AG26" s="16" t="str">
        <f t="shared" si="4"/>
        <v/>
      </c>
      <c r="AH26" s="16">
        <f t="shared" si="5"/>
        <v>13.5</v>
      </c>
    </row>
    <row r="27" spans="1:34" x14ac:dyDescent="0.35">
      <c r="A27" s="2" t="s">
        <v>374</v>
      </c>
      <c r="B27" s="2" t="s">
        <v>29</v>
      </c>
      <c r="C27" s="2" t="s">
        <v>49</v>
      </c>
      <c r="D27" s="2" t="s">
        <v>32</v>
      </c>
      <c r="E27" s="2" t="s">
        <v>104</v>
      </c>
      <c r="F27" s="2" t="s">
        <v>325</v>
      </c>
      <c r="G27" s="2" t="s">
        <v>68</v>
      </c>
      <c r="H27" s="2" t="s">
        <v>217</v>
      </c>
      <c r="I27" s="2" t="s">
        <v>37</v>
      </c>
      <c r="J27" s="2" t="s">
        <v>30</v>
      </c>
      <c r="K27" s="2" t="s">
        <v>38</v>
      </c>
      <c r="L27" s="2" t="s">
        <v>38</v>
      </c>
      <c r="M27" s="2" t="s">
        <v>39</v>
      </c>
      <c r="N27" s="2" t="s">
        <v>38</v>
      </c>
      <c r="O27" s="2" t="s">
        <v>38</v>
      </c>
      <c r="P27" s="2" t="s">
        <v>38</v>
      </c>
      <c r="Q27" s="2" t="s">
        <v>375</v>
      </c>
      <c r="R27" s="2" t="s">
        <v>358</v>
      </c>
      <c r="S27" s="2" t="s">
        <v>159</v>
      </c>
      <c r="T27" s="2" t="s">
        <v>345</v>
      </c>
      <c r="U27" s="2" t="s">
        <v>359</v>
      </c>
      <c r="V27" s="2" t="s">
        <v>376</v>
      </c>
      <c r="W27" s="2" t="s">
        <v>38</v>
      </c>
      <c r="X27" s="3">
        <v>40934</v>
      </c>
      <c r="Y27" s="2" t="s">
        <v>377</v>
      </c>
      <c r="Z27" s="5">
        <v>118</v>
      </c>
      <c r="AA27" s="2" t="s">
        <v>47</v>
      </c>
      <c r="AB27" s="2" t="s">
        <v>48</v>
      </c>
      <c r="AC27" s="12">
        <f t="shared" si="0"/>
        <v>2012</v>
      </c>
      <c r="AD27" s="12">
        <f t="shared" si="1"/>
        <v>1</v>
      </c>
      <c r="AE27" s="12">
        <f t="shared" si="2"/>
        <v>26</v>
      </c>
      <c r="AF27" s="16">
        <f t="shared" si="3"/>
        <v>12.5</v>
      </c>
      <c r="AG27" s="16" t="str">
        <f t="shared" si="4"/>
        <v/>
      </c>
      <c r="AH27" s="16">
        <f t="shared" si="5"/>
        <v>11.8</v>
      </c>
    </row>
    <row r="28" spans="1:34" x14ac:dyDescent="0.35">
      <c r="A28" s="2" t="s">
        <v>384</v>
      </c>
      <c r="B28" s="2" t="s">
        <v>29</v>
      </c>
      <c r="C28" s="2" t="s">
        <v>49</v>
      </c>
      <c r="D28" s="2" t="s">
        <v>104</v>
      </c>
      <c r="E28" s="2" t="s">
        <v>30</v>
      </c>
      <c r="F28" s="2" t="s">
        <v>390</v>
      </c>
      <c r="G28" s="2" t="s">
        <v>106</v>
      </c>
      <c r="H28" s="2" t="s">
        <v>180</v>
      </c>
      <c r="I28" s="2" t="s">
        <v>37</v>
      </c>
      <c r="J28" s="2" t="s">
        <v>142</v>
      </c>
      <c r="K28" s="2" t="s">
        <v>38</v>
      </c>
      <c r="L28" s="2" t="s">
        <v>38</v>
      </c>
      <c r="M28" s="2" t="s">
        <v>39</v>
      </c>
      <c r="N28" s="2" t="s">
        <v>38</v>
      </c>
      <c r="O28" s="2" t="s">
        <v>38</v>
      </c>
      <c r="P28" s="2" t="s">
        <v>38</v>
      </c>
      <c r="Q28" s="2" t="s">
        <v>391</v>
      </c>
      <c r="R28" s="2" t="s">
        <v>71</v>
      </c>
      <c r="S28" s="2" t="s">
        <v>89</v>
      </c>
      <c r="T28" s="2" t="s">
        <v>90</v>
      </c>
      <c r="U28" s="2" t="s">
        <v>392</v>
      </c>
      <c r="V28" s="2" t="s">
        <v>393</v>
      </c>
      <c r="W28" s="2" t="s">
        <v>38</v>
      </c>
      <c r="X28" s="3">
        <v>40935</v>
      </c>
      <c r="Y28" s="2" t="s">
        <v>394</v>
      </c>
      <c r="Z28" s="5">
        <v>109</v>
      </c>
      <c r="AA28" s="2" t="s">
        <v>47</v>
      </c>
      <c r="AB28" s="2" t="s">
        <v>48</v>
      </c>
      <c r="AC28" s="12">
        <f t="shared" si="0"/>
        <v>2012</v>
      </c>
      <c r="AD28" s="12">
        <f t="shared" si="1"/>
        <v>1</v>
      </c>
      <c r="AE28" s="12">
        <f t="shared" si="2"/>
        <v>27</v>
      </c>
      <c r="AF28" s="16">
        <f t="shared" si="3"/>
        <v>12.3</v>
      </c>
      <c r="AG28" s="16" t="str">
        <f t="shared" si="4"/>
        <v/>
      </c>
      <c r="AH28" s="16">
        <f t="shared" si="5"/>
        <v>10.9</v>
      </c>
    </row>
    <row r="29" spans="1:34" x14ac:dyDescent="0.35">
      <c r="A29" s="2" t="s">
        <v>395</v>
      </c>
      <c r="B29" s="2" t="s">
        <v>29</v>
      </c>
      <c r="C29" s="2" t="s">
        <v>49</v>
      </c>
      <c r="D29" s="2" t="s">
        <v>66</v>
      </c>
      <c r="E29" s="2" t="s">
        <v>30</v>
      </c>
      <c r="F29" s="2" t="s">
        <v>399</v>
      </c>
      <c r="G29" s="2" t="s">
        <v>106</v>
      </c>
      <c r="H29" s="2" t="s">
        <v>180</v>
      </c>
      <c r="I29" s="2" t="s">
        <v>37</v>
      </c>
      <c r="J29" s="2" t="s">
        <v>142</v>
      </c>
      <c r="K29" s="2" t="s">
        <v>38</v>
      </c>
      <c r="L29" s="2" t="s">
        <v>38</v>
      </c>
      <c r="M29" s="2" t="s">
        <v>39</v>
      </c>
      <c r="N29" s="2" t="s">
        <v>38</v>
      </c>
      <c r="O29" s="2" t="s">
        <v>38</v>
      </c>
      <c r="P29" s="2" t="s">
        <v>38</v>
      </c>
      <c r="Q29" s="2" t="s">
        <v>400</v>
      </c>
      <c r="R29" s="2" t="s">
        <v>71</v>
      </c>
      <c r="S29" s="2" t="s">
        <v>89</v>
      </c>
      <c r="T29" s="2" t="s">
        <v>90</v>
      </c>
      <c r="U29" s="2" t="s">
        <v>160</v>
      </c>
      <c r="V29" s="2" t="s">
        <v>354</v>
      </c>
      <c r="W29" s="2" t="s">
        <v>38</v>
      </c>
      <c r="X29" s="3">
        <v>40936</v>
      </c>
      <c r="Y29" s="2" t="s">
        <v>401</v>
      </c>
      <c r="Z29" s="35">
        <v>108</v>
      </c>
      <c r="AA29" s="2" t="s">
        <v>47</v>
      </c>
      <c r="AB29" s="2" t="s">
        <v>48</v>
      </c>
      <c r="AC29" s="12">
        <f t="shared" si="0"/>
        <v>2012</v>
      </c>
      <c r="AD29" s="12">
        <f t="shared" si="1"/>
        <v>1</v>
      </c>
      <c r="AE29" s="12">
        <f t="shared" si="2"/>
        <v>28</v>
      </c>
      <c r="AF29" s="16">
        <f t="shared" si="3"/>
        <v>12.1</v>
      </c>
      <c r="AG29" s="16" t="str">
        <f t="shared" si="4"/>
        <v/>
      </c>
      <c r="AH29" s="16">
        <f t="shared" si="5"/>
        <v>10.8</v>
      </c>
    </row>
    <row r="30" spans="1:34" x14ac:dyDescent="0.35">
      <c r="A30" s="2" t="s">
        <v>402</v>
      </c>
      <c r="B30" s="2" t="s">
        <v>29</v>
      </c>
      <c r="C30" s="2" t="s">
        <v>49</v>
      </c>
      <c r="D30" s="2" t="s">
        <v>104</v>
      </c>
      <c r="E30" s="2" t="s">
        <v>410</v>
      </c>
      <c r="F30" s="2" t="s">
        <v>411</v>
      </c>
      <c r="G30" s="2" t="s">
        <v>106</v>
      </c>
      <c r="H30" s="2" t="s">
        <v>113</v>
      </c>
      <c r="I30" s="2" t="s">
        <v>37</v>
      </c>
      <c r="J30" s="2" t="s">
        <v>165</v>
      </c>
      <c r="K30" s="2" t="s">
        <v>38</v>
      </c>
      <c r="L30" s="2" t="s">
        <v>38</v>
      </c>
      <c r="M30" s="2" t="s">
        <v>39</v>
      </c>
      <c r="N30" s="2" t="s">
        <v>38</v>
      </c>
      <c r="O30" s="2" t="s">
        <v>38</v>
      </c>
      <c r="P30" s="2" t="s">
        <v>38</v>
      </c>
      <c r="Q30" s="2" t="s">
        <v>412</v>
      </c>
      <c r="R30" s="2" t="s">
        <v>71</v>
      </c>
      <c r="S30" s="2" t="s">
        <v>89</v>
      </c>
      <c r="T30" s="2" t="s">
        <v>90</v>
      </c>
      <c r="U30" s="2" t="s">
        <v>109</v>
      </c>
      <c r="V30" s="2" t="s">
        <v>413</v>
      </c>
      <c r="W30" s="2" t="s">
        <v>38</v>
      </c>
      <c r="X30" s="3">
        <v>40937</v>
      </c>
      <c r="Y30" s="2" t="s">
        <v>414</v>
      </c>
      <c r="Z30" s="5">
        <v>92</v>
      </c>
      <c r="AA30" s="2" t="s">
        <v>47</v>
      </c>
      <c r="AB30" s="2" t="s">
        <v>48</v>
      </c>
      <c r="AC30" s="12">
        <f t="shared" si="0"/>
        <v>2012</v>
      </c>
      <c r="AD30" s="12">
        <f t="shared" si="1"/>
        <v>1</v>
      </c>
      <c r="AE30" s="12">
        <f t="shared" si="2"/>
        <v>29</v>
      </c>
      <c r="AF30" s="16">
        <f t="shared" si="3"/>
        <v>9.5</v>
      </c>
      <c r="AG30" s="16" t="str">
        <f t="shared" si="4"/>
        <v/>
      </c>
      <c r="AH30" s="16">
        <f t="shared" si="5"/>
        <v>9.1999999999999993</v>
      </c>
    </row>
    <row r="31" spans="1:34" x14ac:dyDescent="0.35">
      <c r="A31" s="2" t="s">
        <v>415</v>
      </c>
      <c r="B31" s="2" t="s">
        <v>29</v>
      </c>
      <c r="C31" s="2" t="s">
        <v>49</v>
      </c>
      <c r="D31" s="2" t="s">
        <v>94</v>
      </c>
      <c r="E31" s="2" t="s">
        <v>165</v>
      </c>
      <c r="F31" s="2" t="s">
        <v>420</v>
      </c>
      <c r="G31" s="2" t="s">
        <v>106</v>
      </c>
      <c r="H31" s="2" t="s">
        <v>233</v>
      </c>
      <c r="I31" s="2" t="s">
        <v>37</v>
      </c>
      <c r="J31" s="2" t="s">
        <v>165</v>
      </c>
      <c r="K31" s="2" t="s">
        <v>38</v>
      </c>
      <c r="L31" s="2" t="s">
        <v>38</v>
      </c>
      <c r="M31" s="2" t="s">
        <v>39</v>
      </c>
      <c r="N31" s="2" t="s">
        <v>38</v>
      </c>
      <c r="O31" s="2" t="s">
        <v>38</v>
      </c>
      <c r="P31" s="2" t="s">
        <v>38</v>
      </c>
      <c r="Q31" s="2" t="s">
        <v>326</v>
      </c>
      <c r="R31" s="2" t="s">
        <v>71</v>
      </c>
      <c r="S31" s="2" t="s">
        <v>89</v>
      </c>
      <c r="T31" s="2" t="s">
        <v>90</v>
      </c>
      <c r="U31" s="2" t="s">
        <v>421</v>
      </c>
      <c r="V31" s="2" t="s">
        <v>198</v>
      </c>
      <c r="W31" s="2" t="s">
        <v>38</v>
      </c>
      <c r="X31" s="3">
        <v>40938</v>
      </c>
      <c r="Y31" s="2" t="s">
        <v>422</v>
      </c>
      <c r="Z31" s="35">
        <v>87</v>
      </c>
      <c r="AA31" s="2" t="s">
        <v>47</v>
      </c>
      <c r="AB31" s="2" t="s">
        <v>48</v>
      </c>
      <c r="AC31" s="12">
        <f t="shared" si="0"/>
        <v>2012</v>
      </c>
      <c r="AD31" s="12">
        <f t="shared" si="1"/>
        <v>1</v>
      </c>
      <c r="AE31" s="12">
        <f t="shared" si="2"/>
        <v>30</v>
      </c>
      <c r="AF31" s="16">
        <f t="shared" si="3"/>
        <v>9.1</v>
      </c>
      <c r="AG31" s="16" t="str">
        <f t="shared" si="4"/>
        <v/>
      </c>
      <c r="AH31" s="16">
        <f t="shared" si="5"/>
        <v>8.6999999999999993</v>
      </c>
    </row>
    <row r="32" spans="1:34" x14ac:dyDescent="0.35">
      <c r="A32" s="2" t="s">
        <v>423</v>
      </c>
      <c r="B32" s="2" t="s">
        <v>29</v>
      </c>
      <c r="C32" s="2" t="s">
        <v>49</v>
      </c>
      <c r="D32" s="2" t="s">
        <v>66</v>
      </c>
      <c r="E32" s="2" t="s">
        <v>30</v>
      </c>
      <c r="F32" s="2" t="s">
        <v>427</v>
      </c>
      <c r="G32" s="2" t="s">
        <v>106</v>
      </c>
      <c r="H32" s="2" t="s">
        <v>428</v>
      </c>
      <c r="I32" s="2" t="s">
        <v>37</v>
      </c>
      <c r="J32" s="2" t="s">
        <v>30</v>
      </c>
      <c r="K32" s="2" t="s">
        <v>38</v>
      </c>
      <c r="L32" s="2" t="s">
        <v>38</v>
      </c>
      <c r="M32" s="2" t="s">
        <v>39</v>
      </c>
      <c r="N32" s="2" t="s">
        <v>38</v>
      </c>
      <c r="O32" s="2" t="s">
        <v>38</v>
      </c>
      <c r="P32" s="2" t="s">
        <v>38</v>
      </c>
      <c r="Q32" s="2" t="s">
        <v>429</v>
      </c>
      <c r="R32" s="2" t="s">
        <v>71</v>
      </c>
      <c r="S32" s="2" t="s">
        <v>89</v>
      </c>
      <c r="T32" s="2" t="s">
        <v>90</v>
      </c>
      <c r="U32" s="2" t="s">
        <v>315</v>
      </c>
      <c r="V32" s="2" t="s">
        <v>393</v>
      </c>
      <c r="W32" s="2" t="s">
        <v>38</v>
      </c>
      <c r="X32" s="3">
        <v>40939</v>
      </c>
      <c r="Y32" s="2" t="s">
        <v>430</v>
      </c>
      <c r="Z32" s="5">
        <v>124</v>
      </c>
      <c r="AA32" s="2" t="s">
        <v>47</v>
      </c>
      <c r="AB32" s="2" t="s">
        <v>48</v>
      </c>
      <c r="AC32" s="12">
        <f t="shared" si="0"/>
        <v>2012</v>
      </c>
      <c r="AD32" s="12">
        <f t="shared" si="1"/>
        <v>1</v>
      </c>
      <c r="AE32" s="12">
        <f t="shared" si="2"/>
        <v>31</v>
      </c>
      <c r="AF32" s="16">
        <f t="shared" si="3"/>
        <v>12.3</v>
      </c>
      <c r="AG32" s="16" t="str">
        <f t="shared" si="4"/>
        <v/>
      </c>
      <c r="AH32" s="16">
        <f t="shared" si="5"/>
        <v>12.4</v>
      </c>
    </row>
    <row r="33" spans="1:34" x14ac:dyDescent="0.35">
      <c r="A33" s="2" t="s">
        <v>431</v>
      </c>
      <c r="B33" s="2" t="s">
        <v>29</v>
      </c>
      <c r="C33" s="2" t="s">
        <v>49</v>
      </c>
      <c r="D33" s="2" t="s">
        <v>66</v>
      </c>
      <c r="E33" s="2" t="s">
        <v>104</v>
      </c>
      <c r="F33" s="2" t="s">
        <v>435</v>
      </c>
      <c r="G33" s="2" t="s">
        <v>106</v>
      </c>
      <c r="H33" s="2" t="s">
        <v>217</v>
      </c>
      <c r="I33" s="2" t="s">
        <v>37</v>
      </c>
      <c r="J33" s="2" t="s">
        <v>104</v>
      </c>
      <c r="K33" s="2" t="s">
        <v>38</v>
      </c>
      <c r="L33" s="2" t="s">
        <v>38</v>
      </c>
      <c r="M33" s="2" t="s">
        <v>39</v>
      </c>
      <c r="N33" s="2" t="s">
        <v>38</v>
      </c>
      <c r="O33" s="2" t="s">
        <v>38</v>
      </c>
      <c r="P33" s="2" t="s">
        <v>38</v>
      </c>
      <c r="Q33" s="2" t="s">
        <v>436</v>
      </c>
      <c r="R33" s="2" t="s">
        <v>183</v>
      </c>
      <c r="S33" s="2" t="s">
        <v>89</v>
      </c>
      <c r="T33" s="2" t="s">
        <v>90</v>
      </c>
      <c r="U33" s="2" t="s">
        <v>123</v>
      </c>
      <c r="V33" s="2" t="s">
        <v>124</v>
      </c>
      <c r="W33" s="2" t="s">
        <v>38</v>
      </c>
      <c r="X33" s="3">
        <v>40940</v>
      </c>
      <c r="Y33" s="2" t="s">
        <v>437</v>
      </c>
      <c r="Z33" s="35">
        <v>131</v>
      </c>
      <c r="AA33" s="2" t="s">
        <v>47</v>
      </c>
      <c r="AB33" s="2" t="s">
        <v>48</v>
      </c>
      <c r="AC33" s="12">
        <f t="shared" si="0"/>
        <v>2012</v>
      </c>
      <c r="AD33" s="12">
        <f t="shared" si="1"/>
        <v>2</v>
      </c>
      <c r="AE33" s="12">
        <f t="shared" si="2"/>
        <v>1</v>
      </c>
      <c r="AF33" s="16">
        <f t="shared" si="3"/>
        <v>13.5</v>
      </c>
      <c r="AG33" s="16" t="str">
        <f t="shared" si="4"/>
        <v/>
      </c>
      <c r="AH33" s="16">
        <f t="shared" si="5"/>
        <v>13.1</v>
      </c>
    </row>
    <row r="34" spans="1:34" x14ac:dyDescent="0.35">
      <c r="A34" s="2" t="s">
        <v>438</v>
      </c>
      <c r="B34" s="2" t="s">
        <v>29</v>
      </c>
      <c r="C34" s="2" t="s">
        <v>49</v>
      </c>
      <c r="D34" s="2" t="s">
        <v>66</v>
      </c>
      <c r="E34" s="2" t="s">
        <v>104</v>
      </c>
      <c r="F34" s="2" t="s">
        <v>445</v>
      </c>
      <c r="G34" s="2" t="s">
        <v>106</v>
      </c>
      <c r="H34" s="2" t="s">
        <v>137</v>
      </c>
      <c r="I34" s="2" t="s">
        <v>37</v>
      </c>
      <c r="J34" s="2" t="s">
        <v>104</v>
      </c>
      <c r="K34" s="2" t="s">
        <v>38</v>
      </c>
      <c r="L34" s="2" t="s">
        <v>38</v>
      </c>
      <c r="M34" s="2" t="s">
        <v>39</v>
      </c>
      <c r="N34" s="2" t="s">
        <v>38</v>
      </c>
      <c r="O34" s="2" t="s">
        <v>38</v>
      </c>
      <c r="P34" s="2" t="s">
        <v>38</v>
      </c>
      <c r="Q34" s="2" t="s">
        <v>446</v>
      </c>
      <c r="R34" s="2" t="s">
        <v>71</v>
      </c>
      <c r="S34" s="2" t="s">
        <v>89</v>
      </c>
      <c r="T34" s="2" t="s">
        <v>90</v>
      </c>
      <c r="U34" s="2" t="s">
        <v>123</v>
      </c>
      <c r="V34" s="2" t="s">
        <v>124</v>
      </c>
      <c r="W34" s="2" t="s">
        <v>38</v>
      </c>
      <c r="X34" s="3">
        <v>40941</v>
      </c>
      <c r="Y34" s="2" t="s">
        <v>447</v>
      </c>
      <c r="Z34" s="5">
        <v>127</v>
      </c>
      <c r="AA34" s="2" t="s">
        <v>47</v>
      </c>
      <c r="AB34" s="2" t="s">
        <v>48</v>
      </c>
      <c r="AC34" s="12">
        <f t="shared" si="0"/>
        <v>2012</v>
      </c>
      <c r="AD34" s="12">
        <f t="shared" si="1"/>
        <v>2</v>
      </c>
      <c r="AE34" s="12">
        <f t="shared" si="2"/>
        <v>2</v>
      </c>
      <c r="AF34" s="16">
        <f t="shared" si="3"/>
        <v>13.5</v>
      </c>
      <c r="AG34" s="16" t="str">
        <f t="shared" si="4"/>
        <v/>
      </c>
      <c r="AH34" s="16">
        <f t="shared" si="5"/>
        <v>12.7</v>
      </c>
    </row>
    <row r="35" spans="1:34" x14ac:dyDescent="0.35">
      <c r="A35" s="2" t="s">
        <v>448</v>
      </c>
      <c r="B35" s="2" t="s">
        <v>29</v>
      </c>
      <c r="C35" s="2" t="s">
        <v>49</v>
      </c>
      <c r="D35" s="2" t="s">
        <v>66</v>
      </c>
      <c r="E35" s="2" t="s">
        <v>30</v>
      </c>
      <c r="F35" s="2" t="s">
        <v>449</v>
      </c>
      <c r="G35" s="2" t="s">
        <v>106</v>
      </c>
      <c r="H35" s="2" t="s">
        <v>113</v>
      </c>
      <c r="I35" s="2" t="s">
        <v>37</v>
      </c>
      <c r="J35" s="2" t="s">
        <v>30</v>
      </c>
      <c r="K35" s="2" t="s">
        <v>38</v>
      </c>
      <c r="L35" s="2" t="s">
        <v>38</v>
      </c>
      <c r="M35" s="2" t="s">
        <v>39</v>
      </c>
      <c r="N35" s="2" t="s">
        <v>38</v>
      </c>
      <c r="O35" s="2" t="s">
        <v>38</v>
      </c>
      <c r="P35" s="2" t="s">
        <v>38</v>
      </c>
      <c r="Q35" s="2" t="s">
        <v>375</v>
      </c>
      <c r="R35" s="2" t="s">
        <v>71</v>
      </c>
      <c r="S35" s="2" t="s">
        <v>89</v>
      </c>
      <c r="T35" s="2" t="s">
        <v>90</v>
      </c>
      <c r="U35" s="2" t="s">
        <v>315</v>
      </c>
      <c r="V35" s="2" t="s">
        <v>393</v>
      </c>
      <c r="W35" s="2" t="s">
        <v>38</v>
      </c>
      <c r="X35" s="3">
        <v>40942</v>
      </c>
      <c r="Y35" s="2" t="s">
        <v>450</v>
      </c>
      <c r="Z35" s="35">
        <v>118</v>
      </c>
      <c r="AA35" s="2" t="s">
        <v>47</v>
      </c>
      <c r="AB35" s="2" t="s">
        <v>48</v>
      </c>
      <c r="AC35" s="12">
        <f t="shared" si="0"/>
        <v>2012</v>
      </c>
      <c r="AD35" s="12">
        <f t="shared" si="1"/>
        <v>2</v>
      </c>
      <c r="AE35" s="12">
        <f t="shared" si="2"/>
        <v>3</v>
      </c>
      <c r="AF35" s="16">
        <f t="shared" si="3"/>
        <v>12.3</v>
      </c>
      <c r="AG35" s="16" t="str">
        <f t="shared" si="4"/>
        <v/>
      </c>
      <c r="AH35" s="16">
        <f t="shared" si="5"/>
        <v>11.8</v>
      </c>
    </row>
    <row r="36" spans="1:34" x14ac:dyDescent="0.35">
      <c r="A36" s="2" t="s">
        <v>456</v>
      </c>
      <c r="B36" s="2" t="s">
        <v>29</v>
      </c>
      <c r="C36" s="2" t="s">
        <v>49</v>
      </c>
      <c r="D36" s="2" t="s">
        <v>66</v>
      </c>
      <c r="E36" s="2" t="s">
        <v>94</v>
      </c>
      <c r="F36" s="2" t="s">
        <v>427</v>
      </c>
      <c r="G36" s="2" t="s">
        <v>106</v>
      </c>
      <c r="H36" s="2" t="s">
        <v>457</v>
      </c>
      <c r="I36" s="2" t="s">
        <v>37</v>
      </c>
      <c r="J36" s="2" t="s">
        <v>104</v>
      </c>
      <c r="K36" s="2" t="s">
        <v>38</v>
      </c>
      <c r="L36" s="2" t="s">
        <v>38</v>
      </c>
      <c r="M36" s="2" t="s">
        <v>39</v>
      </c>
      <c r="N36" s="2" t="s">
        <v>38</v>
      </c>
      <c r="O36" s="2" t="s">
        <v>38</v>
      </c>
      <c r="P36" s="2" t="s">
        <v>38</v>
      </c>
      <c r="Q36" s="2" t="s">
        <v>458</v>
      </c>
      <c r="R36" s="2" t="s">
        <v>183</v>
      </c>
      <c r="S36" s="2" t="s">
        <v>89</v>
      </c>
      <c r="T36" s="2" t="s">
        <v>90</v>
      </c>
      <c r="U36" s="2" t="s">
        <v>459</v>
      </c>
      <c r="V36" s="2" t="s">
        <v>460</v>
      </c>
      <c r="W36" s="2" t="s">
        <v>38</v>
      </c>
      <c r="X36" s="3">
        <v>40943</v>
      </c>
      <c r="Y36" s="2" t="s">
        <v>461</v>
      </c>
      <c r="Z36" s="5">
        <v>130</v>
      </c>
      <c r="AA36" s="2" t="s">
        <v>47</v>
      </c>
      <c r="AB36" s="2" t="s">
        <v>48</v>
      </c>
      <c r="AC36" s="12">
        <f t="shared" si="0"/>
        <v>2012</v>
      </c>
      <c r="AD36" s="12">
        <f t="shared" si="1"/>
        <v>2</v>
      </c>
      <c r="AE36" s="12">
        <f t="shared" si="2"/>
        <v>4</v>
      </c>
      <c r="AF36" s="16">
        <f t="shared" si="3"/>
        <v>13.7</v>
      </c>
      <c r="AG36" s="16" t="str">
        <f t="shared" si="4"/>
        <v/>
      </c>
      <c r="AH36" s="16">
        <f t="shared" si="5"/>
        <v>13</v>
      </c>
    </row>
    <row r="37" spans="1:34" x14ac:dyDescent="0.35">
      <c r="A37" s="2" t="s">
        <v>467</v>
      </c>
      <c r="B37" s="2" t="s">
        <v>29</v>
      </c>
      <c r="C37" s="2" t="s">
        <v>49</v>
      </c>
      <c r="D37" s="2" t="s">
        <v>32</v>
      </c>
      <c r="E37" s="2" t="s">
        <v>104</v>
      </c>
      <c r="F37" s="2" t="s">
        <v>349</v>
      </c>
      <c r="G37" s="2" t="s">
        <v>106</v>
      </c>
      <c r="H37" s="2" t="s">
        <v>202</v>
      </c>
      <c r="I37" s="2" t="s">
        <v>37</v>
      </c>
      <c r="J37" s="2" t="s">
        <v>104</v>
      </c>
      <c r="K37" s="2" t="s">
        <v>38</v>
      </c>
      <c r="L37" s="2" t="s">
        <v>38</v>
      </c>
      <c r="M37" s="2" t="s">
        <v>39</v>
      </c>
      <c r="N37" s="2" t="s">
        <v>38</v>
      </c>
      <c r="O37" s="2" t="s">
        <v>38</v>
      </c>
      <c r="P37" s="2" t="s">
        <v>38</v>
      </c>
      <c r="Q37" s="2" t="s">
        <v>468</v>
      </c>
      <c r="R37" s="2" t="s">
        <v>71</v>
      </c>
      <c r="S37" s="2" t="s">
        <v>89</v>
      </c>
      <c r="T37" s="2" t="s">
        <v>90</v>
      </c>
      <c r="U37" s="2" t="s">
        <v>359</v>
      </c>
      <c r="V37" s="2" t="s">
        <v>109</v>
      </c>
      <c r="W37" s="2" t="s">
        <v>38</v>
      </c>
      <c r="X37" s="3">
        <v>40944</v>
      </c>
      <c r="Y37" s="2" t="s">
        <v>469</v>
      </c>
      <c r="Z37" s="35">
        <v>133</v>
      </c>
      <c r="AA37" s="2" t="s">
        <v>47</v>
      </c>
      <c r="AB37" s="2" t="s">
        <v>48</v>
      </c>
      <c r="AC37" s="12">
        <f t="shared" si="0"/>
        <v>2012</v>
      </c>
      <c r="AD37" s="12">
        <f t="shared" si="1"/>
        <v>2</v>
      </c>
      <c r="AE37" s="12">
        <f t="shared" si="2"/>
        <v>5</v>
      </c>
      <c r="AF37" s="16">
        <f t="shared" si="3"/>
        <v>13.2</v>
      </c>
      <c r="AG37" s="16" t="str">
        <f t="shared" si="4"/>
        <v/>
      </c>
      <c r="AH37" s="16">
        <f t="shared" si="5"/>
        <v>13.3</v>
      </c>
    </row>
    <row r="38" spans="1:34" x14ac:dyDescent="0.35">
      <c r="A38" s="2" t="s">
        <v>473</v>
      </c>
      <c r="B38" s="2" t="s">
        <v>29</v>
      </c>
      <c r="C38" s="2" t="s">
        <v>49</v>
      </c>
      <c r="D38" s="2" t="s">
        <v>51</v>
      </c>
      <c r="E38" s="2" t="s">
        <v>94</v>
      </c>
      <c r="F38" s="2" t="s">
        <v>474</v>
      </c>
      <c r="G38" s="2" t="s">
        <v>106</v>
      </c>
      <c r="H38" s="2" t="s">
        <v>475</v>
      </c>
      <c r="I38" s="2" t="s">
        <v>37</v>
      </c>
      <c r="J38" s="2" t="s">
        <v>104</v>
      </c>
      <c r="K38" s="2" t="s">
        <v>38</v>
      </c>
      <c r="L38" s="2" t="s">
        <v>38</v>
      </c>
      <c r="M38" s="2" t="s">
        <v>39</v>
      </c>
      <c r="N38" s="2" t="s">
        <v>38</v>
      </c>
      <c r="O38" s="2" t="s">
        <v>38</v>
      </c>
      <c r="P38" s="2" t="s">
        <v>38</v>
      </c>
      <c r="Q38" s="2" t="s">
        <v>367</v>
      </c>
      <c r="R38" s="2" t="s">
        <v>71</v>
      </c>
      <c r="S38" s="2" t="s">
        <v>89</v>
      </c>
      <c r="T38" s="2" t="s">
        <v>90</v>
      </c>
      <c r="U38" s="2" t="s">
        <v>476</v>
      </c>
      <c r="V38" s="2" t="s">
        <v>368</v>
      </c>
      <c r="W38" s="2" t="s">
        <v>38</v>
      </c>
      <c r="X38" s="3">
        <v>40945</v>
      </c>
      <c r="Y38" s="2" t="s">
        <v>477</v>
      </c>
      <c r="Z38" s="35">
        <v>135</v>
      </c>
      <c r="AA38" s="2" t="s">
        <v>47</v>
      </c>
      <c r="AB38" s="2" t="s">
        <v>48</v>
      </c>
      <c r="AC38" s="12">
        <f t="shared" si="0"/>
        <v>2012</v>
      </c>
      <c r="AD38" s="12">
        <f t="shared" si="1"/>
        <v>2</v>
      </c>
      <c r="AE38" s="12">
        <f t="shared" si="2"/>
        <v>6</v>
      </c>
      <c r="AF38" s="16">
        <f t="shared" si="3"/>
        <v>14.3</v>
      </c>
      <c r="AG38" s="16" t="str">
        <f t="shared" si="4"/>
        <v/>
      </c>
      <c r="AH38" s="16">
        <f t="shared" si="5"/>
        <v>13.5</v>
      </c>
    </row>
    <row r="39" spans="1:34" x14ac:dyDescent="0.35">
      <c r="A39" s="2" t="s">
        <v>483</v>
      </c>
      <c r="B39" s="2" t="s">
        <v>29</v>
      </c>
      <c r="C39" s="2" t="s">
        <v>49</v>
      </c>
      <c r="D39" s="2" t="s">
        <v>51</v>
      </c>
      <c r="E39" s="2" t="s">
        <v>94</v>
      </c>
      <c r="F39" s="2" t="s">
        <v>484</v>
      </c>
      <c r="G39" s="2" t="s">
        <v>106</v>
      </c>
      <c r="H39" s="2" t="s">
        <v>475</v>
      </c>
      <c r="I39" s="2" t="s">
        <v>37</v>
      </c>
      <c r="J39" s="2" t="s">
        <v>104</v>
      </c>
      <c r="K39" s="2" t="s">
        <v>38</v>
      </c>
      <c r="L39" s="2" t="s">
        <v>38</v>
      </c>
      <c r="M39" s="2" t="s">
        <v>39</v>
      </c>
      <c r="N39" s="2" t="s">
        <v>38</v>
      </c>
      <c r="O39" s="2" t="s">
        <v>38</v>
      </c>
      <c r="P39" s="2" t="s">
        <v>38</v>
      </c>
      <c r="Q39" s="2" t="s">
        <v>485</v>
      </c>
      <c r="R39" s="2" t="s">
        <v>71</v>
      </c>
      <c r="S39" s="2" t="s">
        <v>89</v>
      </c>
      <c r="T39" s="2" t="s">
        <v>90</v>
      </c>
      <c r="U39" s="2" t="s">
        <v>61</v>
      </c>
      <c r="V39" s="2" t="s">
        <v>133</v>
      </c>
      <c r="W39" s="2" t="s">
        <v>38</v>
      </c>
      <c r="X39" s="3">
        <v>40946</v>
      </c>
      <c r="Y39" s="2" t="s">
        <v>486</v>
      </c>
      <c r="Z39" s="5">
        <v>132</v>
      </c>
      <c r="AA39" s="2" t="s">
        <v>47</v>
      </c>
      <c r="AB39" s="2" t="s">
        <v>48</v>
      </c>
      <c r="AC39" s="12">
        <f t="shared" si="0"/>
        <v>2012</v>
      </c>
      <c r="AD39" s="12">
        <f t="shared" si="1"/>
        <v>2</v>
      </c>
      <c r="AE39" s="12">
        <f t="shared" si="2"/>
        <v>7</v>
      </c>
      <c r="AF39" s="16">
        <f t="shared" si="3"/>
        <v>14.1</v>
      </c>
      <c r="AG39" s="16" t="str">
        <f t="shared" si="4"/>
        <v/>
      </c>
      <c r="AH39" s="16">
        <f t="shared" si="5"/>
        <v>13.2</v>
      </c>
    </row>
    <row r="40" spans="1:34" x14ac:dyDescent="0.35">
      <c r="A40" s="2" t="s">
        <v>490</v>
      </c>
      <c r="B40" s="2" t="s">
        <v>29</v>
      </c>
      <c r="C40" s="2" t="s">
        <v>49</v>
      </c>
      <c r="D40" s="2" t="s">
        <v>32</v>
      </c>
      <c r="E40" s="2" t="s">
        <v>112</v>
      </c>
      <c r="F40" s="2" t="s">
        <v>491</v>
      </c>
      <c r="G40" s="2" t="s">
        <v>53</v>
      </c>
      <c r="H40" s="2" t="s">
        <v>276</v>
      </c>
      <c r="I40" s="2" t="s">
        <v>37</v>
      </c>
      <c r="J40" s="2" t="s">
        <v>142</v>
      </c>
      <c r="K40" s="2" t="s">
        <v>38</v>
      </c>
      <c r="L40" s="2" t="s">
        <v>38</v>
      </c>
      <c r="M40" s="2" t="s">
        <v>39</v>
      </c>
      <c r="N40" s="2" t="s">
        <v>38</v>
      </c>
      <c r="O40" s="2" t="s">
        <v>38</v>
      </c>
      <c r="P40" s="2" t="s">
        <v>38</v>
      </c>
      <c r="Q40" s="2" t="s">
        <v>157</v>
      </c>
      <c r="R40" s="2" t="s">
        <v>71</v>
      </c>
      <c r="S40" s="2" t="s">
        <v>122</v>
      </c>
      <c r="T40" s="2" t="s">
        <v>73</v>
      </c>
      <c r="U40" s="2" t="s">
        <v>359</v>
      </c>
      <c r="V40" s="2" t="s">
        <v>492</v>
      </c>
      <c r="W40" s="2" t="s">
        <v>38</v>
      </c>
      <c r="X40" s="3">
        <v>40947</v>
      </c>
      <c r="Y40" s="2" t="s">
        <v>493</v>
      </c>
      <c r="Z40" s="5">
        <v>107</v>
      </c>
      <c r="AA40" s="2" t="s">
        <v>47</v>
      </c>
      <c r="AB40" s="2" t="s">
        <v>48</v>
      </c>
      <c r="AC40" s="12">
        <f t="shared" si="0"/>
        <v>2012</v>
      </c>
      <c r="AD40" s="12">
        <f t="shared" si="1"/>
        <v>2</v>
      </c>
      <c r="AE40" s="12">
        <f t="shared" si="2"/>
        <v>8</v>
      </c>
      <c r="AF40" s="16">
        <f t="shared" si="3"/>
        <v>10.199999999999999</v>
      </c>
      <c r="AG40" s="16" t="str">
        <f t="shared" si="4"/>
        <v/>
      </c>
      <c r="AH40" s="16">
        <f t="shared" si="5"/>
        <v>10.7</v>
      </c>
    </row>
    <row r="41" spans="1:34" x14ac:dyDescent="0.35">
      <c r="A41" s="2" t="s">
        <v>499</v>
      </c>
      <c r="B41" s="2" t="s">
        <v>29</v>
      </c>
      <c r="C41" s="2" t="s">
        <v>49</v>
      </c>
      <c r="D41" s="2" t="s">
        <v>112</v>
      </c>
      <c r="E41" s="2" t="s">
        <v>172</v>
      </c>
      <c r="F41" s="2" t="s">
        <v>500</v>
      </c>
      <c r="G41" s="2" t="s">
        <v>501</v>
      </c>
      <c r="H41" s="2" t="s">
        <v>87</v>
      </c>
      <c r="I41" s="2" t="s">
        <v>37</v>
      </c>
      <c r="J41" s="2" t="s">
        <v>172</v>
      </c>
      <c r="K41" s="2" t="s">
        <v>38</v>
      </c>
      <c r="L41" s="2" t="s">
        <v>38</v>
      </c>
      <c r="M41" s="2" t="s">
        <v>39</v>
      </c>
      <c r="N41" s="2" t="s">
        <v>38</v>
      </c>
      <c r="O41" s="2" t="s">
        <v>38</v>
      </c>
      <c r="P41" s="2" t="s">
        <v>38</v>
      </c>
      <c r="Q41" s="2" t="s">
        <v>502</v>
      </c>
      <c r="R41" s="2" t="s">
        <v>71</v>
      </c>
      <c r="S41" s="2" t="s">
        <v>503</v>
      </c>
      <c r="T41" s="2" t="s">
        <v>73</v>
      </c>
      <c r="U41" s="2" t="s">
        <v>228</v>
      </c>
      <c r="V41" s="2" t="s">
        <v>504</v>
      </c>
      <c r="W41" s="2" t="s">
        <v>38</v>
      </c>
      <c r="X41" s="3">
        <v>40948</v>
      </c>
      <c r="Y41" s="2" t="s">
        <v>505</v>
      </c>
      <c r="Z41" s="35">
        <v>46</v>
      </c>
      <c r="AA41" s="2" t="s">
        <v>47</v>
      </c>
      <c r="AB41" s="2" t="s">
        <v>48</v>
      </c>
      <c r="AC41" s="12">
        <f t="shared" si="0"/>
        <v>2012</v>
      </c>
      <c r="AD41" s="12">
        <f t="shared" si="1"/>
        <v>2</v>
      </c>
      <c r="AE41" s="12">
        <f t="shared" si="2"/>
        <v>9</v>
      </c>
      <c r="AF41" s="16">
        <f t="shared" si="3"/>
        <v>5.2</v>
      </c>
      <c r="AG41" s="16" t="str">
        <f t="shared" si="4"/>
        <v/>
      </c>
      <c r="AH41" s="16">
        <f t="shared" si="5"/>
        <v>4.5999999999999996</v>
      </c>
    </row>
    <row r="42" spans="1:34" x14ac:dyDescent="0.35">
      <c r="A42" s="2" t="s">
        <v>510</v>
      </c>
      <c r="B42" s="2" t="s">
        <v>29</v>
      </c>
      <c r="C42" s="2" t="s">
        <v>49</v>
      </c>
      <c r="D42" s="2" t="s">
        <v>30</v>
      </c>
      <c r="E42" s="2" t="s">
        <v>511</v>
      </c>
      <c r="F42" s="2" t="s">
        <v>390</v>
      </c>
      <c r="G42" s="2" t="s">
        <v>68</v>
      </c>
      <c r="H42" s="2" t="s">
        <v>331</v>
      </c>
      <c r="I42" s="2" t="s">
        <v>37</v>
      </c>
      <c r="J42" s="2" t="s">
        <v>181</v>
      </c>
      <c r="K42" s="2" t="s">
        <v>38</v>
      </c>
      <c r="L42" s="2" t="s">
        <v>38</v>
      </c>
      <c r="M42" s="2" t="s">
        <v>39</v>
      </c>
      <c r="N42" s="2" t="s">
        <v>38</v>
      </c>
      <c r="O42" s="2" t="s">
        <v>38</v>
      </c>
      <c r="P42" s="2" t="s">
        <v>38</v>
      </c>
      <c r="Q42" s="2" t="s">
        <v>241</v>
      </c>
      <c r="R42" s="2" t="s">
        <v>71</v>
      </c>
      <c r="S42" s="2" t="s">
        <v>167</v>
      </c>
      <c r="T42" s="2" t="s">
        <v>73</v>
      </c>
      <c r="U42" s="2" t="s">
        <v>512</v>
      </c>
      <c r="V42" s="2" t="s">
        <v>513</v>
      </c>
      <c r="W42" s="2" t="s">
        <v>38</v>
      </c>
      <c r="X42" s="3">
        <v>40949</v>
      </c>
      <c r="Y42" s="2" t="s">
        <v>514</v>
      </c>
      <c r="Z42" s="5">
        <v>66</v>
      </c>
      <c r="AA42" s="2" t="s">
        <v>47</v>
      </c>
      <c r="AB42" s="2" t="s">
        <v>48</v>
      </c>
      <c r="AC42" s="12">
        <f t="shared" si="0"/>
        <v>2012</v>
      </c>
      <c r="AD42" s="12">
        <f t="shared" si="1"/>
        <v>2</v>
      </c>
      <c r="AE42" s="12">
        <f t="shared" si="2"/>
        <v>10</v>
      </c>
      <c r="AF42" s="16">
        <f t="shared" si="3"/>
        <v>4</v>
      </c>
      <c r="AG42" s="16" t="str">
        <f t="shared" si="4"/>
        <v/>
      </c>
      <c r="AH42" s="16">
        <f t="shared" si="5"/>
        <v>6.6</v>
      </c>
    </row>
    <row r="43" spans="1:34" x14ac:dyDescent="0.35">
      <c r="A43" s="2" t="s">
        <v>520</v>
      </c>
      <c r="B43" s="2" t="s">
        <v>29</v>
      </c>
      <c r="C43" s="2" t="s">
        <v>49</v>
      </c>
      <c r="D43" s="2" t="s">
        <v>30</v>
      </c>
      <c r="E43" s="2" t="s">
        <v>195</v>
      </c>
      <c r="F43" s="2" t="s">
        <v>500</v>
      </c>
      <c r="G43" s="2" t="s">
        <v>106</v>
      </c>
      <c r="H43" s="2" t="s">
        <v>379</v>
      </c>
      <c r="I43" s="2" t="s">
        <v>37</v>
      </c>
      <c r="J43" s="2" t="s">
        <v>165</v>
      </c>
      <c r="K43" s="2" t="s">
        <v>38</v>
      </c>
      <c r="L43" s="2" t="s">
        <v>38</v>
      </c>
      <c r="M43" s="2" t="s">
        <v>39</v>
      </c>
      <c r="N43" s="2" t="s">
        <v>38</v>
      </c>
      <c r="O43" s="2" t="s">
        <v>38</v>
      </c>
      <c r="P43" s="2" t="s">
        <v>38</v>
      </c>
      <c r="Q43" s="2" t="s">
        <v>521</v>
      </c>
      <c r="R43" s="2" t="s">
        <v>71</v>
      </c>
      <c r="S43" s="2" t="s">
        <v>89</v>
      </c>
      <c r="T43" s="2" t="s">
        <v>90</v>
      </c>
      <c r="U43" s="2" t="s">
        <v>512</v>
      </c>
      <c r="V43" s="2" t="s">
        <v>229</v>
      </c>
      <c r="W43" s="2" t="s">
        <v>38</v>
      </c>
      <c r="X43" s="3">
        <v>40950</v>
      </c>
      <c r="Y43" s="2" t="s">
        <v>522</v>
      </c>
      <c r="Z43" s="35">
        <v>93</v>
      </c>
      <c r="AA43" s="2" t="s">
        <v>47</v>
      </c>
      <c r="AB43" s="2" t="s">
        <v>48</v>
      </c>
      <c r="AC43" s="12">
        <f t="shared" si="0"/>
        <v>2012</v>
      </c>
      <c r="AD43" s="12">
        <f t="shared" si="1"/>
        <v>2</v>
      </c>
      <c r="AE43" s="12">
        <f t="shared" si="2"/>
        <v>11</v>
      </c>
      <c r="AF43" s="16">
        <f t="shared" si="3"/>
        <v>8.1999999999999993</v>
      </c>
      <c r="AG43" s="16" t="str">
        <f t="shared" si="4"/>
        <v/>
      </c>
      <c r="AH43" s="16">
        <f t="shared" si="5"/>
        <v>9.3000000000000007</v>
      </c>
    </row>
    <row r="44" spans="1:34" x14ac:dyDescent="0.35">
      <c r="A44" s="2" t="s">
        <v>527</v>
      </c>
      <c r="B44" s="2" t="s">
        <v>29</v>
      </c>
      <c r="C44" s="2" t="s">
        <v>49</v>
      </c>
      <c r="D44" s="2" t="s">
        <v>66</v>
      </c>
      <c r="E44" s="2" t="s">
        <v>30</v>
      </c>
      <c r="F44" s="2" t="s">
        <v>484</v>
      </c>
      <c r="G44" s="2" t="s">
        <v>106</v>
      </c>
      <c r="H44" s="2" t="s">
        <v>331</v>
      </c>
      <c r="I44" s="2" t="s">
        <v>37</v>
      </c>
      <c r="J44" s="2" t="s">
        <v>142</v>
      </c>
      <c r="K44" s="2" t="s">
        <v>38</v>
      </c>
      <c r="L44" s="2" t="s">
        <v>38</v>
      </c>
      <c r="M44" s="2" t="s">
        <v>39</v>
      </c>
      <c r="N44" s="2" t="s">
        <v>38</v>
      </c>
      <c r="O44" s="2" t="s">
        <v>38</v>
      </c>
      <c r="P44" s="2" t="s">
        <v>38</v>
      </c>
      <c r="Q44" s="2" t="s">
        <v>528</v>
      </c>
      <c r="R44" s="2" t="s">
        <v>71</v>
      </c>
      <c r="S44" s="2" t="s">
        <v>89</v>
      </c>
      <c r="T44" s="2" t="s">
        <v>90</v>
      </c>
      <c r="U44" s="2" t="s">
        <v>123</v>
      </c>
      <c r="V44" s="2" t="s">
        <v>363</v>
      </c>
      <c r="W44" s="2" t="s">
        <v>38</v>
      </c>
      <c r="X44" s="3">
        <v>40951</v>
      </c>
      <c r="Y44" s="2" t="s">
        <v>529</v>
      </c>
      <c r="Z44" s="5">
        <v>114</v>
      </c>
      <c r="AA44" s="2" t="s">
        <v>47</v>
      </c>
      <c r="AB44" s="2" t="s">
        <v>48</v>
      </c>
      <c r="AC44" s="12">
        <f t="shared" si="0"/>
        <v>2012</v>
      </c>
      <c r="AD44" s="12">
        <f t="shared" si="1"/>
        <v>2</v>
      </c>
      <c r="AE44" s="12">
        <f t="shared" si="2"/>
        <v>12</v>
      </c>
      <c r="AF44" s="16">
        <f t="shared" si="3"/>
        <v>11.7</v>
      </c>
      <c r="AG44" s="16" t="str">
        <f t="shared" si="4"/>
        <v/>
      </c>
      <c r="AH44" s="16">
        <f t="shared" si="5"/>
        <v>11.4</v>
      </c>
    </row>
    <row r="45" spans="1:34" x14ac:dyDescent="0.35">
      <c r="A45" s="2" t="s">
        <v>537</v>
      </c>
      <c r="B45" s="2" t="s">
        <v>29</v>
      </c>
      <c r="C45" s="2" t="s">
        <v>49</v>
      </c>
      <c r="D45" s="2" t="s">
        <v>55</v>
      </c>
      <c r="E45" s="2" t="s">
        <v>30</v>
      </c>
      <c r="F45" s="2" t="s">
        <v>67</v>
      </c>
      <c r="G45" s="2" t="s">
        <v>106</v>
      </c>
      <c r="H45" s="2" t="s">
        <v>240</v>
      </c>
      <c r="I45" s="2" t="s">
        <v>37</v>
      </c>
      <c r="J45" s="2" t="s">
        <v>30</v>
      </c>
      <c r="K45" s="2" t="s">
        <v>38</v>
      </c>
      <c r="L45" s="2" t="s">
        <v>38</v>
      </c>
      <c r="M45" s="2" t="s">
        <v>39</v>
      </c>
      <c r="N45" s="2" t="s">
        <v>38</v>
      </c>
      <c r="O45" s="2" t="s">
        <v>38</v>
      </c>
      <c r="P45" s="2" t="s">
        <v>38</v>
      </c>
      <c r="Q45" s="2" t="s">
        <v>538</v>
      </c>
      <c r="R45" s="2" t="s">
        <v>183</v>
      </c>
      <c r="S45" s="2" t="s">
        <v>89</v>
      </c>
      <c r="T45" s="2" t="s">
        <v>90</v>
      </c>
      <c r="U45" s="2" t="s">
        <v>82</v>
      </c>
      <c r="V45" s="2" t="s">
        <v>393</v>
      </c>
      <c r="W45" s="2" t="s">
        <v>38</v>
      </c>
      <c r="X45" s="3">
        <v>40952</v>
      </c>
      <c r="Y45" s="2" t="s">
        <v>539</v>
      </c>
      <c r="Z45" s="35">
        <v>119</v>
      </c>
      <c r="AA45" s="2" t="s">
        <v>47</v>
      </c>
      <c r="AB45" s="2" t="s">
        <v>48</v>
      </c>
      <c r="AC45" s="12">
        <f t="shared" si="0"/>
        <v>2012</v>
      </c>
      <c r="AD45" s="12">
        <f t="shared" si="1"/>
        <v>2</v>
      </c>
      <c r="AE45" s="12">
        <f t="shared" si="2"/>
        <v>13</v>
      </c>
      <c r="AF45" s="16">
        <f t="shared" si="3"/>
        <v>12.3</v>
      </c>
      <c r="AG45" s="16" t="str">
        <f t="shared" si="4"/>
        <v/>
      </c>
      <c r="AH45" s="16">
        <f t="shared" si="5"/>
        <v>11.9</v>
      </c>
    </row>
    <row r="46" spans="1:34" x14ac:dyDescent="0.35">
      <c r="A46" s="2" t="s">
        <v>544</v>
      </c>
      <c r="B46" s="2" t="s">
        <v>29</v>
      </c>
      <c r="C46" s="2" t="s">
        <v>49</v>
      </c>
      <c r="D46" s="2" t="s">
        <v>32</v>
      </c>
      <c r="E46" s="2" t="s">
        <v>104</v>
      </c>
      <c r="F46" s="2" t="s">
        <v>269</v>
      </c>
      <c r="G46" s="2" t="s">
        <v>106</v>
      </c>
      <c r="H46" s="2" t="s">
        <v>144</v>
      </c>
      <c r="I46" s="2" t="s">
        <v>37</v>
      </c>
      <c r="J46" s="2" t="s">
        <v>142</v>
      </c>
      <c r="K46" s="2" t="s">
        <v>38</v>
      </c>
      <c r="L46" s="2" t="s">
        <v>38</v>
      </c>
      <c r="M46" s="2" t="s">
        <v>39</v>
      </c>
      <c r="N46" s="2" t="s">
        <v>38</v>
      </c>
      <c r="O46" s="2" t="s">
        <v>38</v>
      </c>
      <c r="P46" s="2" t="s">
        <v>38</v>
      </c>
      <c r="Q46" s="2" t="s">
        <v>545</v>
      </c>
      <c r="R46" s="2" t="s">
        <v>71</v>
      </c>
      <c r="S46" s="2" t="s">
        <v>89</v>
      </c>
      <c r="T46" s="2" t="s">
        <v>90</v>
      </c>
      <c r="U46" s="2" t="s">
        <v>359</v>
      </c>
      <c r="V46" s="2" t="s">
        <v>339</v>
      </c>
      <c r="W46" s="2" t="s">
        <v>38</v>
      </c>
      <c r="X46" s="3">
        <v>40953</v>
      </c>
      <c r="Y46" s="2" t="s">
        <v>546</v>
      </c>
      <c r="Z46" s="5">
        <v>115</v>
      </c>
      <c r="AA46" s="2" t="s">
        <v>47</v>
      </c>
      <c r="AB46" s="2" t="s">
        <v>48</v>
      </c>
      <c r="AC46" s="12">
        <f t="shared" si="0"/>
        <v>2012</v>
      </c>
      <c r="AD46" s="12">
        <f t="shared" si="1"/>
        <v>2</v>
      </c>
      <c r="AE46" s="12">
        <f t="shared" si="2"/>
        <v>14</v>
      </c>
      <c r="AF46" s="16">
        <f t="shared" si="3"/>
        <v>12.8</v>
      </c>
      <c r="AG46" s="16" t="str">
        <f t="shared" si="4"/>
        <v/>
      </c>
      <c r="AH46" s="16">
        <f t="shared" si="5"/>
        <v>11.5</v>
      </c>
    </row>
    <row r="47" spans="1:34" x14ac:dyDescent="0.35">
      <c r="A47" s="2" t="s">
        <v>551</v>
      </c>
      <c r="B47" s="2" t="s">
        <v>29</v>
      </c>
      <c r="C47" s="2" t="s">
        <v>49</v>
      </c>
      <c r="D47" s="2" t="s">
        <v>51</v>
      </c>
      <c r="E47" s="2" t="s">
        <v>94</v>
      </c>
      <c r="F47" s="2" t="s">
        <v>366</v>
      </c>
      <c r="G47" s="2" t="s">
        <v>53</v>
      </c>
      <c r="H47" s="2" t="s">
        <v>54</v>
      </c>
      <c r="I47" s="2" t="s">
        <v>37</v>
      </c>
      <c r="J47" s="2" t="s">
        <v>94</v>
      </c>
      <c r="K47" s="2" t="s">
        <v>38</v>
      </c>
      <c r="L47" s="2" t="s">
        <v>38</v>
      </c>
      <c r="M47" s="2" t="s">
        <v>39</v>
      </c>
      <c r="N47" s="2" t="s">
        <v>38</v>
      </c>
      <c r="O47" s="2" t="s">
        <v>38</v>
      </c>
      <c r="P47" s="2" t="s">
        <v>38</v>
      </c>
      <c r="Q47" s="2" t="s">
        <v>556</v>
      </c>
      <c r="R47" s="2" t="s">
        <v>358</v>
      </c>
      <c r="S47" s="2" t="s">
        <v>122</v>
      </c>
      <c r="T47" s="2" t="s">
        <v>43</v>
      </c>
      <c r="U47" s="2" t="s">
        <v>476</v>
      </c>
      <c r="V47" s="2" t="s">
        <v>368</v>
      </c>
      <c r="W47" s="2" t="s">
        <v>38</v>
      </c>
      <c r="X47" s="3">
        <v>40954</v>
      </c>
      <c r="Y47" s="2" t="s">
        <v>557</v>
      </c>
      <c r="Z47" s="35">
        <v>142</v>
      </c>
      <c r="AA47" s="2" t="s">
        <v>47</v>
      </c>
      <c r="AB47" s="2" t="s">
        <v>48</v>
      </c>
      <c r="AC47" s="12">
        <f t="shared" si="0"/>
        <v>2012</v>
      </c>
      <c r="AD47" s="12">
        <f t="shared" si="1"/>
        <v>2</v>
      </c>
      <c r="AE47" s="12">
        <f t="shared" si="2"/>
        <v>15</v>
      </c>
      <c r="AF47" s="16">
        <f t="shared" si="3"/>
        <v>14.3</v>
      </c>
      <c r="AG47" s="16" t="str">
        <f t="shared" si="4"/>
        <v/>
      </c>
      <c r="AH47" s="16">
        <f t="shared" si="5"/>
        <v>14.2</v>
      </c>
    </row>
    <row r="48" spans="1:34" x14ac:dyDescent="0.35">
      <c r="A48" s="2" t="s">
        <v>558</v>
      </c>
      <c r="B48" s="2" t="s">
        <v>29</v>
      </c>
      <c r="C48" s="2" t="s">
        <v>49</v>
      </c>
      <c r="D48" s="2" t="s">
        <v>66</v>
      </c>
      <c r="E48" s="2" t="s">
        <v>181</v>
      </c>
      <c r="F48" s="2" t="s">
        <v>559</v>
      </c>
      <c r="G48" s="2" t="s">
        <v>106</v>
      </c>
      <c r="H48" s="2" t="s">
        <v>153</v>
      </c>
      <c r="I48" s="2" t="s">
        <v>37</v>
      </c>
      <c r="J48" s="2" t="s">
        <v>112</v>
      </c>
      <c r="K48" s="2" t="s">
        <v>38</v>
      </c>
      <c r="L48" s="2" t="s">
        <v>38</v>
      </c>
      <c r="M48" s="2" t="s">
        <v>39</v>
      </c>
      <c r="N48" s="2" t="s">
        <v>38</v>
      </c>
      <c r="O48" s="2" t="s">
        <v>38</v>
      </c>
      <c r="P48" s="2" t="s">
        <v>38</v>
      </c>
      <c r="Q48" s="2" t="s">
        <v>560</v>
      </c>
      <c r="R48" s="2" t="s">
        <v>71</v>
      </c>
      <c r="S48" s="2" t="s">
        <v>89</v>
      </c>
      <c r="T48" s="2" t="s">
        <v>90</v>
      </c>
      <c r="U48" s="2" t="s">
        <v>140</v>
      </c>
      <c r="V48" s="2" t="s">
        <v>549</v>
      </c>
      <c r="W48" s="2" t="s">
        <v>38</v>
      </c>
      <c r="X48" s="3">
        <v>40955</v>
      </c>
      <c r="Y48" s="2" t="s">
        <v>561</v>
      </c>
      <c r="Z48" s="5">
        <v>98</v>
      </c>
      <c r="AA48" s="2" t="s">
        <v>47</v>
      </c>
      <c r="AB48" s="2" t="s">
        <v>48</v>
      </c>
      <c r="AC48" s="12">
        <f t="shared" si="0"/>
        <v>2012</v>
      </c>
      <c r="AD48" s="12">
        <f t="shared" si="1"/>
        <v>2</v>
      </c>
      <c r="AE48" s="12">
        <f t="shared" si="2"/>
        <v>16</v>
      </c>
      <c r="AF48" s="16">
        <f t="shared" si="3"/>
        <v>6.7</v>
      </c>
      <c r="AG48" s="16" t="str">
        <f t="shared" si="4"/>
        <v/>
      </c>
      <c r="AH48" s="16">
        <f t="shared" si="5"/>
        <v>9.8000000000000007</v>
      </c>
    </row>
    <row r="49" spans="1:34" x14ac:dyDescent="0.35">
      <c r="A49" s="2" t="s">
        <v>566</v>
      </c>
      <c r="B49" s="2" t="s">
        <v>29</v>
      </c>
      <c r="C49" s="2" t="s">
        <v>49</v>
      </c>
      <c r="D49" s="2" t="s">
        <v>66</v>
      </c>
      <c r="E49" s="2" t="s">
        <v>165</v>
      </c>
      <c r="F49" s="2" t="s">
        <v>282</v>
      </c>
      <c r="G49" s="2" t="s">
        <v>106</v>
      </c>
      <c r="H49" s="2" t="s">
        <v>96</v>
      </c>
      <c r="I49" s="2" t="s">
        <v>37</v>
      </c>
      <c r="J49" s="2" t="s">
        <v>165</v>
      </c>
      <c r="K49" s="2" t="s">
        <v>38</v>
      </c>
      <c r="L49" s="2" t="s">
        <v>38</v>
      </c>
      <c r="M49" s="2" t="s">
        <v>39</v>
      </c>
      <c r="N49" s="2" t="s">
        <v>38</v>
      </c>
      <c r="O49" s="2" t="s">
        <v>38</v>
      </c>
      <c r="P49" s="2" t="s">
        <v>38</v>
      </c>
      <c r="Q49" s="2" t="s">
        <v>571</v>
      </c>
      <c r="R49" s="2" t="s">
        <v>71</v>
      </c>
      <c r="S49" s="2" t="s">
        <v>89</v>
      </c>
      <c r="T49" s="2" t="s">
        <v>90</v>
      </c>
      <c r="U49" s="2" t="s">
        <v>459</v>
      </c>
      <c r="V49" s="2" t="s">
        <v>198</v>
      </c>
      <c r="W49" s="2" t="s">
        <v>38</v>
      </c>
      <c r="X49" s="3">
        <v>40956</v>
      </c>
      <c r="Y49" s="2" t="s">
        <v>572</v>
      </c>
      <c r="Z49" s="35">
        <v>90</v>
      </c>
      <c r="AA49" s="2" t="s">
        <v>47</v>
      </c>
      <c r="AB49" s="2" t="s">
        <v>48</v>
      </c>
      <c r="AC49" s="12">
        <f t="shared" si="0"/>
        <v>2012</v>
      </c>
      <c r="AD49" s="12">
        <f t="shared" si="1"/>
        <v>2</v>
      </c>
      <c r="AE49" s="12">
        <f t="shared" si="2"/>
        <v>17</v>
      </c>
      <c r="AF49" s="16">
        <f t="shared" si="3"/>
        <v>9.1</v>
      </c>
      <c r="AG49" s="16" t="str">
        <f t="shared" si="4"/>
        <v/>
      </c>
      <c r="AH49" s="16">
        <f t="shared" si="5"/>
        <v>9</v>
      </c>
    </row>
    <row r="50" spans="1:34" x14ac:dyDescent="0.35">
      <c r="A50" s="2" t="s">
        <v>573</v>
      </c>
      <c r="B50" s="2" t="s">
        <v>29</v>
      </c>
      <c r="C50" s="2" t="s">
        <v>49</v>
      </c>
      <c r="D50" s="2" t="s">
        <v>51</v>
      </c>
      <c r="E50" s="2" t="s">
        <v>30</v>
      </c>
      <c r="F50" s="2" t="s">
        <v>105</v>
      </c>
      <c r="G50" s="2" t="s">
        <v>106</v>
      </c>
      <c r="H50" s="2" t="s">
        <v>69</v>
      </c>
      <c r="I50" s="2" t="s">
        <v>37</v>
      </c>
      <c r="J50" s="2" t="s">
        <v>30</v>
      </c>
      <c r="K50" s="2" t="s">
        <v>38</v>
      </c>
      <c r="L50" s="2" t="s">
        <v>38</v>
      </c>
      <c r="M50" s="2" t="s">
        <v>39</v>
      </c>
      <c r="N50" s="2" t="s">
        <v>38</v>
      </c>
      <c r="O50" s="2" t="s">
        <v>38</v>
      </c>
      <c r="P50" s="2" t="s">
        <v>38</v>
      </c>
      <c r="Q50" s="2" t="s">
        <v>574</v>
      </c>
      <c r="R50" s="2" t="s">
        <v>71</v>
      </c>
      <c r="S50" s="2" t="s">
        <v>89</v>
      </c>
      <c r="T50" s="2" t="s">
        <v>90</v>
      </c>
      <c r="U50" s="2" t="s">
        <v>61</v>
      </c>
      <c r="V50" s="2" t="s">
        <v>354</v>
      </c>
      <c r="W50" s="2" t="s">
        <v>38</v>
      </c>
      <c r="X50" s="3">
        <v>40957</v>
      </c>
      <c r="Y50" s="2" t="s">
        <v>575</v>
      </c>
      <c r="Z50" s="5">
        <v>122</v>
      </c>
      <c r="AA50" s="2" t="s">
        <v>47</v>
      </c>
      <c r="AB50" s="2" t="s">
        <v>48</v>
      </c>
      <c r="AC50" s="12">
        <f t="shared" si="0"/>
        <v>2012</v>
      </c>
      <c r="AD50" s="12">
        <f t="shared" si="1"/>
        <v>2</v>
      </c>
      <c r="AE50" s="12">
        <f t="shared" si="2"/>
        <v>18</v>
      </c>
      <c r="AF50" s="16">
        <f t="shared" si="3"/>
        <v>12.1</v>
      </c>
      <c r="AG50" s="16" t="str">
        <f t="shared" si="4"/>
        <v/>
      </c>
      <c r="AH50" s="16">
        <f t="shared" si="5"/>
        <v>12.2</v>
      </c>
    </row>
    <row r="51" spans="1:34" x14ac:dyDescent="0.35">
      <c r="A51" s="2" t="s">
        <v>578</v>
      </c>
      <c r="B51" s="2" t="s">
        <v>29</v>
      </c>
      <c r="C51" s="2" t="s">
        <v>49</v>
      </c>
      <c r="D51" s="2" t="s">
        <v>579</v>
      </c>
      <c r="E51" s="2" t="s">
        <v>94</v>
      </c>
      <c r="F51" s="2" t="s">
        <v>336</v>
      </c>
      <c r="G51" s="2" t="s">
        <v>106</v>
      </c>
      <c r="H51" s="2" t="s">
        <v>308</v>
      </c>
      <c r="I51" s="2" t="s">
        <v>37</v>
      </c>
      <c r="J51" s="2" t="s">
        <v>66</v>
      </c>
      <c r="K51" s="2" t="s">
        <v>38</v>
      </c>
      <c r="L51" s="2" t="s">
        <v>38</v>
      </c>
      <c r="M51" s="2" t="s">
        <v>39</v>
      </c>
      <c r="N51" s="2" t="s">
        <v>38</v>
      </c>
      <c r="O51" s="2" t="s">
        <v>38</v>
      </c>
      <c r="P51" s="2" t="s">
        <v>38</v>
      </c>
      <c r="Q51" s="2" t="s">
        <v>580</v>
      </c>
      <c r="R51" s="2" t="s">
        <v>71</v>
      </c>
      <c r="S51" s="2" t="s">
        <v>89</v>
      </c>
      <c r="T51" s="2" t="s">
        <v>90</v>
      </c>
      <c r="U51" s="2" t="s">
        <v>581</v>
      </c>
      <c r="V51" s="2" t="s">
        <v>368</v>
      </c>
      <c r="W51" s="2" t="s">
        <v>38</v>
      </c>
      <c r="X51" s="3">
        <v>40958</v>
      </c>
      <c r="Y51" s="2" t="s">
        <v>582</v>
      </c>
      <c r="Z51" s="35">
        <v>148</v>
      </c>
      <c r="AA51" s="2" t="s">
        <v>47</v>
      </c>
      <c r="AB51" s="2" t="s">
        <v>48</v>
      </c>
      <c r="AC51" s="12">
        <f t="shared" si="0"/>
        <v>2012</v>
      </c>
      <c r="AD51" s="12">
        <f t="shared" si="1"/>
        <v>2</v>
      </c>
      <c r="AE51" s="12">
        <f t="shared" si="2"/>
        <v>19</v>
      </c>
      <c r="AF51" s="16">
        <f t="shared" si="3"/>
        <v>14.3</v>
      </c>
      <c r="AG51" s="16" t="str">
        <f t="shared" si="4"/>
        <v/>
      </c>
      <c r="AH51" s="16">
        <f t="shared" si="5"/>
        <v>14.8</v>
      </c>
    </row>
    <row r="52" spans="1:34" x14ac:dyDescent="0.35">
      <c r="A52" s="2" t="s">
        <v>588</v>
      </c>
      <c r="B52" s="2" t="s">
        <v>29</v>
      </c>
      <c r="C52" s="2" t="s">
        <v>49</v>
      </c>
      <c r="D52" s="2" t="s">
        <v>55</v>
      </c>
      <c r="E52" s="2" t="s">
        <v>66</v>
      </c>
      <c r="F52" s="2" t="s">
        <v>269</v>
      </c>
      <c r="G52" s="2" t="s">
        <v>106</v>
      </c>
      <c r="H52" s="2" t="s">
        <v>240</v>
      </c>
      <c r="I52" s="2" t="s">
        <v>37</v>
      </c>
      <c r="J52" s="2" t="s">
        <v>66</v>
      </c>
      <c r="K52" s="2" t="s">
        <v>38</v>
      </c>
      <c r="L52" s="2" t="s">
        <v>38</v>
      </c>
      <c r="M52" s="2" t="s">
        <v>39</v>
      </c>
      <c r="N52" s="2" t="s">
        <v>38</v>
      </c>
      <c r="O52" s="2" t="s">
        <v>38</v>
      </c>
      <c r="P52" s="2" t="s">
        <v>38</v>
      </c>
      <c r="Q52" s="2" t="s">
        <v>589</v>
      </c>
      <c r="R52" s="2" t="s">
        <v>71</v>
      </c>
      <c r="S52" s="2" t="s">
        <v>89</v>
      </c>
      <c r="T52" s="2" t="s">
        <v>90</v>
      </c>
      <c r="U52" s="2" t="s">
        <v>590</v>
      </c>
      <c r="V52" s="2" t="s">
        <v>315</v>
      </c>
      <c r="W52" s="2" t="s">
        <v>38</v>
      </c>
      <c r="X52" s="3">
        <v>40959</v>
      </c>
      <c r="Y52" s="2" t="s">
        <v>591</v>
      </c>
      <c r="Z52" s="5">
        <v>146</v>
      </c>
      <c r="AA52" s="2" t="s">
        <v>47</v>
      </c>
      <c r="AB52" s="2" t="s">
        <v>48</v>
      </c>
      <c r="AC52" s="12">
        <f t="shared" si="0"/>
        <v>2012</v>
      </c>
      <c r="AD52" s="12">
        <f t="shared" si="1"/>
        <v>2</v>
      </c>
      <c r="AE52" s="12">
        <f t="shared" si="2"/>
        <v>20</v>
      </c>
      <c r="AF52" s="16">
        <f t="shared" si="3"/>
        <v>14.8</v>
      </c>
      <c r="AG52" s="16" t="str">
        <f t="shared" si="4"/>
        <v/>
      </c>
      <c r="AH52" s="16">
        <f t="shared" si="5"/>
        <v>14.6</v>
      </c>
    </row>
    <row r="53" spans="1:34" x14ac:dyDescent="0.35">
      <c r="A53" s="2" t="s">
        <v>595</v>
      </c>
      <c r="B53" s="2" t="s">
        <v>29</v>
      </c>
      <c r="C53" s="2" t="s">
        <v>49</v>
      </c>
      <c r="D53" s="2" t="s">
        <v>596</v>
      </c>
      <c r="E53" s="2" t="s">
        <v>104</v>
      </c>
      <c r="F53" s="2" t="s">
        <v>559</v>
      </c>
      <c r="G53" s="2" t="s">
        <v>106</v>
      </c>
      <c r="H53" s="2" t="s">
        <v>597</v>
      </c>
      <c r="I53" s="2" t="s">
        <v>37</v>
      </c>
      <c r="J53" s="2" t="s">
        <v>104</v>
      </c>
      <c r="K53" s="2" t="s">
        <v>38</v>
      </c>
      <c r="L53" s="2" t="s">
        <v>38</v>
      </c>
      <c r="M53" s="2" t="s">
        <v>39</v>
      </c>
      <c r="N53" s="2" t="s">
        <v>38</v>
      </c>
      <c r="O53" s="2" t="s">
        <v>38</v>
      </c>
      <c r="P53" s="2" t="s">
        <v>38</v>
      </c>
      <c r="Q53" s="2" t="s">
        <v>436</v>
      </c>
      <c r="R53" s="2" t="s">
        <v>71</v>
      </c>
      <c r="S53" s="2" t="s">
        <v>89</v>
      </c>
      <c r="T53" s="2" t="s">
        <v>90</v>
      </c>
      <c r="U53" s="2" t="s">
        <v>598</v>
      </c>
      <c r="V53" s="2" t="s">
        <v>339</v>
      </c>
      <c r="W53" s="2" t="s">
        <v>38</v>
      </c>
      <c r="X53" s="3">
        <v>40960</v>
      </c>
      <c r="Y53" s="2" t="s">
        <v>599</v>
      </c>
      <c r="Z53" s="35">
        <v>131</v>
      </c>
      <c r="AA53" s="2" t="s">
        <v>47</v>
      </c>
      <c r="AB53" s="2" t="s">
        <v>48</v>
      </c>
      <c r="AC53" s="12">
        <f t="shared" si="0"/>
        <v>2012</v>
      </c>
      <c r="AD53" s="12">
        <f t="shared" si="1"/>
        <v>2</v>
      </c>
      <c r="AE53" s="12">
        <f t="shared" si="2"/>
        <v>21</v>
      </c>
      <c r="AF53" s="16">
        <f t="shared" si="3"/>
        <v>12.8</v>
      </c>
      <c r="AG53" s="16" t="str">
        <f t="shared" si="4"/>
        <v/>
      </c>
      <c r="AH53" s="16">
        <f t="shared" si="5"/>
        <v>13.1</v>
      </c>
    </row>
    <row r="54" spans="1:34" x14ac:dyDescent="0.35">
      <c r="A54" s="2" t="s">
        <v>604</v>
      </c>
      <c r="B54" s="2" t="s">
        <v>29</v>
      </c>
      <c r="C54" s="2" t="s">
        <v>49</v>
      </c>
      <c r="D54" s="2" t="s">
        <v>596</v>
      </c>
      <c r="E54" s="2" t="s">
        <v>30</v>
      </c>
      <c r="F54" s="2" t="s">
        <v>232</v>
      </c>
      <c r="G54" s="2" t="s">
        <v>106</v>
      </c>
      <c r="H54" s="2" t="s">
        <v>475</v>
      </c>
      <c r="I54" s="2" t="s">
        <v>37</v>
      </c>
      <c r="J54" s="2" t="s">
        <v>104</v>
      </c>
      <c r="K54" s="2" t="s">
        <v>38</v>
      </c>
      <c r="L54" s="2" t="s">
        <v>38</v>
      </c>
      <c r="M54" s="2" t="s">
        <v>39</v>
      </c>
      <c r="N54" s="2" t="s">
        <v>38</v>
      </c>
      <c r="O54" s="2" t="s">
        <v>38</v>
      </c>
      <c r="P54" s="2" t="s">
        <v>38</v>
      </c>
      <c r="Q54" s="2" t="s">
        <v>605</v>
      </c>
      <c r="R54" s="2" t="s">
        <v>71</v>
      </c>
      <c r="S54" s="2" t="s">
        <v>89</v>
      </c>
      <c r="T54" s="2" t="s">
        <v>90</v>
      </c>
      <c r="U54" s="2" t="s">
        <v>598</v>
      </c>
      <c r="V54" s="2" t="s">
        <v>363</v>
      </c>
      <c r="W54" s="2" t="s">
        <v>38</v>
      </c>
      <c r="X54" s="3">
        <v>40961</v>
      </c>
      <c r="Y54" s="2" t="s">
        <v>606</v>
      </c>
      <c r="Z54" s="35">
        <v>128</v>
      </c>
      <c r="AA54" s="2" t="s">
        <v>47</v>
      </c>
      <c r="AB54" s="2" t="s">
        <v>48</v>
      </c>
      <c r="AC54" s="12">
        <f t="shared" si="0"/>
        <v>2012</v>
      </c>
      <c r="AD54" s="12">
        <f t="shared" si="1"/>
        <v>2</v>
      </c>
      <c r="AE54" s="12">
        <f t="shared" si="2"/>
        <v>22</v>
      </c>
      <c r="AF54" s="16">
        <f t="shared" si="3"/>
        <v>11.7</v>
      </c>
      <c r="AG54" s="16" t="str">
        <f t="shared" si="4"/>
        <v/>
      </c>
      <c r="AH54" s="16">
        <f t="shared" si="5"/>
        <v>12.8</v>
      </c>
    </row>
    <row r="55" spans="1:34" x14ac:dyDescent="0.35">
      <c r="A55" s="2" t="s">
        <v>614</v>
      </c>
      <c r="B55" s="2" t="s">
        <v>29</v>
      </c>
      <c r="C55" s="2" t="s">
        <v>49</v>
      </c>
      <c r="D55" s="2" t="s">
        <v>596</v>
      </c>
      <c r="E55" s="2" t="s">
        <v>104</v>
      </c>
      <c r="F55" s="2" t="s">
        <v>615</v>
      </c>
      <c r="G55" s="2" t="s">
        <v>106</v>
      </c>
      <c r="H55" s="2" t="s">
        <v>379</v>
      </c>
      <c r="I55" s="2" t="s">
        <v>37</v>
      </c>
      <c r="J55" s="2" t="s">
        <v>104</v>
      </c>
      <c r="K55" s="2" t="s">
        <v>38</v>
      </c>
      <c r="L55" s="2" t="s">
        <v>38</v>
      </c>
      <c r="M55" s="2" t="s">
        <v>39</v>
      </c>
      <c r="N55" s="2" t="s">
        <v>38</v>
      </c>
      <c r="O55" s="2" t="s">
        <v>38</v>
      </c>
      <c r="P55" s="2" t="s">
        <v>38</v>
      </c>
      <c r="Q55" s="2" t="s">
        <v>616</v>
      </c>
      <c r="R55" s="2" t="s">
        <v>71</v>
      </c>
      <c r="S55" s="2" t="s">
        <v>89</v>
      </c>
      <c r="T55" s="2" t="s">
        <v>90</v>
      </c>
      <c r="U55" s="2" t="s">
        <v>617</v>
      </c>
      <c r="V55" s="2" t="s">
        <v>618</v>
      </c>
      <c r="W55" s="2" t="s">
        <v>38</v>
      </c>
      <c r="X55" s="3">
        <v>40962</v>
      </c>
      <c r="Y55" s="2" t="s">
        <v>619</v>
      </c>
      <c r="Z55" s="5">
        <v>129</v>
      </c>
      <c r="AA55" s="2" t="s">
        <v>47</v>
      </c>
      <c r="AB55" s="2" t="s">
        <v>48</v>
      </c>
      <c r="AC55" s="12">
        <f t="shared" si="0"/>
        <v>2012</v>
      </c>
      <c r="AD55" s="12">
        <f t="shared" si="1"/>
        <v>2</v>
      </c>
      <c r="AE55" s="12">
        <f t="shared" si="2"/>
        <v>23</v>
      </c>
      <c r="AF55" s="16">
        <f t="shared" si="3"/>
        <v>12.7</v>
      </c>
      <c r="AG55" s="16" t="str">
        <f t="shared" si="4"/>
        <v/>
      </c>
      <c r="AH55" s="16">
        <f t="shared" si="5"/>
        <v>12.9</v>
      </c>
    </row>
    <row r="56" spans="1:34" x14ac:dyDescent="0.35">
      <c r="A56" s="2" t="s">
        <v>625</v>
      </c>
      <c r="B56" s="2" t="s">
        <v>29</v>
      </c>
      <c r="C56" s="2" t="s">
        <v>49</v>
      </c>
      <c r="D56" s="2" t="s">
        <v>596</v>
      </c>
      <c r="E56" s="2" t="s">
        <v>104</v>
      </c>
      <c r="F56" s="2" t="s">
        <v>52</v>
      </c>
      <c r="G56" s="2" t="s">
        <v>106</v>
      </c>
      <c r="H56" s="2" t="s">
        <v>35</v>
      </c>
      <c r="I56" s="2" t="s">
        <v>37</v>
      </c>
      <c r="J56" s="2" t="s">
        <v>94</v>
      </c>
      <c r="K56" s="2" t="s">
        <v>38</v>
      </c>
      <c r="L56" s="2" t="s">
        <v>38</v>
      </c>
      <c r="M56" s="2" t="s">
        <v>39</v>
      </c>
      <c r="N56" s="2" t="s">
        <v>38</v>
      </c>
      <c r="O56" s="2" t="s">
        <v>38</v>
      </c>
      <c r="P56" s="2" t="s">
        <v>38</v>
      </c>
      <c r="Q56" s="2" t="s">
        <v>626</v>
      </c>
      <c r="R56" s="2" t="s">
        <v>71</v>
      </c>
      <c r="S56" s="2" t="s">
        <v>89</v>
      </c>
      <c r="T56" s="2" t="s">
        <v>90</v>
      </c>
      <c r="U56" s="2" t="s">
        <v>627</v>
      </c>
      <c r="V56" s="2" t="s">
        <v>161</v>
      </c>
      <c r="W56" s="2" t="s">
        <v>38</v>
      </c>
      <c r="X56" s="3">
        <v>40963</v>
      </c>
      <c r="Y56" s="2" t="s">
        <v>628</v>
      </c>
      <c r="Z56" s="35">
        <v>140</v>
      </c>
      <c r="AA56" s="2" t="s">
        <v>47</v>
      </c>
      <c r="AB56" s="2" t="s">
        <v>48</v>
      </c>
      <c r="AC56" s="12">
        <f t="shared" si="0"/>
        <v>2012</v>
      </c>
      <c r="AD56" s="12">
        <f t="shared" si="1"/>
        <v>2</v>
      </c>
      <c r="AE56" s="12">
        <f t="shared" si="2"/>
        <v>24</v>
      </c>
      <c r="AF56" s="16">
        <f t="shared" si="3"/>
        <v>12.9</v>
      </c>
      <c r="AG56" s="16" t="str">
        <f t="shared" si="4"/>
        <v/>
      </c>
      <c r="AH56" s="16">
        <f t="shared" si="5"/>
        <v>14</v>
      </c>
    </row>
    <row r="57" spans="1:34" x14ac:dyDescent="0.35">
      <c r="A57" s="2" t="s">
        <v>634</v>
      </c>
      <c r="B57" s="2" t="s">
        <v>29</v>
      </c>
      <c r="C57" s="2" t="s">
        <v>49</v>
      </c>
      <c r="D57" s="2" t="s">
        <v>596</v>
      </c>
      <c r="E57" s="2" t="s">
        <v>142</v>
      </c>
      <c r="F57" s="2" t="s">
        <v>638</v>
      </c>
      <c r="G57" s="2" t="s">
        <v>106</v>
      </c>
      <c r="H57" s="2" t="s">
        <v>386</v>
      </c>
      <c r="I57" s="2" t="s">
        <v>37</v>
      </c>
      <c r="J57" s="2" t="s">
        <v>104</v>
      </c>
      <c r="K57" s="2" t="s">
        <v>38</v>
      </c>
      <c r="L57" s="2" t="s">
        <v>38</v>
      </c>
      <c r="M57" s="2" t="s">
        <v>39</v>
      </c>
      <c r="N57" s="2" t="s">
        <v>38</v>
      </c>
      <c r="O57" s="2" t="s">
        <v>38</v>
      </c>
      <c r="P57" s="2" t="s">
        <v>38</v>
      </c>
      <c r="Q57" s="2" t="s">
        <v>458</v>
      </c>
      <c r="R57" s="2" t="s">
        <v>71</v>
      </c>
      <c r="S57" s="2" t="s">
        <v>89</v>
      </c>
      <c r="T57" s="2" t="s">
        <v>90</v>
      </c>
      <c r="U57" s="2" t="s">
        <v>639</v>
      </c>
      <c r="V57" s="2" t="s">
        <v>272</v>
      </c>
      <c r="W57" s="2" t="s">
        <v>38</v>
      </c>
      <c r="X57" s="3">
        <v>40964</v>
      </c>
      <c r="Y57" s="2" t="s">
        <v>640</v>
      </c>
      <c r="Z57" s="5">
        <v>130</v>
      </c>
      <c r="AA57" s="2" t="s">
        <v>47</v>
      </c>
      <c r="AB57" s="2" t="s">
        <v>48</v>
      </c>
      <c r="AC57" s="12">
        <f t="shared" si="0"/>
        <v>2012</v>
      </c>
      <c r="AD57" s="12">
        <f t="shared" si="1"/>
        <v>2</v>
      </c>
      <c r="AE57" s="12">
        <f t="shared" si="2"/>
        <v>25</v>
      </c>
      <c r="AF57" s="16">
        <f t="shared" si="3"/>
        <v>11.2</v>
      </c>
      <c r="AG57" s="16" t="str">
        <f t="shared" si="4"/>
        <v/>
      </c>
      <c r="AH57" s="16">
        <f t="shared" si="5"/>
        <v>13</v>
      </c>
    </row>
    <row r="58" spans="1:34" x14ac:dyDescent="0.35">
      <c r="A58" s="2" t="s">
        <v>641</v>
      </c>
      <c r="B58" s="2" t="s">
        <v>29</v>
      </c>
      <c r="C58" s="2" t="s">
        <v>49</v>
      </c>
      <c r="D58" s="2" t="s">
        <v>579</v>
      </c>
      <c r="E58" s="2" t="s">
        <v>142</v>
      </c>
      <c r="F58" s="2" t="s">
        <v>642</v>
      </c>
      <c r="G58" s="2" t="s">
        <v>106</v>
      </c>
      <c r="H58" s="2" t="s">
        <v>127</v>
      </c>
      <c r="I58" s="2" t="s">
        <v>37</v>
      </c>
      <c r="J58" s="2" t="s">
        <v>104</v>
      </c>
      <c r="K58" s="2" t="s">
        <v>38</v>
      </c>
      <c r="L58" s="2" t="s">
        <v>38</v>
      </c>
      <c r="M58" s="2" t="s">
        <v>39</v>
      </c>
      <c r="N58" s="2" t="s">
        <v>38</v>
      </c>
      <c r="O58" s="2" t="s">
        <v>38</v>
      </c>
      <c r="P58" s="2" t="s">
        <v>38</v>
      </c>
      <c r="Q58" s="2" t="s">
        <v>643</v>
      </c>
      <c r="R58" s="2" t="s">
        <v>71</v>
      </c>
      <c r="S58" s="2" t="s">
        <v>89</v>
      </c>
      <c r="T58" s="2" t="s">
        <v>90</v>
      </c>
      <c r="U58" s="2" t="s">
        <v>581</v>
      </c>
      <c r="V58" s="2" t="s">
        <v>260</v>
      </c>
      <c r="W58" s="2" t="s">
        <v>38</v>
      </c>
      <c r="X58" s="3">
        <v>40965</v>
      </c>
      <c r="Y58" s="2" t="s">
        <v>644</v>
      </c>
      <c r="Z58" s="35">
        <v>125</v>
      </c>
      <c r="AA58" s="2" t="s">
        <v>47</v>
      </c>
      <c r="AB58" s="2" t="s">
        <v>48</v>
      </c>
      <c r="AC58" s="12">
        <f t="shared" si="0"/>
        <v>2012</v>
      </c>
      <c r="AD58" s="12">
        <f t="shared" si="1"/>
        <v>2</v>
      </c>
      <c r="AE58" s="12">
        <f t="shared" si="2"/>
        <v>26</v>
      </c>
      <c r="AF58" s="16">
        <f t="shared" si="3"/>
        <v>10.8</v>
      </c>
      <c r="AG58" s="16" t="str">
        <f t="shared" si="4"/>
        <v/>
      </c>
      <c r="AH58" s="16">
        <f t="shared" si="5"/>
        <v>12.5</v>
      </c>
    </row>
    <row r="59" spans="1:34" x14ac:dyDescent="0.35">
      <c r="A59" s="2" t="s">
        <v>649</v>
      </c>
      <c r="B59" s="2" t="s">
        <v>29</v>
      </c>
      <c r="C59" s="2" t="s">
        <v>49</v>
      </c>
      <c r="D59" s="2" t="s">
        <v>596</v>
      </c>
      <c r="E59" s="2" t="s">
        <v>104</v>
      </c>
      <c r="F59" s="2" t="s">
        <v>650</v>
      </c>
      <c r="G59" s="2" t="s">
        <v>106</v>
      </c>
      <c r="H59" s="2" t="s">
        <v>371</v>
      </c>
      <c r="I59" s="2" t="s">
        <v>37</v>
      </c>
      <c r="J59" s="2" t="s">
        <v>104</v>
      </c>
      <c r="K59" s="2" t="s">
        <v>38</v>
      </c>
      <c r="L59" s="2" t="s">
        <v>38</v>
      </c>
      <c r="M59" s="2" t="s">
        <v>39</v>
      </c>
      <c r="N59" s="2" t="s">
        <v>38</v>
      </c>
      <c r="O59" s="2" t="s">
        <v>38</v>
      </c>
      <c r="P59" s="2" t="s">
        <v>38</v>
      </c>
      <c r="Q59" s="2" t="s">
        <v>367</v>
      </c>
      <c r="R59" s="2" t="s">
        <v>71</v>
      </c>
      <c r="S59" s="2" t="s">
        <v>89</v>
      </c>
      <c r="T59" s="2" t="s">
        <v>90</v>
      </c>
      <c r="U59" s="2" t="s">
        <v>617</v>
      </c>
      <c r="V59" s="2" t="s">
        <v>618</v>
      </c>
      <c r="W59" s="2" t="s">
        <v>38</v>
      </c>
      <c r="X59" s="3">
        <v>40966</v>
      </c>
      <c r="Y59" s="2" t="s">
        <v>651</v>
      </c>
      <c r="Z59" s="5">
        <v>135</v>
      </c>
      <c r="AA59" s="2" t="s">
        <v>47</v>
      </c>
      <c r="AB59" s="2" t="s">
        <v>48</v>
      </c>
      <c r="AC59" s="12">
        <f t="shared" si="0"/>
        <v>2012</v>
      </c>
      <c r="AD59" s="12">
        <f t="shared" si="1"/>
        <v>2</v>
      </c>
      <c r="AE59" s="12">
        <f t="shared" si="2"/>
        <v>27</v>
      </c>
      <c r="AF59" s="16">
        <f t="shared" si="3"/>
        <v>12.7</v>
      </c>
      <c r="AG59" s="16" t="str">
        <f t="shared" si="4"/>
        <v/>
      </c>
      <c r="AH59" s="16">
        <f t="shared" si="5"/>
        <v>13.5</v>
      </c>
    </row>
    <row r="60" spans="1:34" x14ac:dyDescent="0.35">
      <c r="A60" s="2" t="s">
        <v>657</v>
      </c>
      <c r="B60" s="2" t="s">
        <v>29</v>
      </c>
      <c r="C60" s="2" t="s">
        <v>49</v>
      </c>
      <c r="D60" s="2" t="s">
        <v>55</v>
      </c>
      <c r="E60" s="2" t="s">
        <v>112</v>
      </c>
      <c r="F60" s="2" t="s">
        <v>638</v>
      </c>
      <c r="G60" s="2" t="s">
        <v>106</v>
      </c>
      <c r="H60" s="2" t="s">
        <v>54</v>
      </c>
      <c r="I60" s="2" t="s">
        <v>37</v>
      </c>
      <c r="J60" s="2" t="s">
        <v>104</v>
      </c>
      <c r="K60" s="2" t="s">
        <v>38</v>
      </c>
      <c r="L60" s="2" t="s">
        <v>38</v>
      </c>
      <c r="M60" s="2" t="s">
        <v>39</v>
      </c>
      <c r="N60" s="2" t="s">
        <v>38</v>
      </c>
      <c r="O60" s="2" t="s">
        <v>38</v>
      </c>
      <c r="P60" s="2" t="s">
        <v>38</v>
      </c>
      <c r="Q60" s="2" t="s">
        <v>468</v>
      </c>
      <c r="R60" s="2" t="s">
        <v>71</v>
      </c>
      <c r="S60" s="2" t="s">
        <v>89</v>
      </c>
      <c r="T60" s="2" t="s">
        <v>90</v>
      </c>
      <c r="U60" s="2" t="s">
        <v>663</v>
      </c>
      <c r="V60" s="2" t="s">
        <v>664</v>
      </c>
      <c r="W60" s="2" t="s">
        <v>38</v>
      </c>
      <c r="X60" s="3">
        <v>40967</v>
      </c>
      <c r="Y60" s="2" t="s">
        <v>665</v>
      </c>
      <c r="Z60" s="35">
        <v>133</v>
      </c>
      <c r="AA60" s="2" t="s">
        <v>47</v>
      </c>
      <c r="AB60" s="2" t="s">
        <v>48</v>
      </c>
      <c r="AC60" s="12">
        <f t="shared" si="0"/>
        <v>2012</v>
      </c>
      <c r="AD60" s="12">
        <f t="shared" si="1"/>
        <v>2</v>
      </c>
      <c r="AE60" s="12">
        <f t="shared" si="2"/>
        <v>28</v>
      </c>
      <c r="AF60" s="16">
        <f t="shared" si="3"/>
        <v>10.1</v>
      </c>
      <c r="AG60" s="16" t="str">
        <f t="shared" si="4"/>
        <v/>
      </c>
      <c r="AH60" s="16">
        <f t="shared" si="5"/>
        <v>13.3</v>
      </c>
    </row>
    <row r="61" spans="1:34" x14ac:dyDescent="0.35">
      <c r="A61" s="2" t="s">
        <v>666</v>
      </c>
      <c r="B61" s="2" t="s">
        <v>29</v>
      </c>
      <c r="C61" s="2" t="s">
        <v>49</v>
      </c>
      <c r="D61" s="2" t="s">
        <v>579</v>
      </c>
      <c r="E61" s="2" t="s">
        <v>215</v>
      </c>
      <c r="F61" s="2" t="s">
        <v>667</v>
      </c>
      <c r="G61" s="2" t="s">
        <v>106</v>
      </c>
      <c r="H61" s="2" t="s">
        <v>246</v>
      </c>
      <c r="I61" s="2" t="s">
        <v>37</v>
      </c>
      <c r="J61" s="2" t="s">
        <v>112</v>
      </c>
      <c r="K61" s="2" t="s">
        <v>38</v>
      </c>
      <c r="L61" s="2" t="s">
        <v>38</v>
      </c>
      <c r="M61" s="2" t="s">
        <v>39</v>
      </c>
      <c r="N61" s="2" t="s">
        <v>38</v>
      </c>
      <c r="O61" s="2" t="s">
        <v>38</v>
      </c>
      <c r="P61" s="2" t="s">
        <v>38</v>
      </c>
      <c r="Q61" s="2" t="s">
        <v>560</v>
      </c>
      <c r="R61" s="2" t="s">
        <v>71</v>
      </c>
      <c r="S61" s="2" t="s">
        <v>89</v>
      </c>
      <c r="T61" s="2" t="s">
        <v>90</v>
      </c>
      <c r="U61" s="2" t="s">
        <v>581</v>
      </c>
      <c r="V61" s="2" t="s">
        <v>668</v>
      </c>
      <c r="W61" s="2" t="s">
        <v>38</v>
      </c>
      <c r="X61" s="3">
        <v>40968</v>
      </c>
      <c r="Y61" s="2" t="s">
        <v>669</v>
      </c>
      <c r="Z61" s="5">
        <v>98</v>
      </c>
      <c r="AA61" s="2" t="s">
        <v>47</v>
      </c>
      <c r="AB61" s="2" t="s">
        <v>48</v>
      </c>
      <c r="AC61" s="12">
        <f t="shared" si="0"/>
        <v>2012</v>
      </c>
      <c r="AD61" s="12">
        <f t="shared" si="1"/>
        <v>2</v>
      </c>
      <c r="AE61" s="12">
        <f t="shared" si="2"/>
        <v>29</v>
      </c>
      <c r="AF61" s="16">
        <f t="shared" si="3"/>
        <v>6.3</v>
      </c>
      <c r="AG61" s="16" t="str">
        <f t="shared" si="4"/>
        <v/>
      </c>
      <c r="AH61" s="16">
        <f t="shared" si="5"/>
        <v>9.8000000000000007</v>
      </c>
    </row>
    <row r="62" spans="1:34" x14ac:dyDescent="0.35">
      <c r="A62" s="2" t="s">
        <v>674</v>
      </c>
      <c r="B62" s="2" t="s">
        <v>29</v>
      </c>
      <c r="C62" s="2" t="s">
        <v>49</v>
      </c>
      <c r="D62" s="2" t="s">
        <v>51</v>
      </c>
      <c r="E62" s="2" t="s">
        <v>142</v>
      </c>
      <c r="F62" s="2" t="s">
        <v>642</v>
      </c>
      <c r="G62" s="2" t="s">
        <v>106</v>
      </c>
      <c r="H62" s="2" t="s">
        <v>121</v>
      </c>
      <c r="I62" s="2" t="s">
        <v>37</v>
      </c>
      <c r="J62" s="2" t="s">
        <v>112</v>
      </c>
      <c r="K62" s="2" t="s">
        <v>38</v>
      </c>
      <c r="L62" s="2" t="s">
        <v>38</v>
      </c>
      <c r="M62" s="2" t="s">
        <v>39</v>
      </c>
      <c r="N62" s="2" t="s">
        <v>38</v>
      </c>
      <c r="O62" s="2" t="s">
        <v>38</v>
      </c>
      <c r="P62" s="2" t="s">
        <v>38</v>
      </c>
      <c r="Q62" s="2" t="s">
        <v>560</v>
      </c>
      <c r="R62" s="2" t="s">
        <v>71</v>
      </c>
      <c r="S62" s="2" t="s">
        <v>89</v>
      </c>
      <c r="T62" s="2" t="s">
        <v>90</v>
      </c>
      <c r="U62" s="2" t="s">
        <v>108</v>
      </c>
      <c r="V62" s="2" t="s">
        <v>382</v>
      </c>
      <c r="W62" s="2" t="s">
        <v>38</v>
      </c>
      <c r="X62" s="3">
        <v>40969</v>
      </c>
      <c r="Y62" s="2" t="s">
        <v>675</v>
      </c>
      <c r="Z62" s="35">
        <v>98</v>
      </c>
      <c r="AA62" s="2" t="s">
        <v>672</v>
      </c>
      <c r="AB62" s="2" t="s">
        <v>673</v>
      </c>
      <c r="AC62" s="12">
        <f t="shared" si="0"/>
        <v>2012</v>
      </c>
      <c r="AD62" s="12">
        <f t="shared" si="1"/>
        <v>3</v>
      </c>
      <c r="AE62" s="12">
        <f t="shared" si="2"/>
        <v>1</v>
      </c>
      <c r="AF62" s="16">
        <f t="shared" si="3"/>
        <v>10.9</v>
      </c>
      <c r="AG62" s="16" t="str">
        <f t="shared" si="4"/>
        <v/>
      </c>
      <c r="AH62" s="16">
        <f t="shared" si="5"/>
        <v>9.8000000000000007</v>
      </c>
    </row>
    <row r="63" spans="1:34" x14ac:dyDescent="0.35">
      <c r="A63" s="2" t="s">
        <v>679</v>
      </c>
      <c r="B63" s="2" t="s">
        <v>29</v>
      </c>
      <c r="C63" s="2" t="s">
        <v>49</v>
      </c>
      <c r="D63" s="2" t="s">
        <v>51</v>
      </c>
      <c r="E63" s="2" t="s">
        <v>195</v>
      </c>
      <c r="F63" s="2" t="s">
        <v>684</v>
      </c>
      <c r="G63" s="2" t="s">
        <v>106</v>
      </c>
      <c r="H63" s="2" t="s">
        <v>246</v>
      </c>
      <c r="I63" s="2" t="s">
        <v>37</v>
      </c>
      <c r="J63" s="2" t="s">
        <v>165</v>
      </c>
      <c r="K63" s="2" t="s">
        <v>38</v>
      </c>
      <c r="L63" s="2" t="s">
        <v>38</v>
      </c>
      <c r="M63" s="2" t="s">
        <v>39</v>
      </c>
      <c r="N63" s="2" t="s">
        <v>38</v>
      </c>
      <c r="O63" s="2" t="s">
        <v>38</v>
      </c>
      <c r="P63" s="2" t="s">
        <v>38</v>
      </c>
      <c r="Q63" s="2" t="s">
        <v>685</v>
      </c>
      <c r="R63" s="2" t="s">
        <v>71</v>
      </c>
      <c r="S63" s="2" t="s">
        <v>89</v>
      </c>
      <c r="T63" s="2" t="s">
        <v>90</v>
      </c>
      <c r="U63" s="2" t="s">
        <v>686</v>
      </c>
      <c r="V63" s="2" t="s">
        <v>687</v>
      </c>
      <c r="W63" s="2" t="s">
        <v>38</v>
      </c>
      <c r="X63" s="3">
        <v>40970</v>
      </c>
      <c r="Y63" s="2" t="s">
        <v>688</v>
      </c>
      <c r="Z63" s="5">
        <v>88</v>
      </c>
      <c r="AA63" s="2" t="s">
        <v>672</v>
      </c>
      <c r="AB63" s="2" t="s">
        <v>673</v>
      </c>
      <c r="AC63" s="12">
        <f t="shared" si="0"/>
        <v>2012</v>
      </c>
      <c r="AD63" s="12">
        <f t="shared" si="1"/>
        <v>3</v>
      </c>
      <c r="AE63" s="12">
        <f t="shared" si="2"/>
        <v>2</v>
      </c>
      <c r="AF63" s="16">
        <f t="shared" si="3"/>
        <v>7.8</v>
      </c>
      <c r="AG63" s="16" t="str">
        <f t="shared" si="4"/>
        <v/>
      </c>
      <c r="AH63" s="16">
        <f t="shared" si="5"/>
        <v>8.8000000000000007</v>
      </c>
    </row>
    <row r="64" spans="1:34" x14ac:dyDescent="0.35">
      <c r="A64" s="2" t="s">
        <v>689</v>
      </c>
      <c r="B64" s="2" t="s">
        <v>29</v>
      </c>
      <c r="C64" s="2" t="s">
        <v>49</v>
      </c>
      <c r="D64" s="2" t="s">
        <v>579</v>
      </c>
      <c r="E64" s="2" t="s">
        <v>94</v>
      </c>
      <c r="F64" s="2" t="s">
        <v>693</v>
      </c>
      <c r="G64" s="2" t="s">
        <v>106</v>
      </c>
      <c r="H64" s="2" t="s">
        <v>144</v>
      </c>
      <c r="I64" s="2" t="s">
        <v>37</v>
      </c>
      <c r="J64" s="2" t="s">
        <v>30</v>
      </c>
      <c r="K64" s="2" t="s">
        <v>38</v>
      </c>
      <c r="L64" s="2" t="s">
        <v>38</v>
      </c>
      <c r="M64" s="2" t="s">
        <v>39</v>
      </c>
      <c r="N64" s="2" t="s">
        <v>38</v>
      </c>
      <c r="O64" s="2" t="s">
        <v>38</v>
      </c>
      <c r="P64" s="2" t="s">
        <v>38</v>
      </c>
      <c r="Q64" s="2" t="s">
        <v>574</v>
      </c>
      <c r="R64" s="2" t="s">
        <v>71</v>
      </c>
      <c r="S64" s="2" t="s">
        <v>89</v>
      </c>
      <c r="T64" s="2" t="s">
        <v>90</v>
      </c>
      <c r="U64" s="2" t="s">
        <v>581</v>
      </c>
      <c r="V64" s="2" t="s">
        <v>421</v>
      </c>
      <c r="W64" s="2" t="s">
        <v>38</v>
      </c>
      <c r="X64" s="3">
        <v>40971</v>
      </c>
      <c r="Y64" s="2" t="s">
        <v>694</v>
      </c>
      <c r="Z64" s="35">
        <v>122</v>
      </c>
      <c r="AA64" s="2" t="s">
        <v>672</v>
      </c>
      <c r="AB64" s="2" t="s">
        <v>673</v>
      </c>
      <c r="AC64" s="12">
        <f t="shared" si="0"/>
        <v>2012</v>
      </c>
      <c r="AD64" s="12">
        <f t="shared" si="1"/>
        <v>3</v>
      </c>
      <c r="AE64" s="12">
        <f t="shared" si="2"/>
        <v>3</v>
      </c>
      <c r="AF64" s="16">
        <f t="shared" si="3"/>
        <v>13.6</v>
      </c>
      <c r="AG64" s="16" t="str">
        <f t="shared" si="4"/>
        <v/>
      </c>
      <c r="AH64" s="16">
        <f t="shared" si="5"/>
        <v>12.2</v>
      </c>
    </row>
    <row r="65" spans="1:34" x14ac:dyDescent="0.35">
      <c r="A65" s="2" t="s">
        <v>695</v>
      </c>
      <c r="B65" s="2" t="s">
        <v>29</v>
      </c>
      <c r="C65" s="2" t="s">
        <v>49</v>
      </c>
      <c r="D65" s="2" t="s">
        <v>50</v>
      </c>
      <c r="E65" s="2" t="s">
        <v>94</v>
      </c>
      <c r="F65" s="2" t="s">
        <v>700</v>
      </c>
      <c r="G65" s="2" t="s">
        <v>106</v>
      </c>
      <c r="H65" s="2" t="s">
        <v>217</v>
      </c>
      <c r="I65" s="2" t="s">
        <v>37</v>
      </c>
      <c r="J65" s="2" t="s">
        <v>104</v>
      </c>
      <c r="K65" s="2" t="s">
        <v>38</v>
      </c>
      <c r="L65" s="2" t="s">
        <v>38</v>
      </c>
      <c r="M65" s="2" t="s">
        <v>39</v>
      </c>
      <c r="N65" s="2" t="s">
        <v>38</v>
      </c>
      <c r="O65" s="2" t="s">
        <v>38</v>
      </c>
      <c r="P65" s="2" t="s">
        <v>38</v>
      </c>
      <c r="Q65" s="2" t="s">
        <v>468</v>
      </c>
      <c r="R65" s="2" t="s">
        <v>71</v>
      </c>
      <c r="S65" s="2" t="s">
        <v>89</v>
      </c>
      <c r="T65" s="2" t="s">
        <v>90</v>
      </c>
      <c r="U65" s="2" t="s">
        <v>701</v>
      </c>
      <c r="V65" s="2" t="s">
        <v>297</v>
      </c>
      <c r="W65" s="2" t="s">
        <v>38</v>
      </c>
      <c r="X65" s="3">
        <v>40972</v>
      </c>
      <c r="Y65" s="2" t="s">
        <v>702</v>
      </c>
      <c r="Z65" s="5">
        <v>133</v>
      </c>
      <c r="AA65" s="2" t="s">
        <v>672</v>
      </c>
      <c r="AB65" s="2" t="s">
        <v>673</v>
      </c>
      <c r="AC65" s="12">
        <f t="shared" si="0"/>
        <v>2012</v>
      </c>
      <c r="AD65" s="12">
        <f t="shared" si="1"/>
        <v>3</v>
      </c>
      <c r="AE65" s="12">
        <f t="shared" si="2"/>
        <v>4</v>
      </c>
      <c r="AF65" s="16">
        <f t="shared" si="3"/>
        <v>14.4</v>
      </c>
      <c r="AG65" s="16" t="str">
        <f t="shared" si="4"/>
        <v/>
      </c>
      <c r="AH65" s="16">
        <f t="shared" si="5"/>
        <v>13.3</v>
      </c>
    </row>
    <row r="66" spans="1:34" x14ac:dyDescent="0.35">
      <c r="A66" s="2" t="s">
        <v>703</v>
      </c>
      <c r="B66" s="2" t="s">
        <v>29</v>
      </c>
      <c r="C66" s="2" t="s">
        <v>49</v>
      </c>
      <c r="D66" s="2" t="s">
        <v>50</v>
      </c>
      <c r="E66" s="2" t="s">
        <v>30</v>
      </c>
      <c r="F66" s="2" t="s">
        <v>251</v>
      </c>
      <c r="G66" s="2" t="s">
        <v>68</v>
      </c>
      <c r="H66" s="2" t="s">
        <v>295</v>
      </c>
      <c r="I66" s="2" t="s">
        <v>37</v>
      </c>
      <c r="J66" s="2" t="s">
        <v>104</v>
      </c>
      <c r="K66" s="2" t="s">
        <v>38</v>
      </c>
      <c r="L66" s="2" t="s">
        <v>38</v>
      </c>
      <c r="M66" s="2" t="s">
        <v>39</v>
      </c>
      <c r="N66" s="2" t="s">
        <v>38</v>
      </c>
      <c r="O66" s="2" t="s">
        <v>38</v>
      </c>
      <c r="P66" s="2" t="s">
        <v>38</v>
      </c>
      <c r="Q66" s="2" t="s">
        <v>468</v>
      </c>
      <c r="R66" s="2" t="s">
        <v>704</v>
      </c>
      <c r="S66" s="2" t="s">
        <v>159</v>
      </c>
      <c r="T66" s="2" t="s">
        <v>73</v>
      </c>
      <c r="U66" s="2" t="s">
        <v>60</v>
      </c>
      <c r="V66" s="2" t="s">
        <v>363</v>
      </c>
      <c r="W66" s="2" t="s">
        <v>38</v>
      </c>
      <c r="X66" s="3">
        <v>40973</v>
      </c>
      <c r="Y66" s="2" t="s">
        <v>705</v>
      </c>
      <c r="Z66" s="35">
        <v>133</v>
      </c>
      <c r="AA66" s="2" t="s">
        <v>672</v>
      </c>
      <c r="AB66" s="2" t="s">
        <v>673</v>
      </c>
      <c r="AC66" s="12">
        <f t="shared" ref="AC66:AC129" si="6">YEAR(X66)</f>
        <v>2012</v>
      </c>
      <c r="AD66" s="12">
        <f t="shared" ref="AD66:AD129" si="7">MONTH(X66)</f>
        <v>3</v>
      </c>
      <c r="AE66" s="12">
        <f t="shared" ref="AE66:AE129" si="8">DAY(X66)</f>
        <v>5</v>
      </c>
      <c r="AF66" s="16">
        <f t="shared" ref="AF66:AF129" si="9">IF(LEN(V66)&gt;0,V66/10,"")</f>
        <v>11.7</v>
      </c>
      <c r="AG66" s="16" t="str">
        <f t="shared" ref="AG66:AG129" si="10">IF(LEN(P66)&gt;0,P66/10,"")</f>
        <v/>
      </c>
      <c r="AH66" s="16">
        <f t="shared" ref="AH66:AH129" si="11">IF(LEN(Q66)&gt;0,Q66/10,"")</f>
        <v>13.3</v>
      </c>
    </row>
    <row r="67" spans="1:34" x14ac:dyDescent="0.35">
      <c r="A67" s="2" t="s">
        <v>709</v>
      </c>
      <c r="B67" s="2" t="s">
        <v>29</v>
      </c>
      <c r="C67" s="2" t="s">
        <v>49</v>
      </c>
      <c r="D67" s="2" t="s">
        <v>714</v>
      </c>
      <c r="E67" s="2" t="s">
        <v>142</v>
      </c>
      <c r="F67" s="2" t="s">
        <v>143</v>
      </c>
      <c r="G67" s="2" t="s">
        <v>106</v>
      </c>
      <c r="H67" s="2" t="s">
        <v>371</v>
      </c>
      <c r="I67" s="2" t="s">
        <v>37</v>
      </c>
      <c r="J67" s="2" t="s">
        <v>94</v>
      </c>
      <c r="K67" s="2" t="s">
        <v>38</v>
      </c>
      <c r="L67" s="2" t="s">
        <v>38</v>
      </c>
      <c r="M67" s="2" t="s">
        <v>39</v>
      </c>
      <c r="N67" s="2" t="s">
        <v>38</v>
      </c>
      <c r="O67" s="2" t="s">
        <v>38</v>
      </c>
      <c r="P67" s="2" t="s">
        <v>38</v>
      </c>
      <c r="Q67" s="2" t="s">
        <v>715</v>
      </c>
      <c r="R67" s="2" t="s">
        <v>71</v>
      </c>
      <c r="S67" s="2" t="s">
        <v>159</v>
      </c>
      <c r="T67" s="2" t="s">
        <v>73</v>
      </c>
      <c r="U67" s="2" t="s">
        <v>716</v>
      </c>
      <c r="V67" s="2" t="s">
        <v>197</v>
      </c>
      <c r="W67" s="2" t="s">
        <v>38</v>
      </c>
      <c r="X67" s="3">
        <v>40974</v>
      </c>
      <c r="Y67" s="2" t="s">
        <v>717</v>
      </c>
      <c r="Z67" s="5">
        <v>137</v>
      </c>
      <c r="AA67" s="2" t="s">
        <v>672</v>
      </c>
      <c r="AB67" s="2" t="s">
        <v>673</v>
      </c>
      <c r="AC67" s="12">
        <f t="shared" si="6"/>
        <v>2012</v>
      </c>
      <c r="AD67" s="12">
        <f t="shared" si="7"/>
        <v>3</v>
      </c>
      <c r="AE67" s="12">
        <f t="shared" si="8"/>
        <v>6</v>
      </c>
      <c r="AF67" s="16">
        <f t="shared" si="9"/>
        <v>10.6</v>
      </c>
      <c r="AG67" s="16" t="str">
        <f t="shared" si="10"/>
        <v/>
      </c>
      <c r="AH67" s="16">
        <f t="shared" si="11"/>
        <v>13.7</v>
      </c>
    </row>
    <row r="68" spans="1:34" x14ac:dyDescent="0.35">
      <c r="A68" s="2" t="s">
        <v>718</v>
      </c>
      <c r="B68" s="2" t="s">
        <v>29</v>
      </c>
      <c r="C68" s="2" t="s">
        <v>49</v>
      </c>
      <c r="D68" s="2" t="s">
        <v>596</v>
      </c>
      <c r="E68" s="2" t="s">
        <v>195</v>
      </c>
      <c r="F68" s="2" t="s">
        <v>723</v>
      </c>
      <c r="G68" s="2" t="s">
        <v>106</v>
      </c>
      <c r="H68" s="2" t="s">
        <v>457</v>
      </c>
      <c r="I68" s="2" t="s">
        <v>37</v>
      </c>
      <c r="J68" s="2" t="s">
        <v>112</v>
      </c>
      <c r="K68" s="2" t="s">
        <v>38</v>
      </c>
      <c r="L68" s="2" t="s">
        <v>38</v>
      </c>
      <c r="M68" s="2" t="s">
        <v>39</v>
      </c>
      <c r="N68" s="2" t="s">
        <v>38</v>
      </c>
      <c r="O68" s="2" t="s">
        <v>38</v>
      </c>
      <c r="P68" s="2" t="s">
        <v>38</v>
      </c>
      <c r="Q68" s="2" t="s">
        <v>724</v>
      </c>
      <c r="R68" s="2" t="s">
        <v>71</v>
      </c>
      <c r="S68" s="2" t="s">
        <v>690</v>
      </c>
      <c r="T68" s="2" t="s">
        <v>90</v>
      </c>
      <c r="U68" s="2" t="s">
        <v>627</v>
      </c>
      <c r="V68" s="2" t="s">
        <v>212</v>
      </c>
      <c r="W68" s="2" t="s">
        <v>38</v>
      </c>
      <c r="X68" s="3">
        <v>40975</v>
      </c>
      <c r="Y68" s="2" t="s">
        <v>725</v>
      </c>
      <c r="Z68" s="5">
        <v>103</v>
      </c>
      <c r="AA68" s="2" t="s">
        <v>672</v>
      </c>
      <c r="AB68" s="2" t="s">
        <v>673</v>
      </c>
      <c r="AC68" s="12">
        <f t="shared" si="6"/>
        <v>2012</v>
      </c>
      <c r="AD68" s="12">
        <f t="shared" si="7"/>
        <v>3</v>
      </c>
      <c r="AE68" s="12">
        <f t="shared" si="8"/>
        <v>7</v>
      </c>
      <c r="AF68" s="16">
        <f t="shared" si="9"/>
        <v>7.9</v>
      </c>
      <c r="AG68" s="16" t="str">
        <f t="shared" si="10"/>
        <v/>
      </c>
      <c r="AH68" s="16">
        <f t="shared" si="11"/>
        <v>10.3</v>
      </c>
    </row>
    <row r="69" spans="1:34" x14ac:dyDescent="0.35">
      <c r="A69" s="2" t="s">
        <v>726</v>
      </c>
      <c r="B69" s="2" t="s">
        <v>29</v>
      </c>
      <c r="C69" s="2" t="s">
        <v>49</v>
      </c>
      <c r="D69" s="2" t="s">
        <v>55</v>
      </c>
      <c r="E69" s="2" t="s">
        <v>195</v>
      </c>
      <c r="F69" s="2" t="s">
        <v>188</v>
      </c>
      <c r="G69" s="2" t="s">
        <v>34</v>
      </c>
      <c r="H69" s="2" t="s">
        <v>379</v>
      </c>
      <c r="I69" s="2" t="s">
        <v>37</v>
      </c>
      <c r="J69" s="2" t="s">
        <v>112</v>
      </c>
      <c r="K69" s="2" t="s">
        <v>38</v>
      </c>
      <c r="L69" s="2" t="s">
        <v>38</v>
      </c>
      <c r="M69" s="2" t="s">
        <v>39</v>
      </c>
      <c r="N69" s="2" t="s">
        <v>38</v>
      </c>
      <c r="O69" s="2" t="s">
        <v>38</v>
      </c>
      <c r="P69" s="2" t="s">
        <v>38</v>
      </c>
      <c r="Q69" s="2" t="s">
        <v>727</v>
      </c>
      <c r="R69" s="2" t="s">
        <v>98</v>
      </c>
      <c r="S69" s="2" t="s">
        <v>405</v>
      </c>
      <c r="T69" s="2" t="s">
        <v>73</v>
      </c>
      <c r="U69" s="2" t="s">
        <v>82</v>
      </c>
      <c r="V69" s="2" t="s">
        <v>388</v>
      </c>
      <c r="W69" s="2" t="s">
        <v>38</v>
      </c>
      <c r="X69" s="3">
        <v>40976</v>
      </c>
      <c r="Y69" s="2" t="s">
        <v>728</v>
      </c>
      <c r="Z69" s="35">
        <v>101</v>
      </c>
      <c r="AA69" s="2" t="s">
        <v>672</v>
      </c>
      <c r="AB69" s="2" t="s">
        <v>673</v>
      </c>
      <c r="AC69" s="12">
        <f t="shared" si="6"/>
        <v>2012</v>
      </c>
      <c r="AD69" s="12">
        <f t="shared" si="7"/>
        <v>3</v>
      </c>
      <c r="AE69" s="12">
        <f t="shared" si="8"/>
        <v>8</v>
      </c>
      <c r="AF69" s="16">
        <f t="shared" si="9"/>
        <v>7.7</v>
      </c>
      <c r="AG69" s="16" t="str">
        <f t="shared" si="10"/>
        <v/>
      </c>
      <c r="AH69" s="16">
        <f t="shared" si="11"/>
        <v>10.1</v>
      </c>
    </row>
    <row r="70" spans="1:34" x14ac:dyDescent="0.35">
      <c r="A70" s="2" t="s">
        <v>732</v>
      </c>
      <c r="B70" s="2" t="s">
        <v>29</v>
      </c>
      <c r="C70" s="2" t="s">
        <v>49</v>
      </c>
      <c r="D70" s="2" t="s">
        <v>596</v>
      </c>
      <c r="E70" s="2" t="s">
        <v>30</v>
      </c>
      <c r="F70" s="2" t="s">
        <v>152</v>
      </c>
      <c r="G70" s="2" t="s">
        <v>34</v>
      </c>
      <c r="H70" s="2" t="s">
        <v>379</v>
      </c>
      <c r="I70" s="2" t="s">
        <v>37</v>
      </c>
      <c r="J70" s="2" t="s">
        <v>142</v>
      </c>
      <c r="K70" s="2" t="s">
        <v>38</v>
      </c>
      <c r="L70" s="2" t="s">
        <v>38</v>
      </c>
      <c r="M70" s="2" t="s">
        <v>39</v>
      </c>
      <c r="N70" s="2" t="s">
        <v>38</v>
      </c>
      <c r="O70" s="2" t="s">
        <v>38</v>
      </c>
      <c r="P70" s="2" t="s">
        <v>38</v>
      </c>
      <c r="Q70" s="2" t="s">
        <v>738</v>
      </c>
      <c r="R70" s="2" t="s">
        <v>98</v>
      </c>
      <c r="S70" s="2" t="s">
        <v>89</v>
      </c>
      <c r="T70" s="2" t="s">
        <v>90</v>
      </c>
      <c r="U70" s="2" t="s">
        <v>598</v>
      </c>
      <c r="V70" s="2" t="s">
        <v>318</v>
      </c>
      <c r="W70" s="2" t="s">
        <v>38</v>
      </c>
      <c r="X70" s="3">
        <v>40977</v>
      </c>
      <c r="Y70" s="2" t="s">
        <v>739</v>
      </c>
      <c r="Z70" s="5">
        <v>106</v>
      </c>
      <c r="AA70" s="2" t="s">
        <v>672</v>
      </c>
      <c r="AB70" s="2" t="s">
        <v>673</v>
      </c>
      <c r="AC70" s="12">
        <f t="shared" si="6"/>
        <v>2012</v>
      </c>
      <c r="AD70" s="12">
        <f t="shared" si="7"/>
        <v>3</v>
      </c>
      <c r="AE70" s="12">
        <f t="shared" si="8"/>
        <v>9</v>
      </c>
      <c r="AF70" s="16">
        <f t="shared" si="9"/>
        <v>12</v>
      </c>
      <c r="AG70" s="16" t="str">
        <f t="shared" si="10"/>
        <v/>
      </c>
      <c r="AH70" s="16">
        <f t="shared" si="11"/>
        <v>10.6</v>
      </c>
    </row>
    <row r="71" spans="1:34" x14ac:dyDescent="0.35">
      <c r="A71" s="2" t="s">
        <v>740</v>
      </c>
      <c r="B71" s="2" t="s">
        <v>29</v>
      </c>
      <c r="C71" s="2" t="s">
        <v>49</v>
      </c>
      <c r="D71" s="2" t="s">
        <v>596</v>
      </c>
      <c r="E71" s="2" t="s">
        <v>112</v>
      </c>
      <c r="F71" s="2" t="s">
        <v>424</v>
      </c>
      <c r="G71" s="2" t="s">
        <v>34</v>
      </c>
      <c r="H71" s="2" t="s">
        <v>451</v>
      </c>
      <c r="I71" s="2" t="s">
        <v>37</v>
      </c>
      <c r="J71" s="2" t="s">
        <v>112</v>
      </c>
      <c r="K71" s="2" t="s">
        <v>38</v>
      </c>
      <c r="L71" s="2" t="s">
        <v>38</v>
      </c>
      <c r="M71" s="2" t="s">
        <v>39</v>
      </c>
      <c r="N71" s="2" t="s">
        <v>38</v>
      </c>
      <c r="O71" s="2" t="s">
        <v>38</v>
      </c>
      <c r="P71" s="2" t="s">
        <v>38</v>
      </c>
      <c r="Q71" s="2" t="s">
        <v>727</v>
      </c>
      <c r="R71" s="2" t="s">
        <v>98</v>
      </c>
      <c r="S71" s="2" t="s">
        <v>89</v>
      </c>
      <c r="T71" s="2" t="s">
        <v>90</v>
      </c>
      <c r="U71" s="2" t="s">
        <v>639</v>
      </c>
      <c r="V71" s="2" t="s">
        <v>471</v>
      </c>
      <c r="W71" s="2" t="s">
        <v>38</v>
      </c>
      <c r="X71" s="3">
        <v>40978</v>
      </c>
      <c r="Y71" s="2" t="s">
        <v>741</v>
      </c>
      <c r="Z71" s="35">
        <v>101</v>
      </c>
      <c r="AA71" s="2" t="s">
        <v>672</v>
      </c>
      <c r="AB71" s="2" t="s">
        <v>673</v>
      </c>
      <c r="AC71" s="12">
        <f t="shared" si="6"/>
        <v>2012</v>
      </c>
      <c r="AD71" s="12">
        <f t="shared" si="7"/>
        <v>3</v>
      </c>
      <c r="AE71" s="12">
        <f t="shared" si="8"/>
        <v>10</v>
      </c>
      <c r="AF71" s="16">
        <f t="shared" si="9"/>
        <v>10.3</v>
      </c>
      <c r="AG71" s="16" t="str">
        <f t="shared" si="10"/>
        <v/>
      </c>
      <c r="AH71" s="16">
        <f t="shared" si="11"/>
        <v>10.1</v>
      </c>
    </row>
    <row r="72" spans="1:34" x14ac:dyDescent="0.35">
      <c r="A72" s="2" t="s">
        <v>746</v>
      </c>
      <c r="B72" s="2" t="s">
        <v>29</v>
      </c>
      <c r="C72" s="2" t="s">
        <v>49</v>
      </c>
      <c r="D72" s="2" t="s">
        <v>50</v>
      </c>
      <c r="E72" s="2" t="s">
        <v>165</v>
      </c>
      <c r="F72" s="2" t="s">
        <v>747</v>
      </c>
      <c r="G72" s="2" t="s">
        <v>106</v>
      </c>
      <c r="H72" s="2" t="s">
        <v>331</v>
      </c>
      <c r="I72" s="2" t="s">
        <v>37</v>
      </c>
      <c r="J72" s="2" t="s">
        <v>30</v>
      </c>
      <c r="K72" s="2" t="s">
        <v>38</v>
      </c>
      <c r="L72" s="2" t="s">
        <v>38</v>
      </c>
      <c r="M72" s="2" t="s">
        <v>39</v>
      </c>
      <c r="N72" s="2" t="s">
        <v>38</v>
      </c>
      <c r="O72" s="2" t="s">
        <v>38</v>
      </c>
      <c r="P72" s="2" t="s">
        <v>38</v>
      </c>
      <c r="Q72" s="2" t="s">
        <v>748</v>
      </c>
      <c r="R72" s="2" t="s">
        <v>71</v>
      </c>
      <c r="S72" s="2" t="s">
        <v>749</v>
      </c>
      <c r="T72" s="2" t="s">
        <v>90</v>
      </c>
      <c r="U72" s="2" t="s">
        <v>701</v>
      </c>
      <c r="V72" s="2" t="s">
        <v>185</v>
      </c>
      <c r="W72" s="2" t="s">
        <v>38</v>
      </c>
      <c r="X72" s="3">
        <v>40979</v>
      </c>
      <c r="Y72" s="2" t="s">
        <v>750</v>
      </c>
      <c r="Z72" s="5">
        <v>123</v>
      </c>
      <c r="AA72" s="2" t="s">
        <v>672</v>
      </c>
      <c r="AB72" s="2" t="s">
        <v>673</v>
      </c>
      <c r="AC72" s="12">
        <f t="shared" si="6"/>
        <v>2012</v>
      </c>
      <c r="AD72" s="12">
        <f t="shared" si="7"/>
        <v>3</v>
      </c>
      <c r="AE72" s="12">
        <f t="shared" si="8"/>
        <v>11</v>
      </c>
      <c r="AF72" s="16">
        <f t="shared" si="9"/>
        <v>8.6999999999999993</v>
      </c>
      <c r="AG72" s="16" t="str">
        <f t="shared" si="10"/>
        <v/>
      </c>
      <c r="AH72" s="16">
        <f t="shared" si="11"/>
        <v>12.3</v>
      </c>
    </row>
    <row r="73" spans="1:34" x14ac:dyDescent="0.35">
      <c r="A73" s="2" t="s">
        <v>753</v>
      </c>
      <c r="B73" s="2" t="s">
        <v>29</v>
      </c>
      <c r="C73" s="2" t="s">
        <v>49</v>
      </c>
      <c r="D73" s="2" t="s">
        <v>50</v>
      </c>
      <c r="E73" s="2" t="s">
        <v>511</v>
      </c>
      <c r="F73" s="2" t="s">
        <v>756</v>
      </c>
      <c r="G73" s="2" t="s">
        <v>34</v>
      </c>
      <c r="H73" s="2" t="s">
        <v>757</v>
      </c>
      <c r="I73" s="2" t="s">
        <v>37</v>
      </c>
      <c r="J73" s="2" t="s">
        <v>94</v>
      </c>
      <c r="K73" s="2" t="s">
        <v>38</v>
      </c>
      <c r="L73" s="2" t="s">
        <v>38</v>
      </c>
      <c r="M73" s="2" t="s">
        <v>39</v>
      </c>
      <c r="N73" s="2" t="s">
        <v>38</v>
      </c>
      <c r="O73" s="2" t="s">
        <v>38</v>
      </c>
      <c r="P73" s="2" t="s">
        <v>38</v>
      </c>
      <c r="Q73" s="2" t="s">
        <v>758</v>
      </c>
      <c r="R73" s="2" t="s">
        <v>759</v>
      </c>
      <c r="S73" s="2" t="s">
        <v>503</v>
      </c>
      <c r="T73" s="2" t="s">
        <v>760</v>
      </c>
      <c r="U73" s="2" t="s">
        <v>761</v>
      </c>
      <c r="V73" s="2" t="s">
        <v>623</v>
      </c>
      <c r="W73" s="2" t="s">
        <v>38</v>
      </c>
      <c r="X73" s="3">
        <v>40980</v>
      </c>
      <c r="Y73" s="2" t="s">
        <v>762</v>
      </c>
      <c r="Z73" s="35">
        <v>143</v>
      </c>
      <c r="AA73" s="2" t="s">
        <v>672</v>
      </c>
      <c r="AB73" s="2" t="s">
        <v>673</v>
      </c>
      <c r="AC73" s="12">
        <f t="shared" si="6"/>
        <v>2012</v>
      </c>
      <c r="AD73" s="12">
        <f t="shared" si="7"/>
        <v>3</v>
      </c>
      <c r="AE73" s="12">
        <f t="shared" si="8"/>
        <v>12</v>
      </c>
      <c r="AF73" s="16">
        <f t="shared" si="9"/>
        <v>4.4000000000000004</v>
      </c>
      <c r="AG73" s="16" t="str">
        <f t="shared" si="10"/>
        <v/>
      </c>
      <c r="AH73" s="16">
        <f t="shared" si="11"/>
        <v>14.3</v>
      </c>
    </row>
    <row r="74" spans="1:34" x14ac:dyDescent="0.35">
      <c r="A74" s="2" t="s">
        <v>763</v>
      </c>
      <c r="B74" s="2" t="s">
        <v>29</v>
      </c>
      <c r="C74" s="2" t="s">
        <v>49</v>
      </c>
      <c r="D74" s="2" t="s">
        <v>714</v>
      </c>
      <c r="E74" s="2" t="s">
        <v>142</v>
      </c>
      <c r="F74" s="2" t="s">
        <v>67</v>
      </c>
      <c r="G74" s="2" t="s">
        <v>106</v>
      </c>
      <c r="H74" s="2" t="s">
        <v>127</v>
      </c>
      <c r="I74" s="2" t="s">
        <v>37</v>
      </c>
      <c r="J74" s="2" t="s">
        <v>104</v>
      </c>
      <c r="K74" s="2" t="s">
        <v>38</v>
      </c>
      <c r="L74" s="2" t="s">
        <v>38</v>
      </c>
      <c r="M74" s="2" t="s">
        <v>39</v>
      </c>
      <c r="N74" s="2" t="s">
        <v>38</v>
      </c>
      <c r="O74" s="2" t="s">
        <v>38</v>
      </c>
      <c r="P74" s="2" t="s">
        <v>38</v>
      </c>
      <c r="Q74" s="2" t="s">
        <v>605</v>
      </c>
      <c r="R74" s="2" t="s">
        <v>71</v>
      </c>
      <c r="S74" s="2" t="s">
        <v>89</v>
      </c>
      <c r="T74" s="2" t="s">
        <v>90</v>
      </c>
      <c r="U74" s="2" t="s">
        <v>716</v>
      </c>
      <c r="V74" s="2" t="s">
        <v>197</v>
      </c>
      <c r="W74" s="2" t="s">
        <v>38</v>
      </c>
      <c r="X74" s="3">
        <v>40981</v>
      </c>
      <c r="Y74" s="2" t="s">
        <v>764</v>
      </c>
      <c r="Z74" s="5">
        <v>128</v>
      </c>
      <c r="AA74" s="2" t="s">
        <v>672</v>
      </c>
      <c r="AB74" s="2" t="s">
        <v>673</v>
      </c>
      <c r="AC74" s="12">
        <f t="shared" si="6"/>
        <v>2012</v>
      </c>
      <c r="AD74" s="12">
        <f t="shared" si="7"/>
        <v>3</v>
      </c>
      <c r="AE74" s="12">
        <f t="shared" si="8"/>
        <v>13</v>
      </c>
      <c r="AF74" s="16">
        <f t="shared" si="9"/>
        <v>10.6</v>
      </c>
      <c r="AG74" s="16" t="str">
        <f t="shared" si="10"/>
        <v/>
      </c>
      <c r="AH74" s="16">
        <f t="shared" si="11"/>
        <v>12.8</v>
      </c>
    </row>
    <row r="75" spans="1:34" x14ac:dyDescent="0.35">
      <c r="A75" s="2" t="s">
        <v>768</v>
      </c>
      <c r="B75" s="2" t="s">
        <v>29</v>
      </c>
      <c r="C75" s="2" t="s">
        <v>49</v>
      </c>
      <c r="D75" s="2" t="s">
        <v>714</v>
      </c>
      <c r="E75" s="2" t="s">
        <v>112</v>
      </c>
      <c r="F75" s="2" t="s">
        <v>769</v>
      </c>
      <c r="G75" s="2" t="s">
        <v>34</v>
      </c>
      <c r="H75" s="2" t="s">
        <v>342</v>
      </c>
      <c r="I75" s="2" t="s">
        <v>37</v>
      </c>
      <c r="J75" s="2" t="s">
        <v>104</v>
      </c>
      <c r="K75" s="2" t="s">
        <v>38</v>
      </c>
      <c r="L75" s="2" t="s">
        <v>38</v>
      </c>
      <c r="M75" s="2" t="s">
        <v>39</v>
      </c>
      <c r="N75" s="2" t="s">
        <v>38</v>
      </c>
      <c r="O75" s="2" t="s">
        <v>38</v>
      </c>
      <c r="P75" s="2" t="s">
        <v>38</v>
      </c>
      <c r="Q75" s="2" t="s">
        <v>616</v>
      </c>
      <c r="R75" s="2" t="s">
        <v>98</v>
      </c>
      <c r="S75" s="2" t="s">
        <v>89</v>
      </c>
      <c r="T75" s="2" t="s">
        <v>90</v>
      </c>
      <c r="U75" s="2" t="s">
        <v>770</v>
      </c>
      <c r="V75" s="2" t="s">
        <v>169</v>
      </c>
      <c r="W75" s="2" t="s">
        <v>38</v>
      </c>
      <c r="X75" s="3">
        <v>40982</v>
      </c>
      <c r="Y75" s="2" t="s">
        <v>771</v>
      </c>
      <c r="Z75" s="35">
        <v>129</v>
      </c>
      <c r="AA75" s="2" t="s">
        <v>672</v>
      </c>
      <c r="AB75" s="2" t="s">
        <v>673</v>
      </c>
      <c r="AC75" s="12">
        <f t="shared" si="6"/>
        <v>2012</v>
      </c>
      <c r="AD75" s="12">
        <f t="shared" si="7"/>
        <v>3</v>
      </c>
      <c r="AE75" s="12">
        <f t="shared" si="8"/>
        <v>14</v>
      </c>
      <c r="AF75" s="16">
        <f t="shared" si="9"/>
        <v>10</v>
      </c>
      <c r="AG75" s="16" t="str">
        <f t="shared" si="10"/>
        <v/>
      </c>
      <c r="AH75" s="16">
        <f t="shared" si="11"/>
        <v>12.9</v>
      </c>
    </row>
    <row r="76" spans="1:34" x14ac:dyDescent="0.35">
      <c r="A76" s="2" t="s">
        <v>773</v>
      </c>
      <c r="B76" s="2" t="s">
        <v>29</v>
      </c>
      <c r="C76" s="2" t="s">
        <v>49</v>
      </c>
      <c r="D76" s="2" t="s">
        <v>214</v>
      </c>
      <c r="E76" s="2" t="s">
        <v>112</v>
      </c>
      <c r="F76" s="2" t="s">
        <v>777</v>
      </c>
      <c r="G76" s="2" t="s">
        <v>106</v>
      </c>
      <c r="H76" s="2" t="s">
        <v>246</v>
      </c>
      <c r="I76" s="2" t="s">
        <v>37</v>
      </c>
      <c r="J76" s="2" t="s">
        <v>104</v>
      </c>
      <c r="K76" s="2" t="s">
        <v>38</v>
      </c>
      <c r="L76" s="2" t="s">
        <v>38</v>
      </c>
      <c r="M76" s="2" t="s">
        <v>39</v>
      </c>
      <c r="N76" s="2" t="s">
        <v>38</v>
      </c>
      <c r="O76" s="2" t="s">
        <v>38</v>
      </c>
      <c r="P76" s="2" t="s">
        <v>38</v>
      </c>
      <c r="Q76" s="2" t="s">
        <v>367</v>
      </c>
      <c r="R76" s="2" t="s">
        <v>71</v>
      </c>
      <c r="S76" s="2" t="s">
        <v>89</v>
      </c>
      <c r="T76" s="2" t="s">
        <v>90</v>
      </c>
      <c r="U76" s="2" t="s">
        <v>778</v>
      </c>
      <c r="V76" s="2" t="s">
        <v>471</v>
      </c>
      <c r="W76" s="2" t="s">
        <v>38</v>
      </c>
      <c r="X76" s="3">
        <v>40983</v>
      </c>
      <c r="Y76" s="2" t="s">
        <v>779</v>
      </c>
      <c r="Z76" s="5">
        <v>135</v>
      </c>
      <c r="AA76" s="2" t="s">
        <v>672</v>
      </c>
      <c r="AB76" s="2" t="s">
        <v>673</v>
      </c>
      <c r="AC76" s="12">
        <f t="shared" si="6"/>
        <v>2012</v>
      </c>
      <c r="AD76" s="12">
        <f t="shared" si="7"/>
        <v>3</v>
      </c>
      <c r="AE76" s="12">
        <f t="shared" si="8"/>
        <v>15</v>
      </c>
      <c r="AF76" s="16">
        <f t="shared" si="9"/>
        <v>10.3</v>
      </c>
      <c r="AG76" s="16" t="str">
        <f t="shared" si="10"/>
        <v/>
      </c>
      <c r="AH76" s="16">
        <f t="shared" si="11"/>
        <v>13.5</v>
      </c>
    </row>
    <row r="77" spans="1:34" x14ac:dyDescent="0.35">
      <c r="A77" s="2" t="s">
        <v>780</v>
      </c>
      <c r="B77" s="2" t="s">
        <v>29</v>
      </c>
      <c r="C77" s="2" t="s">
        <v>49</v>
      </c>
      <c r="D77" s="2" t="s">
        <v>306</v>
      </c>
      <c r="E77" s="2" t="s">
        <v>30</v>
      </c>
      <c r="F77" s="2" t="s">
        <v>777</v>
      </c>
      <c r="G77" s="2" t="s">
        <v>106</v>
      </c>
      <c r="H77" s="2" t="s">
        <v>371</v>
      </c>
      <c r="I77" s="2" t="s">
        <v>37</v>
      </c>
      <c r="J77" s="2" t="s">
        <v>94</v>
      </c>
      <c r="K77" s="2" t="s">
        <v>38</v>
      </c>
      <c r="L77" s="2" t="s">
        <v>38</v>
      </c>
      <c r="M77" s="2" t="s">
        <v>39</v>
      </c>
      <c r="N77" s="2" t="s">
        <v>38</v>
      </c>
      <c r="O77" s="2" t="s">
        <v>38</v>
      </c>
      <c r="P77" s="2" t="s">
        <v>38</v>
      </c>
      <c r="Q77" s="2" t="s">
        <v>781</v>
      </c>
      <c r="R77" s="2" t="s">
        <v>71</v>
      </c>
      <c r="S77" s="2" t="s">
        <v>89</v>
      </c>
      <c r="T77" s="2" t="s">
        <v>90</v>
      </c>
      <c r="U77" s="2" t="s">
        <v>782</v>
      </c>
      <c r="V77" s="2" t="s">
        <v>783</v>
      </c>
      <c r="W77" s="2" t="s">
        <v>38</v>
      </c>
      <c r="X77" s="3">
        <v>40984</v>
      </c>
      <c r="Y77" s="2" t="s">
        <v>784</v>
      </c>
      <c r="Z77" s="35">
        <v>144</v>
      </c>
      <c r="AA77" s="2" t="s">
        <v>672</v>
      </c>
      <c r="AB77" s="2" t="s">
        <v>673</v>
      </c>
      <c r="AC77" s="12">
        <f t="shared" si="6"/>
        <v>2012</v>
      </c>
      <c r="AD77" s="12">
        <f t="shared" si="7"/>
        <v>3</v>
      </c>
      <c r="AE77" s="12">
        <f t="shared" si="8"/>
        <v>16</v>
      </c>
      <c r="AF77" s="16">
        <f t="shared" si="9"/>
        <v>11.6</v>
      </c>
      <c r="AG77" s="16" t="str">
        <f t="shared" si="10"/>
        <v/>
      </c>
      <c r="AH77" s="16">
        <f t="shared" si="11"/>
        <v>14.4</v>
      </c>
    </row>
    <row r="78" spans="1:34" x14ac:dyDescent="0.35">
      <c r="A78" s="2" t="s">
        <v>789</v>
      </c>
      <c r="B78" s="2" t="s">
        <v>29</v>
      </c>
      <c r="C78" s="2" t="s">
        <v>49</v>
      </c>
      <c r="D78" s="2" t="s">
        <v>214</v>
      </c>
      <c r="E78" s="2" t="s">
        <v>142</v>
      </c>
      <c r="F78" s="2" t="s">
        <v>223</v>
      </c>
      <c r="G78" s="2" t="s">
        <v>106</v>
      </c>
      <c r="H78" s="2" t="s">
        <v>258</v>
      </c>
      <c r="I78" s="2" t="s">
        <v>37</v>
      </c>
      <c r="J78" s="2" t="s">
        <v>66</v>
      </c>
      <c r="K78" s="2" t="s">
        <v>38</v>
      </c>
      <c r="L78" s="2" t="s">
        <v>38</v>
      </c>
      <c r="M78" s="2" t="s">
        <v>39</v>
      </c>
      <c r="N78" s="2" t="s">
        <v>38</v>
      </c>
      <c r="O78" s="2" t="s">
        <v>38</v>
      </c>
      <c r="P78" s="2" t="s">
        <v>38</v>
      </c>
      <c r="Q78" s="2" t="s">
        <v>580</v>
      </c>
      <c r="R78" s="2" t="s">
        <v>71</v>
      </c>
      <c r="S78" s="2" t="s">
        <v>89</v>
      </c>
      <c r="T78" s="2" t="s">
        <v>90</v>
      </c>
      <c r="U78" s="2" t="s">
        <v>796</v>
      </c>
      <c r="V78" s="2" t="s">
        <v>284</v>
      </c>
      <c r="W78" s="2" t="s">
        <v>38</v>
      </c>
      <c r="X78" s="3">
        <v>40985</v>
      </c>
      <c r="Y78" s="2" t="s">
        <v>797</v>
      </c>
      <c r="Z78" s="5">
        <v>148</v>
      </c>
      <c r="AA78" s="2" t="s">
        <v>672</v>
      </c>
      <c r="AB78" s="2" t="s">
        <v>673</v>
      </c>
      <c r="AC78" s="12">
        <f t="shared" si="6"/>
        <v>2012</v>
      </c>
      <c r="AD78" s="12">
        <f t="shared" si="7"/>
        <v>3</v>
      </c>
      <c r="AE78" s="12">
        <f t="shared" si="8"/>
        <v>17</v>
      </c>
      <c r="AF78" s="16">
        <f t="shared" si="9"/>
        <v>10.5</v>
      </c>
      <c r="AG78" s="16" t="str">
        <f t="shared" si="10"/>
        <v/>
      </c>
      <c r="AH78" s="16">
        <f t="shared" si="11"/>
        <v>14.8</v>
      </c>
    </row>
    <row r="79" spans="1:34" x14ac:dyDescent="0.35">
      <c r="A79" s="2" t="s">
        <v>798</v>
      </c>
      <c r="B79" s="2" t="s">
        <v>29</v>
      </c>
      <c r="C79" s="2" t="s">
        <v>49</v>
      </c>
      <c r="D79" s="2" t="s">
        <v>214</v>
      </c>
      <c r="E79" s="2" t="s">
        <v>112</v>
      </c>
      <c r="F79" s="2" t="s">
        <v>313</v>
      </c>
      <c r="G79" s="2" t="s">
        <v>34</v>
      </c>
      <c r="H79" s="2" t="s">
        <v>79</v>
      </c>
      <c r="I79" s="2" t="s">
        <v>37</v>
      </c>
      <c r="J79" s="2" t="s">
        <v>66</v>
      </c>
      <c r="K79" s="2" t="s">
        <v>38</v>
      </c>
      <c r="L79" s="2" t="s">
        <v>38</v>
      </c>
      <c r="M79" s="2" t="s">
        <v>39</v>
      </c>
      <c r="N79" s="2" t="s">
        <v>38</v>
      </c>
      <c r="O79" s="2" t="s">
        <v>38</v>
      </c>
      <c r="P79" s="2" t="s">
        <v>38</v>
      </c>
      <c r="Q79" s="2" t="s">
        <v>580</v>
      </c>
      <c r="R79" s="2" t="s">
        <v>98</v>
      </c>
      <c r="S79" s="2" t="s">
        <v>89</v>
      </c>
      <c r="T79" s="2" t="s">
        <v>90</v>
      </c>
      <c r="U79" s="2" t="s">
        <v>778</v>
      </c>
      <c r="V79" s="2" t="s">
        <v>228</v>
      </c>
      <c r="W79" s="2" t="s">
        <v>38</v>
      </c>
      <c r="X79" s="3">
        <v>40986</v>
      </c>
      <c r="Y79" s="2" t="s">
        <v>799</v>
      </c>
      <c r="Z79" s="35">
        <v>148</v>
      </c>
      <c r="AA79" s="2" t="s">
        <v>672</v>
      </c>
      <c r="AB79" s="2" t="s">
        <v>673</v>
      </c>
      <c r="AC79" s="12">
        <f t="shared" si="6"/>
        <v>2012</v>
      </c>
      <c r="AD79" s="12">
        <f t="shared" si="7"/>
        <v>3</v>
      </c>
      <c r="AE79" s="12">
        <f t="shared" si="8"/>
        <v>18</v>
      </c>
      <c r="AF79" s="16">
        <f t="shared" si="9"/>
        <v>9.8000000000000007</v>
      </c>
      <c r="AG79" s="16" t="str">
        <f t="shared" si="10"/>
        <v/>
      </c>
      <c r="AH79" s="16">
        <f t="shared" si="11"/>
        <v>14.8</v>
      </c>
    </row>
    <row r="80" spans="1:34" x14ac:dyDescent="0.35">
      <c r="A80" s="2" t="s">
        <v>803</v>
      </c>
      <c r="B80" s="2" t="s">
        <v>29</v>
      </c>
      <c r="C80" s="2" t="s">
        <v>49</v>
      </c>
      <c r="D80" s="2" t="s">
        <v>214</v>
      </c>
      <c r="E80" s="2" t="s">
        <v>410</v>
      </c>
      <c r="F80" s="2" t="s">
        <v>807</v>
      </c>
      <c r="G80" s="2" t="s">
        <v>86</v>
      </c>
      <c r="H80" s="2" t="s">
        <v>379</v>
      </c>
      <c r="I80" s="2" t="s">
        <v>37</v>
      </c>
      <c r="J80" s="2" t="s">
        <v>94</v>
      </c>
      <c r="K80" s="2" t="s">
        <v>38</v>
      </c>
      <c r="L80" s="2" t="s">
        <v>38</v>
      </c>
      <c r="M80" s="2" t="s">
        <v>39</v>
      </c>
      <c r="N80" s="2" t="s">
        <v>38</v>
      </c>
      <c r="O80" s="2" t="s">
        <v>38</v>
      </c>
      <c r="P80" s="2" t="s">
        <v>38</v>
      </c>
      <c r="Q80" s="2" t="s">
        <v>758</v>
      </c>
      <c r="R80" s="2" t="s">
        <v>71</v>
      </c>
      <c r="S80" s="2" t="s">
        <v>89</v>
      </c>
      <c r="T80" s="2" t="s">
        <v>90</v>
      </c>
      <c r="U80" s="2" t="s">
        <v>219</v>
      </c>
      <c r="V80" s="2" t="s">
        <v>413</v>
      </c>
      <c r="W80" s="2" t="s">
        <v>38</v>
      </c>
      <c r="X80" s="3">
        <v>40987</v>
      </c>
      <c r="Y80" s="2" t="s">
        <v>808</v>
      </c>
      <c r="Z80" s="5">
        <v>143</v>
      </c>
      <c r="AA80" s="2" t="s">
        <v>672</v>
      </c>
      <c r="AB80" s="2" t="s">
        <v>673</v>
      </c>
      <c r="AC80" s="12">
        <f t="shared" si="6"/>
        <v>2012</v>
      </c>
      <c r="AD80" s="12">
        <f t="shared" si="7"/>
        <v>3</v>
      </c>
      <c r="AE80" s="12">
        <f t="shared" si="8"/>
        <v>19</v>
      </c>
      <c r="AF80" s="16">
        <f t="shared" si="9"/>
        <v>9.5</v>
      </c>
      <c r="AG80" s="16" t="str">
        <f t="shared" si="10"/>
        <v/>
      </c>
      <c r="AH80" s="16">
        <f t="shared" si="11"/>
        <v>14.3</v>
      </c>
    </row>
    <row r="81" spans="1:34" x14ac:dyDescent="0.35">
      <c r="A81" s="2" t="s">
        <v>809</v>
      </c>
      <c r="B81" s="2" t="s">
        <v>29</v>
      </c>
      <c r="C81" s="2" t="s">
        <v>49</v>
      </c>
      <c r="D81" s="2" t="s">
        <v>200</v>
      </c>
      <c r="E81" s="2" t="s">
        <v>112</v>
      </c>
      <c r="F81" s="2" t="s">
        <v>810</v>
      </c>
      <c r="G81" s="2" t="s">
        <v>106</v>
      </c>
      <c r="H81" s="2" t="s">
        <v>734</v>
      </c>
      <c r="I81" s="2" t="s">
        <v>37</v>
      </c>
      <c r="J81" s="2" t="s">
        <v>66</v>
      </c>
      <c r="K81" s="2" t="s">
        <v>38</v>
      </c>
      <c r="L81" s="2" t="s">
        <v>38</v>
      </c>
      <c r="M81" s="2" t="s">
        <v>39</v>
      </c>
      <c r="N81" s="2" t="s">
        <v>38</v>
      </c>
      <c r="O81" s="2" t="s">
        <v>38</v>
      </c>
      <c r="P81" s="2" t="s">
        <v>38</v>
      </c>
      <c r="Q81" s="2" t="s">
        <v>589</v>
      </c>
      <c r="R81" s="2" t="s">
        <v>71</v>
      </c>
      <c r="S81" s="2" t="s">
        <v>89</v>
      </c>
      <c r="T81" s="2" t="s">
        <v>90</v>
      </c>
      <c r="U81" s="2" t="s">
        <v>303</v>
      </c>
      <c r="V81" s="2" t="s">
        <v>471</v>
      </c>
      <c r="W81" s="2" t="s">
        <v>38</v>
      </c>
      <c r="X81" s="3">
        <v>40988</v>
      </c>
      <c r="Y81" s="2" t="s">
        <v>811</v>
      </c>
      <c r="Z81" s="35">
        <v>146</v>
      </c>
      <c r="AA81" s="2" t="s">
        <v>672</v>
      </c>
      <c r="AB81" s="2" t="s">
        <v>673</v>
      </c>
      <c r="AC81" s="12">
        <f t="shared" si="6"/>
        <v>2012</v>
      </c>
      <c r="AD81" s="12">
        <f t="shared" si="7"/>
        <v>3</v>
      </c>
      <c r="AE81" s="12">
        <f t="shared" si="8"/>
        <v>20</v>
      </c>
      <c r="AF81" s="16">
        <f t="shared" si="9"/>
        <v>10.3</v>
      </c>
      <c r="AG81" s="16" t="str">
        <f t="shared" si="10"/>
        <v/>
      </c>
      <c r="AH81" s="16">
        <f t="shared" si="11"/>
        <v>14.6</v>
      </c>
    </row>
    <row r="82" spans="1:34" x14ac:dyDescent="0.35">
      <c r="A82" s="2" t="s">
        <v>817</v>
      </c>
      <c r="B82" s="2" t="s">
        <v>29</v>
      </c>
      <c r="C82" s="2" t="s">
        <v>49</v>
      </c>
      <c r="D82" s="2" t="s">
        <v>187</v>
      </c>
      <c r="E82" s="2" t="s">
        <v>104</v>
      </c>
      <c r="F82" s="2" t="s">
        <v>201</v>
      </c>
      <c r="G82" s="2" t="s">
        <v>106</v>
      </c>
      <c r="H82" s="2" t="s">
        <v>451</v>
      </c>
      <c r="I82" s="2" t="s">
        <v>37</v>
      </c>
      <c r="J82" s="2" t="s">
        <v>32</v>
      </c>
      <c r="K82" s="2" t="s">
        <v>38</v>
      </c>
      <c r="L82" s="2" t="s">
        <v>38</v>
      </c>
      <c r="M82" s="2" t="s">
        <v>39</v>
      </c>
      <c r="N82" s="2" t="s">
        <v>38</v>
      </c>
      <c r="O82" s="2" t="s">
        <v>38</v>
      </c>
      <c r="P82" s="2" t="s">
        <v>38</v>
      </c>
      <c r="Q82" s="2" t="s">
        <v>823</v>
      </c>
      <c r="R82" s="2" t="s">
        <v>71</v>
      </c>
      <c r="S82" s="2" t="s">
        <v>89</v>
      </c>
      <c r="T82" s="2" t="s">
        <v>90</v>
      </c>
      <c r="U82" s="2" t="s">
        <v>346</v>
      </c>
      <c r="V82" s="2" t="s">
        <v>124</v>
      </c>
      <c r="W82" s="2" t="s">
        <v>38</v>
      </c>
      <c r="X82" s="3">
        <v>40989</v>
      </c>
      <c r="Y82" s="2" t="s">
        <v>824</v>
      </c>
      <c r="Z82" s="5">
        <v>158</v>
      </c>
      <c r="AA82" s="2" t="s">
        <v>672</v>
      </c>
      <c r="AB82" s="2" t="s">
        <v>673</v>
      </c>
      <c r="AC82" s="12">
        <f t="shared" si="6"/>
        <v>2012</v>
      </c>
      <c r="AD82" s="12">
        <f t="shared" si="7"/>
        <v>3</v>
      </c>
      <c r="AE82" s="12">
        <f t="shared" si="8"/>
        <v>21</v>
      </c>
      <c r="AF82" s="16">
        <f t="shared" si="9"/>
        <v>13.5</v>
      </c>
      <c r="AG82" s="16" t="str">
        <f t="shared" si="10"/>
        <v/>
      </c>
      <c r="AH82" s="16">
        <f t="shared" si="11"/>
        <v>15.8</v>
      </c>
    </row>
    <row r="83" spans="1:34" x14ac:dyDescent="0.35">
      <c r="A83" s="2" t="s">
        <v>825</v>
      </c>
      <c r="B83" s="2" t="s">
        <v>29</v>
      </c>
      <c r="C83" s="2" t="s">
        <v>49</v>
      </c>
      <c r="D83" s="2" t="s">
        <v>214</v>
      </c>
      <c r="E83" s="2" t="s">
        <v>30</v>
      </c>
      <c r="F83" s="2" t="s">
        <v>294</v>
      </c>
      <c r="G83" s="2" t="s">
        <v>106</v>
      </c>
      <c r="H83" s="2" t="s">
        <v>96</v>
      </c>
      <c r="I83" s="2" t="s">
        <v>37</v>
      </c>
      <c r="J83" s="2" t="s">
        <v>32</v>
      </c>
      <c r="K83" s="2" t="s">
        <v>38</v>
      </c>
      <c r="L83" s="2" t="s">
        <v>38</v>
      </c>
      <c r="M83" s="2" t="s">
        <v>39</v>
      </c>
      <c r="N83" s="2" t="s">
        <v>38</v>
      </c>
      <c r="O83" s="2" t="s">
        <v>38</v>
      </c>
      <c r="P83" s="2" t="s">
        <v>38</v>
      </c>
      <c r="Q83" s="2" t="s">
        <v>832</v>
      </c>
      <c r="R83" s="2" t="s">
        <v>71</v>
      </c>
      <c r="S83" s="2" t="s">
        <v>89</v>
      </c>
      <c r="T83" s="2" t="s">
        <v>90</v>
      </c>
      <c r="U83" s="2" t="s">
        <v>778</v>
      </c>
      <c r="V83" s="2" t="s">
        <v>783</v>
      </c>
      <c r="W83" s="2" t="s">
        <v>38</v>
      </c>
      <c r="X83" s="3">
        <v>40990</v>
      </c>
      <c r="Y83" s="2" t="s">
        <v>833</v>
      </c>
      <c r="Z83" s="35">
        <v>163</v>
      </c>
      <c r="AA83" s="2" t="s">
        <v>672</v>
      </c>
      <c r="AB83" s="2" t="s">
        <v>673</v>
      </c>
      <c r="AC83" s="12">
        <f t="shared" si="6"/>
        <v>2012</v>
      </c>
      <c r="AD83" s="12">
        <f t="shared" si="7"/>
        <v>3</v>
      </c>
      <c r="AE83" s="12">
        <f t="shared" si="8"/>
        <v>22</v>
      </c>
      <c r="AF83" s="16">
        <f t="shared" si="9"/>
        <v>11.6</v>
      </c>
      <c r="AG83" s="16" t="str">
        <f t="shared" si="10"/>
        <v/>
      </c>
      <c r="AH83" s="16">
        <f t="shared" si="11"/>
        <v>16.3</v>
      </c>
    </row>
    <row r="84" spans="1:34" x14ac:dyDescent="0.35">
      <c r="A84" s="2" t="s">
        <v>834</v>
      </c>
      <c r="B84" s="2" t="s">
        <v>29</v>
      </c>
      <c r="C84" s="2" t="s">
        <v>49</v>
      </c>
      <c r="D84" s="2" t="s">
        <v>187</v>
      </c>
      <c r="E84" s="2" t="s">
        <v>104</v>
      </c>
      <c r="F84" s="2" t="s">
        <v>835</v>
      </c>
      <c r="G84" s="2" t="s">
        <v>106</v>
      </c>
      <c r="H84" s="2" t="s">
        <v>144</v>
      </c>
      <c r="I84" s="2" t="s">
        <v>37</v>
      </c>
      <c r="J84" s="2" t="s">
        <v>32</v>
      </c>
      <c r="K84" s="2" t="s">
        <v>38</v>
      </c>
      <c r="L84" s="2" t="s">
        <v>38</v>
      </c>
      <c r="M84" s="2" t="s">
        <v>39</v>
      </c>
      <c r="N84" s="2" t="s">
        <v>38</v>
      </c>
      <c r="O84" s="2" t="s">
        <v>38</v>
      </c>
      <c r="P84" s="2" t="s">
        <v>38</v>
      </c>
      <c r="Q84" s="2" t="s">
        <v>836</v>
      </c>
      <c r="R84" s="2" t="s">
        <v>71</v>
      </c>
      <c r="S84" s="2" t="s">
        <v>89</v>
      </c>
      <c r="T84" s="2" t="s">
        <v>90</v>
      </c>
      <c r="U84" s="2" t="s">
        <v>346</v>
      </c>
      <c r="V84" s="2" t="s">
        <v>124</v>
      </c>
      <c r="W84" s="2" t="s">
        <v>38</v>
      </c>
      <c r="X84" s="3">
        <v>40991</v>
      </c>
      <c r="Y84" s="2" t="s">
        <v>837</v>
      </c>
      <c r="Z84" s="5">
        <v>164</v>
      </c>
      <c r="AA84" s="2" t="s">
        <v>672</v>
      </c>
      <c r="AB84" s="2" t="s">
        <v>673</v>
      </c>
      <c r="AC84" s="12">
        <f t="shared" si="6"/>
        <v>2012</v>
      </c>
      <c r="AD84" s="12">
        <f t="shared" si="7"/>
        <v>3</v>
      </c>
      <c r="AE84" s="12">
        <f t="shared" si="8"/>
        <v>23</v>
      </c>
      <c r="AF84" s="16">
        <f t="shared" si="9"/>
        <v>13.5</v>
      </c>
      <c r="AG84" s="16" t="str">
        <f t="shared" si="10"/>
        <v/>
      </c>
      <c r="AH84" s="16">
        <f t="shared" si="11"/>
        <v>16.399999999999999</v>
      </c>
    </row>
    <row r="85" spans="1:34" x14ac:dyDescent="0.35">
      <c r="A85" s="2" t="s">
        <v>840</v>
      </c>
      <c r="B85" s="2" t="s">
        <v>29</v>
      </c>
      <c r="C85" s="2" t="s">
        <v>49</v>
      </c>
      <c r="D85" s="2" t="s">
        <v>200</v>
      </c>
      <c r="E85" s="2" t="s">
        <v>104</v>
      </c>
      <c r="F85" s="2" t="s">
        <v>491</v>
      </c>
      <c r="G85" s="2" t="s">
        <v>106</v>
      </c>
      <c r="H85" s="2" t="s">
        <v>121</v>
      </c>
      <c r="I85" s="2" t="s">
        <v>37</v>
      </c>
      <c r="J85" s="2" t="s">
        <v>32</v>
      </c>
      <c r="K85" s="2" t="s">
        <v>38</v>
      </c>
      <c r="L85" s="2" t="s">
        <v>38</v>
      </c>
      <c r="M85" s="2" t="s">
        <v>39</v>
      </c>
      <c r="N85" s="2" t="s">
        <v>38</v>
      </c>
      <c r="O85" s="2" t="s">
        <v>38</v>
      </c>
      <c r="P85" s="2" t="s">
        <v>38</v>
      </c>
      <c r="Q85" s="2" t="s">
        <v>844</v>
      </c>
      <c r="R85" s="2" t="s">
        <v>71</v>
      </c>
      <c r="S85" s="2" t="s">
        <v>89</v>
      </c>
      <c r="T85" s="2" t="s">
        <v>90</v>
      </c>
      <c r="U85" s="2" t="s">
        <v>205</v>
      </c>
      <c r="V85" s="2" t="s">
        <v>845</v>
      </c>
      <c r="W85" s="2" t="s">
        <v>38</v>
      </c>
      <c r="X85" s="3">
        <v>40992</v>
      </c>
      <c r="Y85" s="2" t="s">
        <v>846</v>
      </c>
      <c r="Z85" s="35">
        <v>160</v>
      </c>
      <c r="AA85" s="2" t="s">
        <v>672</v>
      </c>
      <c r="AB85" s="2" t="s">
        <v>673</v>
      </c>
      <c r="AC85" s="12">
        <f t="shared" si="6"/>
        <v>2012</v>
      </c>
      <c r="AD85" s="12">
        <f t="shared" si="7"/>
        <v>3</v>
      </c>
      <c r="AE85" s="12">
        <f t="shared" si="8"/>
        <v>24</v>
      </c>
      <c r="AF85" s="16">
        <f t="shared" si="9"/>
        <v>13.1</v>
      </c>
      <c r="AG85" s="16" t="str">
        <f t="shared" si="10"/>
        <v/>
      </c>
      <c r="AH85" s="16">
        <f t="shared" si="11"/>
        <v>16</v>
      </c>
    </row>
    <row r="86" spans="1:34" x14ac:dyDescent="0.35">
      <c r="A86" s="2" t="s">
        <v>847</v>
      </c>
      <c r="B86" s="2" t="s">
        <v>29</v>
      </c>
      <c r="C86" s="2" t="s">
        <v>49</v>
      </c>
      <c r="D86" s="2" t="s">
        <v>200</v>
      </c>
      <c r="E86" s="2" t="s">
        <v>142</v>
      </c>
      <c r="F86" s="2" t="s">
        <v>615</v>
      </c>
      <c r="G86" s="2" t="s">
        <v>106</v>
      </c>
      <c r="H86" s="2" t="s">
        <v>451</v>
      </c>
      <c r="I86" s="2" t="s">
        <v>37</v>
      </c>
      <c r="J86" s="2" t="s">
        <v>66</v>
      </c>
      <c r="K86" s="2" t="s">
        <v>38</v>
      </c>
      <c r="L86" s="2" t="s">
        <v>38</v>
      </c>
      <c r="M86" s="2" t="s">
        <v>39</v>
      </c>
      <c r="N86" s="2" t="s">
        <v>38</v>
      </c>
      <c r="O86" s="2" t="s">
        <v>38</v>
      </c>
      <c r="P86" s="2" t="s">
        <v>38</v>
      </c>
      <c r="Q86" s="2" t="s">
        <v>70</v>
      </c>
      <c r="R86" s="2" t="s">
        <v>71</v>
      </c>
      <c r="S86" s="2" t="s">
        <v>89</v>
      </c>
      <c r="T86" s="2" t="s">
        <v>90</v>
      </c>
      <c r="U86" s="2" t="s">
        <v>205</v>
      </c>
      <c r="V86" s="2" t="s">
        <v>854</v>
      </c>
      <c r="W86" s="2" t="s">
        <v>38</v>
      </c>
      <c r="X86" s="3">
        <v>40993</v>
      </c>
      <c r="Y86" s="2" t="s">
        <v>855</v>
      </c>
      <c r="Z86" s="5">
        <v>153</v>
      </c>
      <c r="AA86" s="2" t="s">
        <v>672</v>
      </c>
      <c r="AB86" s="2" t="s">
        <v>673</v>
      </c>
      <c r="AC86" s="12">
        <f t="shared" si="6"/>
        <v>2012</v>
      </c>
      <c r="AD86" s="12">
        <f t="shared" si="7"/>
        <v>3</v>
      </c>
      <c r="AE86" s="12">
        <f t="shared" si="8"/>
        <v>25</v>
      </c>
      <c r="AF86" s="16">
        <f t="shared" si="9"/>
        <v>11.5</v>
      </c>
      <c r="AG86" s="16" t="str">
        <f t="shared" si="10"/>
        <v/>
      </c>
      <c r="AH86" s="16">
        <f t="shared" si="11"/>
        <v>15.3</v>
      </c>
    </row>
    <row r="87" spans="1:34" x14ac:dyDescent="0.35">
      <c r="A87" s="2" t="s">
        <v>856</v>
      </c>
      <c r="B87" s="2" t="s">
        <v>29</v>
      </c>
      <c r="C87" s="2" t="s">
        <v>49</v>
      </c>
      <c r="D87" s="2" t="s">
        <v>200</v>
      </c>
      <c r="E87" s="2" t="s">
        <v>30</v>
      </c>
      <c r="F87" s="2" t="s">
        <v>52</v>
      </c>
      <c r="G87" s="2" t="s">
        <v>106</v>
      </c>
      <c r="H87" s="2" t="s">
        <v>202</v>
      </c>
      <c r="I87" s="2" t="s">
        <v>37</v>
      </c>
      <c r="J87" s="2" t="s">
        <v>32</v>
      </c>
      <c r="K87" s="2" t="s">
        <v>38</v>
      </c>
      <c r="L87" s="2" t="s">
        <v>38</v>
      </c>
      <c r="M87" s="2" t="s">
        <v>39</v>
      </c>
      <c r="N87" s="2" t="s">
        <v>38</v>
      </c>
      <c r="O87" s="2" t="s">
        <v>38</v>
      </c>
      <c r="P87" s="2" t="s">
        <v>38</v>
      </c>
      <c r="Q87" s="2" t="s">
        <v>857</v>
      </c>
      <c r="R87" s="2" t="s">
        <v>71</v>
      </c>
      <c r="S87" s="2" t="s">
        <v>159</v>
      </c>
      <c r="T87" s="2" t="s">
        <v>73</v>
      </c>
      <c r="U87" s="2" t="s">
        <v>858</v>
      </c>
      <c r="V87" s="2" t="s">
        <v>859</v>
      </c>
      <c r="W87" s="2" t="s">
        <v>38</v>
      </c>
      <c r="X87" s="3">
        <v>40994</v>
      </c>
      <c r="Y87" s="2" t="s">
        <v>860</v>
      </c>
      <c r="Z87" s="35">
        <v>157</v>
      </c>
      <c r="AA87" s="2" t="s">
        <v>672</v>
      </c>
      <c r="AB87" s="2" t="s">
        <v>673</v>
      </c>
      <c r="AC87" s="12">
        <f t="shared" si="6"/>
        <v>2012</v>
      </c>
      <c r="AD87" s="12">
        <f t="shared" si="7"/>
        <v>3</v>
      </c>
      <c r="AE87" s="12">
        <f t="shared" si="8"/>
        <v>26</v>
      </c>
      <c r="AF87" s="16">
        <f t="shared" si="9"/>
        <v>12.2</v>
      </c>
      <c r="AG87" s="16" t="str">
        <f t="shared" si="10"/>
        <v/>
      </c>
      <c r="AH87" s="16">
        <f t="shared" si="11"/>
        <v>15.7</v>
      </c>
    </row>
    <row r="88" spans="1:34" x14ac:dyDescent="0.35">
      <c r="A88" s="2" t="s">
        <v>867</v>
      </c>
      <c r="B88" s="2" t="s">
        <v>29</v>
      </c>
      <c r="C88" s="2" t="s">
        <v>49</v>
      </c>
      <c r="D88" s="2" t="s">
        <v>200</v>
      </c>
      <c r="E88" s="2" t="s">
        <v>104</v>
      </c>
      <c r="F88" s="2" t="s">
        <v>216</v>
      </c>
      <c r="G88" s="2" t="s">
        <v>86</v>
      </c>
      <c r="H88" s="2" t="s">
        <v>233</v>
      </c>
      <c r="I88" s="2" t="s">
        <v>37</v>
      </c>
      <c r="J88" s="2" t="s">
        <v>51</v>
      </c>
      <c r="K88" s="2" t="s">
        <v>38</v>
      </c>
      <c r="L88" s="2" t="s">
        <v>38</v>
      </c>
      <c r="M88" s="2" t="s">
        <v>39</v>
      </c>
      <c r="N88" s="2" t="s">
        <v>38</v>
      </c>
      <c r="O88" s="2" t="s">
        <v>38</v>
      </c>
      <c r="P88" s="2" t="s">
        <v>38</v>
      </c>
      <c r="Q88" s="2" t="s">
        <v>868</v>
      </c>
      <c r="R88" s="2" t="s">
        <v>71</v>
      </c>
      <c r="S88" s="2" t="s">
        <v>89</v>
      </c>
      <c r="T88" s="2" t="s">
        <v>90</v>
      </c>
      <c r="U88" s="2" t="s">
        <v>869</v>
      </c>
      <c r="V88" s="2" t="s">
        <v>339</v>
      </c>
      <c r="W88" s="2" t="s">
        <v>38</v>
      </c>
      <c r="X88" s="3">
        <v>40995</v>
      </c>
      <c r="Y88" s="2" t="s">
        <v>870</v>
      </c>
      <c r="Z88" s="5">
        <v>167</v>
      </c>
      <c r="AA88" s="2" t="s">
        <v>672</v>
      </c>
      <c r="AB88" s="2" t="s">
        <v>673</v>
      </c>
      <c r="AC88" s="12">
        <f t="shared" si="6"/>
        <v>2012</v>
      </c>
      <c r="AD88" s="12">
        <f t="shared" si="7"/>
        <v>3</v>
      </c>
      <c r="AE88" s="12">
        <f t="shared" si="8"/>
        <v>27</v>
      </c>
      <c r="AF88" s="16">
        <f t="shared" si="9"/>
        <v>12.8</v>
      </c>
      <c r="AG88" s="16" t="str">
        <f t="shared" si="10"/>
        <v/>
      </c>
      <c r="AH88" s="16">
        <f t="shared" si="11"/>
        <v>16.7</v>
      </c>
    </row>
    <row r="89" spans="1:34" x14ac:dyDescent="0.35">
      <c r="A89" s="2" t="s">
        <v>876</v>
      </c>
      <c r="B89" s="2" t="s">
        <v>29</v>
      </c>
      <c r="C89" s="2" t="s">
        <v>49</v>
      </c>
      <c r="D89" s="2" t="s">
        <v>214</v>
      </c>
      <c r="E89" s="2" t="s">
        <v>51</v>
      </c>
      <c r="F89" s="2" t="s">
        <v>879</v>
      </c>
      <c r="G89" s="2" t="s">
        <v>53</v>
      </c>
      <c r="H89" s="2" t="s">
        <v>127</v>
      </c>
      <c r="I89" s="2" t="s">
        <v>37</v>
      </c>
      <c r="J89" s="2" t="s">
        <v>596</v>
      </c>
      <c r="K89" s="2" t="s">
        <v>38</v>
      </c>
      <c r="L89" s="2" t="s">
        <v>38</v>
      </c>
      <c r="M89" s="2" t="s">
        <v>39</v>
      </c>
      <c r="N89" s="2" t="s">
        <v>38</v>
      </c>
      <c r="O89" s="2" t="s">
        <v>38</v>
      </c>
      <c r="P89" s="2" t="s">
        <v>38</v>
      </c>
      <c r="Q89" s="2" t="s">
        <v>880</v>
      </c>
      <c r="R89" s="2" t="s">
        <v>71</v>
      </c>
      <c r="S89" s="2" t="s">
        <v>122</v>
      </c>
      <c r="T89" s="2" t="s">
        <v>73</v>
      </c>
      <c r="U89" s="2" t="s">
        <v>796</v>
      </c>
      <c r="V89" s="2" t="s">
        <v>61</v>
      </c>
      <c r="W89" s="2" t="s">
        <v>38</v>
      </c>
      <c r="X89" s="3">
        <v>40996</v>
      </c>
      <c r="Y89" s="2" t="s">
        <v>881</v>
      </c>
      <c r="Z89" s="35">
        <v>186</v>
      </c>
      <c r="AA89" s="2" t="s">
        <v>672</v>
      </c>
      <c r="AB89" s="2" t="s">
        <v>673</v>
      </c>
      <c r="AC89" s="12">
        <f t="shared" si="6"/>
        <v>2012</v>
      </c>
      <c r="AD89" s="12">
        <f t="shared" si="7"/>
        <v>3</v>
      </c>
      <c r="AE89" s="12">
        <f t="shared" si="8"/>
        <v>28</v>
      </c>
      <c r="AF89" s="16">
        <f t="shared" si="9"/>
        <v>16.8</v>
      </c>
      <c r="AG89" s="16" t="str">
        <f t="shared" si="10"/>
        <v/>
      </c>
      <c r="AH89" s="16">
        <f t="shared" si="11"/>
        <v>18.600000000000001</v>
      </c>
    </row>
    <row r="90" spans="1:34" x14ac:dyDescent="0.35">
      <c r="A90" s="2" t="s">
        <v>882</v>
      </c>
      <c r="B90" s="2" t="s">
        <v>29</v>
      </c>
      <c r="C90" s="2" t="s">
        <v>49</v>
      </c>
      <c r="D90" s="2" t="s">
        <v>187</v>
      </c>
      <c r="E90" s="2" t="s">
        <v>51</v>
      </c>
      <c r="F90" s="2" t="s">
        <v>282</v>
      </c>
      <c r="G90" s="2" t="s">
        <v>106</v>
      </c>
      <c r="H90" s="2" t="s">
        <v>202</v>
      </c>
      <c r="I90" s="2" t="s">
        <v>37</v>
      </c>
      <c r="J90" s="2" t="s">
        <v>579</v>
      </c>
      <c r="K90" s="2" t="s">
        <v>38</v>
      </c>
      <c r="L90" s="2" t="s">
        <v>38</v>
      </c>
      <c r="M90" s="2" t="s">
        <v>39</v>
      </c>
      <c r="N90" s="2" t="s">
        <v>38</v>
      </c>
      <c r="O90" s="2" t="s">
        <v>38</v>
      </c>
      <c r="P90" s="2" t="s">
        <v>38</v>
      </c>
      <c r="Q90" s="2" t="s">
        <v>885</v>
      </c>
      <c r="R90" s="2" t="s">
        <v>71</v>
      </c>
      <c r="S90" s="2" t="s">
        <v>89</v>
      </c>
      <c r="T90" s="2" t="s">
        <v>90</v>
      </c>
      <c r="U90" s="2" t="s">
        <v>253</v>
      </c>
      <c r="V90" s="2" t="s">
        <v>886</v>
      </c>
      <c r="W90" s="2" t="s">
        <v>38</v>
      </c>
      <c r="X90" s="3">
        <v>40997</v>
      </c>
      <c r="Y90" s="2" t="s">
        <v>887</v>
      </c>
      <c r="Z90" s="5">
        <v>197</v>
      </c>
      <c r="AA90" s="2" t="s">
        <v>672</v>
      </c>
      <c r="AB90" s="2" t="s">
        <v>673</v>
      </c>
      <c r="AC90" s="12">
        <f t="shared" si="6"/>
        <v>2012</v>
      </c>
      <c r="AD90" s="12">
        <f t="shared" si="7"/>
        <v>3</v>
      </c>
      <c r="AE90" s="12">
        <f t="shared" si="8"/>
        <v>29</v>
      </c>
      <c r="AF90" s="16">
        <f t="shared" si="9"/>
        <v>16.7</v>
      </c>
      <c r="AG90" s="16" t="str">
        <f t="shared" si="10"/>
        <v/>
      </c>
      <c r="AH90" s="16">
        <f t="shared" si="11"/>
        <v>19.7</v>
      </c>
    </row>
    <row r="91" spans="1:34" x14ac:dyDescent="0.35">
      <c r="A91" s="2" t="s">
        <v>888</v>
      </c>
      <c r="B91" s="2" t="s">
        <v>29</v>
      </c>
      <c r="C91" s="2" t="s">
        <v>49</v>
      </c>
      <c r="D91" s="2" t="s">
        <v>187</v>
      </c>
      <c r="E91" s="2" t="s">
        <v>104</v>
      </c>
      <c r="F91" s="2" t="s">
        <v>889</v>
      </c>
      <c r="G91" s="2" t="s">
        <v>34</v>
      </c>
      <c r="H91" s="2" t="s">
        <v>270</v>
      </c>
      <c r="I91" s="2" t="s">
        <v>37</v>
      </c>
      <c r="J91" s="2" t="s">
        <v>596</v>
      </c>
      <c r="K91" s="2" t="s">
        <v>38</v>
      </c>
      <c r="L91" s="2" t="s">
        <v>38</v>
      </c>
      <c r="M91" s="2" t="s">
        <v>39</v>
      </c>
      <c r="N91" s="2" t="s">
        <v>38</v>
      </c>
      <c r="O91" s="2" t="s">
        <v>38</v>
      </c>
      <c r="P91" s="2" t="s">
        <v>38</v>
      </c>
      <c r="Q91" s="2" t="s">
        <v>890</v>
      </c>
      <c r="R91" s="2" t="s">
        <v>98</v>
      </c>
      <c r="S91" s="2" t="s">
        <v>89</v>
      </c>
      <c r="T91" s="2" t="s">
        <v>90</v>
      </c>
      <c r="U91" s="2" t="s">
        <v>891</v>
      </c>
      <c r="V91" s="2" t="s">
        <v>892</v>
      </c>
      <c r="W91" s="2" t="s">
        <v>38</v>
      </c>
      <c r="X91" s="3">
        <v>40998</v>
      </c>
      <c r="Y91" s="2" t="s">
        <v>893</v>
      </c>
      <c r="Z91" s="35">
        <v>188</v>
      </c>
      <c r="AA91" s="2" t="s">
        <v>672</v>
      </c>
      <c r="AB91" s="2" t="s">
        <v>673</v>
      </c>
      <c r="AC91" s="12">
        <f t="shared" si="6"/>
        <v>2012</v>
      </c>
      <c r="AD91" s="12">
        <f t="shared" si="7"/>
        <v>3</v>
      </c>
      <c r="AE91" s="12">
        <f t="shared" si="8"/>
        <v>30</v>
      </c>
      <c r="AF91" s="16">
        <f t="shared" si="9"/>
        <v>13.3</v>
      </c>
      <c r="AG91" s="16" t="str">
        <f t="shared" si="10"/>
        <v/>
      </c>
      <c r="AH91" s="16">
        <f t="shared" si="11"/>
        <v>18.8</v>
      </c>
    </row>
    <row r="92" spans="1:34" x14ac:dyDescent="0.35">
      <c r="A92" s="2" t="s">
        <v>897</v>
      </c>
      <c r="B92" s="2" t="s">
        <v>29</v>
      </c>
      <c r="C92" s="2" t="s">
        <v>49</v>
      </c>
      <c r="D92" s="2" t="s">
        <v>200</v>
      </c>
      <c r="E92" s="2" t="s">
        <v>51</v>
      </c>
      <c r="F92" s="2" t="s">
        <v>52</v>
      </c>
      <c r="G92" s="2" t="s">
        <v>86</v>
      </c>
      <c r="H92" s="2" t="s">
        <v>137</v>
      </c>
      <c r="I92" s="2" t="s">
        <v>37</v>
      </c>
      <c r="J92" s="2" t="s">
        <v>55</v>
      </c>
      <c r="K92" s="2" t="s">
        <v>38</v>
      </c>
      <c r="L92" s="2" t="s">
        <v>38</v>
      </c>
      <c r="M92" s="2" t="s">
        <v>39</v>
      </c>
      <c r="N92" s="2" t="s">
        <v>38</v>
      </c>
      <c r="O92" s="2" t="s">
        <v>38</v>
      </c>
      <c r="P92" s="2" t="s">
        <v>38</v>
      </c>
      <c r="Q92" s="2" t="s">
        <v>898</v>
      </c>
      <c r="R92" s="2" t="s">
        <v>71</v>
      </c>
      <c r="S92" s="2" t="s">
        <v>89</v>
      </c>
      <c r="T92" s="2" t="s">
        <v>90</v>
      </c>
      <c r="U92" s="2" t="s">
        <v>899</v>
      </c>
      <c r="V92" s="2" t="s">
        <v>61</v>
      </c>
      <c r="W92" s="2" t="s">
        <v>38</v>
      </c>
      <c r="X92" s="3">
        <v>40999</v>
      </c>
      <c r="Y92" s="2" t="s">
        <v>900</v>
      </c>
      <c r="Z92" s="35">
        <v>180</v>
      </c>
      <c r="AA92" s="2" t="s">
        <v>672</v>
      </c>
      <c r="AB92" s="2" t="s">
        <v>673</v>
      </c>
      <c r="AC92" s="12">
        <f t="shared" si="6"/>
        <v>2012</v>
      </c>
      <c r="AD92" s="12">
        <f t="shared" si="7"/>
        <v>3</v>
      </c>
      <c r="AE92" s="12">
        <f t="shared" si="8"/>
        <v>31</v>
      </c>
      <c r="AF92" s="16">
        <f t="shared" si="9"/>
        <v>16.8</v>
      </c>
      <c r="AG92" s="16" t="str">
        <f t="shared" si="10"/>
        <v/>
      </c>
      <c r="AH92" s="16">
        <f t="shared" si="11"/>
        <v>18</v>
      </c>
    </row>
    <row r="93" spans="1:34" x14ac:dyDescent="0.35">
      <c r="A93" s="2" t="s">
        <v>908</v>
      </c>
      <c r="B93" s="2" t="s">
        <v>29</v>
      </c>
      <c r="C93" s="2" t="s">
        <v>49</v>
      </c>
      <c r="D93" s="2" t="s">
        <v>171</v>
      </c>
      <c r="E93" s="2" t="s">
        <v>32</v>
      </c>
      <c r="F93" s="2" t="s">
        <v>201</v>
      </c>
      <c r="G93" s="2" t="s">
        <v>106</v>
      </c>
      <c r="H93" s="2" t="s">
        <v>451</v>
      </c>
      <c r="I93" s="2" t="s">
        <v>37</v>
      </c>
      <c r="J93" s="2" t="s">
        <v>579</v>
      </c>
      <c r="K93" s="2" t="s">
        <v>38</v>
      </c>
      <c r="L93" s="2" t="s">
        <v>38</v>
      </c>
      <c r="M93" s="2" t="s">
        <v>39</v>
      </c>
      <c r="N93" s="2" t="s">
        <v>38</v>
      </c>
      <c r="O93" s="2" t="s">
        <v>38</v>
      </c>
      <c r="P93" s="2" t="s">
        <v>38</v>
      </c>
      <c r="Q93" s="2" t="s">
        <v>885</v>
      </c>
      <c r="R93" s="2" t="s">
        <v>71</v>
      </c>
      <c r="S93" s="2" t="s">
        <v>89</v>
      </c>
      <c r="T93" s="2" t="s">
        <v>90</v>
      </c>
      <c r="U93" s="2" t="s">
        <v>381</v>
      </c>
      <c r="V93" s="2" t="s">
        <v>912</v>
      </c>
      <c r="W93" s="2" t="s">
        <v>38</v>
      </c>
      <c r="X93" s="3">
        <v>41000</v>
      </c>
      <c r="Y93" s="2" t="s">
        <v>913</v>
      </c>
      <c r="Z93" s="5">
        <v>197</v>
      </c>
      <c r="AA93" s="2" t="s">
        <v>672</v>
      </c>
      <c r="AB93" s="2" t="s">
        <v>907</v>
      </c>
      <c r="AC93" s="12">
        <f t="shared" si="6"/>
        <v>2012</v>
      </c>
      <c r="AD93" s="12">
        <f t="shared" si="7"/>
        <v>4</v>
      </c>
      <c r="AE93" s="12">
        <f t="shared" si="8"/>
        <v>1</v>
      </c>
      <c r="AF93" s="16">
        <f t="shared" si="9"/>
        <v>16.2</v>
      </c>
      <c r="AG93" s="16" t="str">
        <f t="shared" si="10"/>
        <v/>
      </c>
      <c r="AH93" s="16">
        <f t="shared" si="11"/>
        <v>19.7</v>
      </c>
    </row>
    <row r="94" spans="1:34" x14ac:dyDescent="0.35">
      <c r="A94" s="2" t="s">
        <v>914</v>
      </c>
      <c r="B94" s="2" t="s">
        <v>29</v>
      </c>
      <c r="C94" s="2" t="s">
        <v>49</v>
      </c>
      <c r="D94" s="2" t="s">
        <v>171</v>
      </c>
      <c r="E94" s="2" t="s">
        <v>66</v>
      </c>
      <c r="F94" s="2" t="s">
        <v>642</v>
      </c>
      <c r="G94" s="2" t="s">
        <v>106</v>
      </c>
      <c r="H94" s="2" t="s">
        <v>79</v>
      </c>
      <c r="I94" s="2" t="s">
        <v>37</v>
      </c>
      <c r="J94" s="2" t="s">
        <v>579</v>
      </c>
      <c r="K94" s="2" t="s">
        <v>38</v>
      </c>
      <c r="L94" s="2" t="s">
        <v>38</v>
      </c>
      <c r="M94" s="2" t="s">
        <v>39</v>
      </c>
      <c r="N94" s="2" t="s">
        <v>38</v>
      </c>
      <c r="O94" s="2" t="s">
        <v>38</v>
      </c>
      <c r="P94" s="2" t="s">
        <v>38</v>
      </c>
      <c r="Q94" s="2" t="s">
        <v>919</v>
      </c>
      <c r="R94" s="2" t="s">
        <v>71</v>
      </c>
      <c r="S94" s="2" t="s">
        <v>89</v>
      </c>
      <c r="T94" s="2" t="s">
        <v>90</v>
      </c>
      <c r="U94" s="2" t="s">
        <v>265</v>
      </c>
      <c r="V94" s="2" t="s">
        <v>459</v>
      </c>
      <c r="W94" s="2" t="s">
        <v>38</v>
      </c>
      <c r="X94" s="3">
        <v>41001</v>
      </c>
      <c r="Y94" s="2" t="s">
        <v>920</v>
      </c>
      <c r="Z94" s="5">
        <v>200</v>
      </c>
      <c r="AA94" s="2" t="s">
        <v>672</v>
      </c>
      <c r="AB94" s="2" t="s">
        <v>907</v>
      </c>
      <c r="AC94" s="12">
        <f t="shared" si="6"/>
        <v>2012</v>
      </c>
      <c r="AD94" s="12">
        <f t="shared" si="7"/>
        <v>4</v>
      </c>
      <c r="AE94" s="12">
        <f t="shared" si="8"/>
        <v>2</v>
      </c>
      <c r="AF94" s="16">
        <f t="shared" si="9"/>
        <v>15.4</v>
      </c>
      <c r="AG94" s="16" t="str">
        <f t="shared" si="10"/>
        <v/>
      </c>
      <c r="AH94" s="16">
        <f t="shared" si="11"/>
        <v>20</v>
      </c>
    </row>
    <row r="95" spans="1:34" x14ac:dyDescent="0.35">
      <c r="A95" s="2" t="s">
        <v>921</v>
      </c>
      <c r="B95" s="2" t="s">
        <v>29</v>
      </c>
      <c r="C95" s="2" t="s">
        <v>49</v>
      </c>
      <c r="D95" s="2" t="s">
        <v>171</v>
      </c>
      <c r="E95" s="2" t="s">
        <v>55</v>
      </c>
      <c r="F95" s="2" t="s">
        <v>807</v>
      </c>
      <c r="G95" s="2" t="s">
        <v>106</v>
      </c>
      <c r="H95" s="2" t="s">
        <v>425</v>
      </c>
      <c r="I95" s="2" t="s">
        <v>37</v>
      </c>
      <c r="J95" s="2" t="s">
        <v>714</v>
      </c>
      <c r="K95" s="2" t="s">
        <v>38</v>
      </c>
      <c r="L95" s="2" t="s">
        <v>38</v>
      </c>
      <c r="M95" s="2" t="s">
        <v>39</v>
      </c>
      <c r="N95" s="2" t="s">
        <v>38</v>
      </c>
      <c r="O95" s="2" t="s">
        <v>38</v>
      </c>
      <c r="P95" s="2" t="s">
        <v>38</v>
      </c>
      <c r="Q95" s="2" t="s">
        <v>926</v>
      </c>
      <c r="R95" s="2" t="s">
        <v>71</v>
      </c>
      <c r="S95" s="2" t="s">
        <v>72</v>
      </c>
      <c r="T95" s="2" t="s">
        <v>73</v>
      </c>
      <c r="U95" s="2" t="s">
        <v>927</v>
      </c>
      <c r="V95" s="2" t="s">
        <v>928</v>
      </c>
      <c r="W95" s="2" t="s">
        <v>38</v>
      </c>
      <c r="X95" s="3">
        <v>41002</v>
      </c>
      <c r="Y95" s="2" t="s">
        <v>929</v>
      </c>
      <c r="Z95" s="35">
        <v>223</v>
      </c>
      <c r="AA95" s="2" t="s">
        <v>672</v>
      </c>
      <c r="AB95" s="2" t="s">
        <v>907</v>
      </c>
      <c r="AC95" s="12">
        <f t="shared" si="6"/>
        <v>2012</v>
      </c>
      <c r="AD95" s="12">
        <f t="shared" si="7"/>
        <v>4</v>
      </c>
      <c r="AE95" s="12">
        <f t="shared" si="8"/>
        <v>3</v>
      </c>
      <c r="AF95" s="16">
        <f t="shared" si="9"/>
        <v>18.3</v>
      </c>
      <c r="AG95" s="16" t="str">
        <f t="shared" si="10"/>
        <v/>
      </c>
      <c r="AH95" s="16">
        <f t="shared" si="11"/>
        <v>22.3</v>
      </c>
    </row>
    <row r="96" spans="1:34" x14ac:dyDescent="0.35">
      <c r="A96" s="2" t="s">
        <v>930</v>
      </c>
      <c r="B96" s="2" t="s">
        <v>29</v>
      </c>
      <c r="C96" s="2" t="s">
        <v>49</v>
      </c>
      <c r="D96" s="2" t="s">
        <v>200</v>
      </c>
      <c r="E96" s="2" t="s">
        <v>51</v>
      </c>
      <c r="F96" s="2" t="s">
        <v>491</v>
      </c>
      <c r="G96" s="2" t="s">
        <v>931</v>
      </c>
      <c r="H96" s="2" t="s">
        <v>173</v>
      </c>
      <c r="I96" s="2" t="s">
        <v>37</v>
      </c>
      <c r="J96" s="2" t="s">
        <v>50</v>
      </c>
      <c r="K96" s="2" t="s">
        <v>38</v>
      </c>
      <c r="L96" s="2" t="s">
        <v>38</v>
      </c>
      <c r="M96" s="2" t="s">
        <v>39</v>
      </c>
      <c r="N96" s="2" t="s">
        <v>38</v>
      </c>
      <c r="O96" s="2" t="s">
        <v>38</v>
      </c>
      <c r="P96" s="2" t="s">
        <v>38</v>
      </c>
      <c r="Q96" s="2" t="s">
        <v>932</v>
      </c>
      <c r="R96" s="2" t="s">
        <v>759</v>
      </c>
      <c r="S96" s="2" t="s">
        <v>167</v>
      </c>
      <c r="T96" s="2" t="s">
        <v>372</v>
      </c>
      <c r="U96" s="2" t="s">
        <v>205</v>
      </c>
      <c r="V96" s="2" t="s">
        <v>933</v>
      </c>
      <c r="W96" s="2" t="s">
        <v>38</v>
      </c>
      <c r="X96" s="3">
        <v>41003</v>
      </c>
      <c r="Y96" s="2" t="s">
        <v>934</v>
      </c>
      <c r="Z96" s="35">
        <v>207</v>
      </c>
      <c r="AA96" s="2" t="s">
        <v>672</v>
      </c>
      <c r="AB96" s="2" t="s">
        <v>907</v>
      </c>
      <c r="AC96" s="12">
        <f t="shared" si="6"/>
        <v>2012</v>
      </c>
      <c r="AD96" s="12">
        <f t="shared" si="7"/>
        <v>4</v>
      </c>
      <c r="AE96" s="12">
        <f t="shared" si="8"/>
        <v>4</v>
      </c>
      <c r="AF96" s="16">
        <f t="shared" si="9"/>
        <v>16.899999999999999</v>
      </c>
      <c r="AG96" s="16" t="str">
        <f t="shared" si="10"/>
        <v/>
      </c>
      <c r="AH96" s="16">
        <f t="shared" si="11"/>
        <v>20.7</v>
      </c>
    </row>
    <row r="97" spans="1:34" x14ac:dyDescent="0.35">
      <c r="A97" s="2" t="s">
        <v>938</v>
      </c>
      <c r="B97" s="2" t="s">
        <v>29</v>
      </c>
      <c r="C97" s="2" t="s">
        <v>49</v>
      </c>
      <c r="D97" s="2" t="s">
        <v>171</v>
      </c>
      <c r="E97" s="2" t="s">
        <v>55</v>
      </c>
      <c r="F97" s="2" t="s">
        <v>642</v>
      </c>
      <c r="G97" s="2" t="s">
        <v>34</v>
      </c>
      <c r="H97" s="2" t="s">
        <v>258</v>
      </c>
      <c r="I97" s="2" t="s">
        <v>37</v>
      </c>
      <c r="J97" s="2" t="s">
        <v>714</v>
      </c>
      <c r="K97" s="2" t="s">
        <v>38</v>
      </c>
      <c r="L97" s="2" t="s">
        <v>38</v>
      </c>
      <c r="M97" s="2" t="s">
        <v>39</v>
      </c>
      <c r="N97" s="2" t="s">
        <v>38</v>
      </c>
      <c r="O97" s="2" t="s">
        <v>38</v>
      </c>
      <c r="P97" s="2" t="s">
        <v>38</v>
      </c>
      <c r="Q97" s="2" t="s">
        <v>942</v>
      </c>
      <c r="R97" s="2" t="s">
        <v>98</v>
      </c>
      <c r="S97" s="2" t="s">
        <v>89</v>
      </c>
      <c r="T97" s="2" t="s">
        <v>90</v>
      </c>
      <c r="U97" s="2" t="s">
        <v>943</v>
      </c>
      <c r="V97" s="2" t="s">
        <v>944</v>
      </c>
      <c r="W97" s="2" t="s">
        <v>38</v>
      </c>
      <c r="X97" s="3">
        <v>41004</v>
      </c>
      <c r="Y97" s="2" t="s">
        <v>945</v>
      </c>
      <c r="Z97" s="5">
        <v>221</v>
      </c>
      <c r="AA97" s="2" t="s">
        <v>672</v>
      </c>
      <c r="AB97" s="2" t="s">
        <v>907</v>
      </c>
      <c r="AC97" s="12">
        <f t="shared" si="6"/>
        <v>2012</v>
      </c>
      <c r="AD97" s="12">
        <f t="shared" si="7"/>
        <v>4</v>
      </c>
      <c r="AE97" s="12">
        <f t="shared" si="8"/>
        <v>5</v>
      </c>
      <c r="AF97" s="16">
        <f t="shared" si="9"/>
        <v>17.7</v>
      </c>
      <c r="AG97" s="16" t="str">
        <f t="shared" si="10"/>
        <v/>
      </c>
      <c r="AH97" s="16">
        <f t="shared" si="11"/>
        <v>22.1</v>
      </c>
    </row>
    <row r="98" spans="1:34" x14ac:dyDescent="0.35">
      <c r="A98" s="2" t="s">
        <v>946</v>
      </c>
      <c r="B98" s="2" t="s">
        <v>29</v>
      </c>
      <c r="C98" s="2" t="s">
        <v>49</v>
      </c>
      <c r="D98" s="2" t="s">
        <v>31</v>
      </c>
      <c r="E98" s="2" t="s">
        <v>165</v>
      </c>
      <c r="F98" s="2" t="s">
        <v>747</v>
      </c>
      <c r="G98" s="2" t="s">
        <v>34</v>
      </c>
      <c r="H98" s="2" t="s">
        <v>947</v>
      </c>
      <c r="I98" s="2" t="s">
        <v>37</v>
      </c>
      <c r="J98" s="2" t="s">
        <v>55</v>
      </c>
      <c r="K98" s="2" t="s">
        <v>38</v>
      </c>
      <c r="L98" s="2" t="s">
        <v>38</v>
      </c>
      <c r="M98" s="2" t="s">
        <v>39</v>
      </c>
      <c r="N98" s="2" t="s">
        <v>38</v>
      </c>
      <c r="O98" s="2" t="s">
        <v>38</v>
      </c>
      <c r="P98" s="2" t="s">
        <v>38</v>
      </c>
      <c r="Q98" s="2" t="s">
        <v>948</v>
      </c>
      <c r="R98" s="2" t="s">
        <v>98</v>
      </c>
      <c r="S98" s="2" t="s">
        <v>533</v>
      </c>
      <c r="T98" s="2" t="s">
        <v>90</v>
      </c>
      <c r="U98" s="2" t="s">
        <v>418</v>
      </c>
      <c r="V98" s="2" t="s">
        <v>949</v>
      </c>
      <c r="W98" s="2" t="s">
        <v>38</v>
      </c>
      <c r="X98" s="3">
        <v>41005</v>
      </c>
      <c r="Y98" s="2" t="s">
        <v>950</v>
      </c>
      <c r="Z98" s="5">
        <v>184</v>
      </c>
      <c r="AA98" s="2" t="s">
        <v>672</v>
      </c>
      <c r="AB98" s="2" t="s">
        <v>907</v>
      </c>
      <c r="AC98" s="12">
        <f t="shared" si="6"/>
        <v>2012</v>
      </c>
      <c r="AD98" s="12">
        <f t="shared" si="7"/>
        <v>4</v>
      </c>
      <c r="AE98" s="12">
        <f t="shared" si="8"/>
        <v>6</v>
      </c>
      <c r="AF98" s="16">
        <f t="shared" si="9"/>
        <v>9.3000000000000007</v>
      </c>
      <c r="AG98" s="16" t="str">
        <f t="shared" si="10"/>
        <v/>
      </c>
      <c r="AH98" s="16">
        <f t="shared" si="11"/>
        <v>18.399999999999999</v>
      </c>
    </row>
    <row r="99" spans="1:34" x14ac:dyDescent="0.35">
      <c r="A99" s="2" t="s">
        <v>954</v>
      </c>
      <c r="B99" s="2" t="s">
        <v>29</v>
      </c>
      <c r="C99" s="2" t="s">
        <v>49</v>
      </c>
      <c r="D99" s="2" t="s">
        <v>171</v>
      </c>
      <c r="E99" s="2" t="s">
        <v>195</v>
      </c>
      <c r="F99" s="2" t="s">
        <v>955</v>
      </c>
      <c r="G99" s="2" t="s">
        <v>34</v>
      </c>
      <c r="H99" s="2" t="s">
        <v>246</v>
      </c>
      <c r="I99" s="2" t="s">
        <v>37</v>
      </c>
      <c r="J99" s="2" t="s">
        <v>51</v>
      </c>
      <c r="K99" s="2" t="s">
        <v>38</v>
      </c>
      <c r="L99" s="2" t="s">
        <v>38</v>
      </c>
      <c r="M99" s="2" t="s">
        <v>39</v>
      </c>
      <c r="N99" s="2" t="s">
        <v>38</v>
      </c>
      <c r="O99" s="2" t="s">
        <v>38</v>
      </c>
      <c r="P99" s="2" t="s">
        <v>38</v>
      </c>
      <c r="Q99" s="2" t="s">
        <v>956</v>
      </c>
      <c r="R99" s="2" t="s">
        <v>98</v>
      </c>
      <c r="S99" s="2" t="s">
        <v>89</v>
      </c>
      <c r="T99" s="2" t="s">
        <v>90</v>
      </c>
      <c r="U99" s="2" t="s">
        <v>175</v>
      </c>
      <c r="V99" s="2" t="s">
        <v>957</v>
      </c>
      <c r="W99" s="2" t="s">
        <v>38</v>
      </c>
      <c r="X99" s="3">
        <v>41006</v>
      </c>
      <c r="Y99" s="2" t="s">
        <v>958</v>
      </c>
      <c r="Z99" s="35">
        <v>173</v>
      </c>
      <c r="AA99" s="2" t="s">
        <v>672</v>
      </c>
      <c r="AB99" s="2" t="s">
        <v>907</v>
      </c>
      <c r="AC99" s="12">
        <f t="shared" si="6"/>
        <v>2012</v>
      </c>
      <c r="AD99" s="12">
        <f t="shared" si="7"/>
        <v>4</v>
      </c>
      <c r="AE99" s="12">
        <f t="shared" si="8"/>
        <v>7</v>
      </c>
      <c r="AF99" s="16">
        <f t="shared" si="9"/>
        <v>7.6</v>
      </c>
      <c r="AG99" s="16" t="str">
        <f t="shared" si="10"/>
        <v/>
      </c>
      <c r="AH99" s="16">
        <f t="shared" si="11"/>
        <v>17.3</v>
      </c>
    </row>
    <row r="100" spans="1:34" x14ac:dyDescent="0.35">
      <c r="A100" s="2" t="s">
        <v>963</v>
      </c>
      <c r="B100" s="2" t="s">
        <v>29</v>
      </c>
      <c r="C100" s="2" t="s">
        <v>49</v>
      </c>
      <c r="D100" s="2" t="s">
        <v>31</v>
      </c>
      <c r="E100" s="2" t="s">
        <v>30</v>
      </c>
      <c r="F100" s="2" t="s">
        <v>370</v>
      </c>
      <c r="G100" s="2" t="s">
        <v>34</v>
      </c>
      <c r="H100" s="2" t="s">
        <v>331</v>
      </c>
      <c r="I100" s="2" t="s">
        <v>37</v>
      </c>
      <c r="J100" s="2" t="s">
        <v>55</v>
      </c>
      <c r="K100" s="2" t="s">
        <v>38</v>
      </c>
      <c r="L100" s="2" t="s">
        <v>38</v>
      </c>
      <c r="M100" s="2" t="s">
        <v>39</v>
      </c>
      <c r="N100" s="2" t="s">
        <v>38</v>
      </c>
      <c r="O100" s="2" t="s">
        <v>38</v>
      </c>
      <c r="P100" s="2" t="s">
        <v>38</v>
      </c>
      <c r="Q100" s="2" t="s">
        <v>964</v>
      </c>
      <c r="R100" s="2" t="s">
        <v>98</v>
      </c>
      <c r="S100" s="2" t="s">
        <v>89</v>
      </c>
      <c r="T100" s="2" t="s">
        <v>90</v>
      </c>
      <c r="U100" s="2" t="s">
        <v>418</v>
      </c>
      <c r="V100" s="2" t="s">
        <v>354</v>
      </c>
      <c r="W100" s="2" t="s">
        <v>38</v>
      </c>
      <c r="X100" s="3">
        <v>41007</v>
      </c>
      <c r="Y100" s="2" t="s">
        <v>965</v>
      </c>
      <c r="Z100" s="5">
        <v>179</v>
      </c>
      <c r="AA100" s="2" t="s">
        <v>672</v>
      </c>
      <c r="AB100" s="2" t="s">
        <v>907</v>
      </c>
      <c r="AC100" s="12">
        <f t="shared" si="6"/>
        <v>2012</v>
      </c>
      <c r="AD100" s="12">
        <f t="shared" si="7"/>
        <v>4</v>
      </c>
      <c r="AE100" s="12">
        <f t="shared" si="8"/>
        <v>8</v>
      </c>
      <c r="AF100" s="16">
        <f t="shared" si="9"/>
        <v>12.1</v>
      </c>
      <c r="AG100" s="16" t="str">
        <f t="shared" si="10"/>
        <v/>
      </c>
      <c r="AH100" s="16">
        <f t="shared" si="11"/>
        <v>17.899999999999999</v>
      </c>
    </row>
    <row r="101" spans="1:34" x14ac:dyDescent="0.35">
      <c r="A101" s="2" t="s">
        <v>970</v>
      </c>
      <c r="B101" s="2" t="s">
        <v>29</v>
      </c>
      <c r="C101" s="2" t="s">
        <v>49</v>
      </c>
      <c r="D101" s="2" t="s">
        <v>171</v>
      </c>
      <c r="E101" s="2" t="s">
        <v>104</v>
      </c>
      <c r="F101" s="2" t="s">
        <v>974</v>
      </c>
      <c r="G101" s="2" t="s">
        <v>34</v>
      </c>
      <c r="H101" s="2" t="s">
        <v>79</v>
      </c>
      <c r="I101" s="2" t="s">
        <v>37</v>
      </c>
      <c r="J101" s="2" t="s">
        <v>579</v>
      </c>
      <c r="K101" s="2" t="s">
        <v>38</v>
      </c>
      <c r="L101" s="2" t="s">
        <v>38</v>
      </c>
      <c r="M101" s="2" t="s">
        <v>39</v>
      </c>
      <c r="N101" s="2" t="s">
        <v>38</v>
      </c>
      <c r="O101" s="2" t="s">
        <v>38</v>
      </c>
      <c r="P101" s="2" t="s">
        <v>38</v>
      </c>
      <c r="Q101" s="2" t="s">
        <v>919</v>
      </c>
      <c r="R101" s="2" t="s">
        <v>98</v>
      </c>
      <c r="S101" s="2" t="s">
        <v>975</v>
      </c>
      <c r="T101" s="2" t="s">
        <v>73</v>
      </c>
      <c r="U101" s="2" t="s">
        <v>265</v>
      </c>
      <c r="V101" s="2" t="s">
        <v>168</v>
      </c>
      <c r="W101" s="2" t="s">
        <v>38</v>
      </c>
      <c r="X101" s="3">
        <v>41008</v>
      </c>
      <c r="Y101" s="2" t="s">
        <v>976</v>
      </c>
      <c r="Z101" s="35">
        <v>200</v>
      </c>
      <c r="AA101" s="2" t="s">
        <v>672</v>
      </c>
      <c r="AB101" s="2" t="s">
        <v>907</v>
      </c>
      <c r="AC101" s="12">
        <f t="shared" si="6"/>
        <v>2012</v>
      </c>
      <c r="AD101" s="12">
        <f t="shared" si="7"/>
        <v>4</v>
      </c>
      <c r="AE101" s="12">
        <f t="shared" si="8"/>
        <v>9</v>
      </c>
      <c r="AF101" s="16">
        <f t="shared" si="9"/>
        <v>13</v>
      </c>
      <c r="AG101" s="16" t="str">
        <f t="shared" si="10"/>
        <v/>
      </c>
      <c r="AH101" s="16">
        <f t="shared" si="11"/>
        <v>20</v>
      </c>
    </row>
    <row r="102" spans="1:34" x14ac:dyDescent="0.35">
      <c r="A102" s="2" t="s">
        <v>977</v>
      </c>
      <c r="B102" s="2" t="s">
        <v>29</v>
      </c>
      <c r="C102" s="2" t="s">
        <v>49</v>
      </c>
      <c r="D102" s="2" t="s">
        <v>171</v>
      </c>
      <c r="E102" s="2" t="s">
        <v>51</v>
      </c>
      <c r="F102" s="2" t="s">
        <v>424</v>
      </c>
      <c r="G102" s="2" t="s">
        <v>34</v>
      </c>
      <c r="H102" s="2" t="s">
        <v>217</v>
      </c>
      <c r="I102" s="2" t="s">
        <v>37</v>
      </c>
      <c r="J102" s="2" t="s">
        <v>306</v>
      </c>
      <c r="K102" s="2" t="s">
        <v>38</v>
      </c>
      <c r="L102" s="2" t="s">
        <v>38</v>
      </c>
      <c r="M102" s="2" t="s">
        <v>39</v>
      </c>
      <c r="N102" s="2" t="s">
        <v>38</v>
      </c>
      <c r="O102" s="2" t="s">
        <v>38</v>
      </c>
      <c r="P102" s="2" t="s">
        <v>38</v>
      </c>
      <c r="Q102" s="2" t="s">
        <v>978</v>
      </c>
      <c r="R102" s="2" t="s">
        <v>98</v>
      </c>
      <c r="S102" s="2" t="s">
        <v>130</v>
      </c>
      <c r="T102" s="2" t="s">
        <v>73</v>
      </c>
      <c r="U102" s="2" t="s">
        <v>265</v>
      </c>
      <c r="V102" s="2" t="s">
        <v>979</v>
      </c>
      <c r="W102" s="2" t="s">
        <v>38</v>
      </c>
      <c r="X102" s="3">
        <v>41009</v>
      </c>
      <c r="Y102" s="2" t="s">
        <v>980</v>
      </c>
      <c r="Z102" s="5">
        <v>233</v>
      </c>
      <c r="AA102" s="2" t="s">
        <v>672</v>
      </c>
      <c r="AB102" s="2" t="s">
        <v>907</v>
      </c>
      <c r="AC102" s="12">
        <f t="shared" si="6"/>
        <v>2012</v>
      </c>
      <c r="AD102" s="12">
        <f t="shared" si="7"/>
        <v>4</v>
      </c>
      <c r="AE102" s="12">
        <f t="shared" si="8"/>
        <v>10</v>
      </c>
      <c r="AF102" s="16">
        <f t="shared" si="9"/>
        <v>16.5</v>
      </c>
      <c r="AG102" s="16" t="str">
        <f t="shared" si="10"/>
        <v/>
      </c>
      <c r="AH102" s="16">
        <f t="shared" si="11"/>
        <v>23.3</v>
      </c>
    </row>
    <row r="103" spans="1:34" x14ac:dyDescent="0.35">
      <c r="A103" s="2" t="s">
        <v>983</v>
      </c>
      <c r="B103" s="2" t="s">
        <v>29</v>
      </c>
      <c r="C103" s="2" t="s">
        <v>49</v>
      </c>
      <c r="D103" s="2" t="s">
        <v>171</v>
      </c>
      <c r="E103" s="2" t="s">
        <v>55</v>
      </c>
      <c r="F103" s="2" t="s">
        <v>378</v>
      </c>
      <c r="G103" s="2" t="s">
        <v>34</v>
      </c>
      <c r="H103" s="2" t="s">
        <v>246</v>
      </c>
      <c r="I103" s="2" t="s">
        <v>37</v>
      </c>
      <c r="J103" s="2" t="s">
        <v>214</v>
      </c>
      <c r="K103" s="2" t="s">
        <v>38</v>
      </c>
      <c r="L103" s="2" t="s">
        <v>38</v>
      </c>
      <c r="M103" s="2" t="s">
        <v>39</v>
      </c>
      <c r="N103" s="2" t="s">
        <v>38</v>
      </c>
      <c r="O103" s="2" t="s">
        <v>38</v>
      </c>
      <c r="P103" s="2" t="s">
        <v>38</v>
      </c>
      <c r="Q103" s="2" t="s">
        <v>989</v>
      </c>
      <c r="R103" s="2" t="s">
        <v>183</v>
      </c>
      <c r="S103" s="2" t="s">
        <v>975</v>
      </c>
      <c r="T103" s="2" t="s">
        <v>73</v>
      </c>
      <c r="U103" s="2" t="s">
        <v>175</v>
      </c>
      <c r="V103" s="2" t="s">
        <v>590</v>
      </c>
      <c r="W103" s="2" t="s">
        <v>38</v>
      </c>
      <c r="X103" s="3">
        <v>41010</v>
      </c>
      <c r="Y103" s="2" t="s">
        <v>990</v>
      </c>
      <c r="Z103" s="35">
        <v>237</v>
      </c>
      <c r="AA103" s="2" t="s">
        <v>672</v>
      </c>
      <c r="AB103" s="2" t="s">
        <v>907</v>
      </c>
      <c r="AC103" s="12">
        <f t="shared" si="6"/>
        <v>2012</v>
      </c>
      <c r="AD103" s="12">
        <f t="shared" si="7"/>
        <v>4</v>
      </c>
      <c r="AE103" s="12">
        <f t="shared" si="8"/>
        <v>11</v>
      </c>
      <c r="AF103" s="16">
        <f t="shared" si="9"/>
        <v>18.399999999999999</v>
      </c>
      <c r="AG103" s="16" t="str">
        <f t="shared" si="10"/>
        <v/>
      </c>
      <c r="AH103" s="16">
        <f t="shared" si="11"/>
        <v>23.7</v>
      </c>
    </row>
    <row r="104" spans="1:34" x14ac:dyDescent="0.35">
      <c r="A104" s="2" t="s">
        <v>991</v>
      </c>
      <c r="B104" s="2" t="s">
        <v>29</v>
      </c>
      <c r="C104" s="2" t="s">
        <v>49</v>
      </c>
      <c r="D104" s="2" t="s">
        <v>171</v>
      </c>
      <c r="E104" s="2" t="s">
        <v>51</v>
      </c>
      <c r="F104" s="2" t="s">
        <v>974</v>
      </c>
      <c r="G104" s="2" t="s">
        <v>931</v>
      </c>
      <c r="H104" s="2" t="s">
        <v>35</v>
      </c>
      <c r="I104" s="2" t="s">
        <v>37</v>
      </c>
      <c r="J104" s="2" t="s">
        <v>50</v>
      </c>
      <c r="K104" s="2" t="s">
        <v>38</v>
      </c>
      <c r="L104" s="2" t="s">
        <v>38</v>
      </c>
      <c r="M104" s="2" t="s">
        <v>39</v>
      </c>
      <c r="N104" s="2" t="s">
        <v>38</v>
      </c>
      <c r="O104" s="2" t="s">
        <v>38</v>
      </c>
      <c r="P104" s="2" t="s">
        <v>38</v>
      </c>
      <c r="Q104" s="2" t="s">
        <v>994</v>
      </c>
      <c r="R104" s="2" t="s">
        <v>358</v>
      </c>
      <c r="S104" s="2" t="s">
        <v>995</v>
      </c>
      <c r="T104" s="2" t="s">
        <v>372</v>
      </c>
      <c r="U104" s="2" t="s">
        <v>996</v>
      </c>
      <c r="V104" s="2" t="s">
        <v>61</v>
      </c>
      <c r="W104" s="2" t="s">
        <v>38</v>
      </c>
      <c r="X104" s="3">
        <v>41011</v>
      </c>
      <c r="Y104" s="2" t="s">
        <v>997</v>
      </c>
      <c r="Z104" s="5">
        <v>213</v>
      </c>
      <c r="AA104" s="2" t="s">
        <v>672</v>
      </c>
      <c r="AB104" s="2" t="s">
        <v>907</v>
      </c>
      <c r="AC104" s="12">
        <f t="shared" si="6"/>
        <v>2012</v>
      </c>
      <c r="AD104" s="12">
        <f t="shared" si="7"/>
        <v>4</v>
      </c>
      <c r="AE104" s="12">
        <f t="shared" si="8"/>
        <v>12</v>
      </c>
      <c r="AF104" s="16">
        <f t="shared" si="9"/>
        <v>16.8</v>
      </c>
      <c r="AG104" s="16" t="str">
        <f t="shared" si="10"/>
        <v/>
      </c>
      <c r="AH104" s="16">
        <f t="shared" si="11"/>
        <v>21.3</v>
      </c>
    </row>
    <row r="105" spans="1:34" x14ac:dyDescent="0.35">
      <c r="A105" s="2" t="s">
        <v>998</v>
      </c>
      <c r="B105" s="2" t="s">
        <v>29</v>
      </c>
      <c r="C105" s="2" t="s">
        <v>49</v>
      </c>
      <c r="D105" s="2" t="s">
        <v>171</v>
      </c>
      <c r="E105" s="2" t="s">
        <v>66</v>
      </c>
      <c r="F105" s="2" t="s">
        <v>974</v>
      </c>
      <c r="G105" s="2" t="s">
        <v>34</v>
      </c>
      <c r="H105" s="2" t="s">
        <v>371</v>
      </c>
      <c r="I105" s="2" t="s">
        <v>37</v>
      </c>
      <c r="J105" s="2" t="s">
        <v>596</v>
      </c>
      <c r="K105" s="2" t="s">
        <v>38</v>
      </c>
      <c r="L105" s="2" t="s">
        <v>38</v>
      </c>
      <c r="M105" s="2" t="s">
        <v>39</v>
      </c>
      <c r="N105" s="2" t="s">
        <v>38</v>
      </c>
      <c r="O105" s="2" t="s">
        <v>38</v>
      </c>
      <c r="P105" s="2" t="s">
        <v>38</v>
      </c>
      <c r="Q105" s="2" t="s">
        <v>1002</v>
      </c>
      <c r="R105" s="2" t="s">
        <v>759</v>
      </c>
      <c r="S105" s="2" t="s">
        <v>1003</v>
      </c>
      <c r="T105" s="2" t="s">
        <v>1004</v>
      </c>
      <c r="U105" s="2" t="s">
        <v>381</v>
      </c>
      <c r="V105" s="2" t="s">
        <v>1005</v>
      </c>
      <c r="W105" s="2" t="s">
        <v>38</v>
      </c>
      <c r="X105" s="3">
        <v>41012</v>
      </c>
      <c r="Y105" s="2" t="s">
        <v>1006</v>
      </c>
      <c r="Z105" s="35">
        <v>185</v>
      </c>
      <c r="AA105" s="2" t="s">
        <v>672</v>
      </c>
      <c r="AB105" s="2" t="s">
        <v>907</v>
      </c>
      <c r="AC105" s="12">
        <f t="shared" si="6"/>
        <v>2012</v>
      </c>
      <c r="AD105" s="12">
        <f t="shared" si="7"/>
        <v>4</v>
      </c>
      <c r="AE105" s="12">
        <f t="shared" si="8"/>
        <v>13</v>
      </c>
      <c r="AF105" s="16">
        <f t="shared" si="9"/>
        <v>15</v>
      </c>
      <c r="AG105" s="16" t="str">
        <f t="shared" si="10"/>
        <v/>
      </c>
      <c r="AH105" s="16">
        <f t="shared" si="11"/>
        <v>18.5</v>
      </c>
    </row>
    <row r="106" spans="1:34" x14ac:dyDescent="0.35">
      <c r="A106" s="2" t="s">
        <v>1007</v>
      </c>
      <c r="B106" s="2" t="s">
        <v>29</v>
      </c>
      <c r="C106" s="2" t="s">
        <v>49</v>
      </c>
      <c r="D106" s="2" t="s">
        <v>31</v>
      </c>
      <c r="E106" s="2" t="s">
        <v>32</v>
      </c>
      <c r="F106" s="2" t="s">
        <v>126</v>
      </c>
      <c r="G106" s="2" t="s">
        <v>34</v>
      </c>
      <c r="H106" s="2" t="s">
        <v>240</v>
      </c>
      <c r="I106" s="2" t="s">
        <v>37</v>
      </c>
      <c r="J106" s="2" t="s">
        <v>596</v>
      </c>
      <c r="K106" s="2" t="s">
        <v>38</v>
      </c>
      <c r="L106" s="2" t="s">
        <v>38</v>
      </c>
      <c r="M106" s="2" t="s">
        <v>39</v>
      </c>
      <c r="N106" s="2" t="s">
        <v>38</v>
      </c>
      <c r="O106" s="2" t="s">
        <v>38</v>
      </c>
      <c r="P106" s="2" t="s">
        <v>38</v>
      </c>
      <c r="Q106" s="2" t="s">
        <v>890</v>
      </c>
      <c r="R106" s="2" t="s">
        <v>98</v>
      </c>
      <c r="S106" s="2" t="s">
        <v>167</v>
      </c>
      <c r="T106" s="2" t="s">
        <v>73</v>
      </c>
      <c r="U106" s="2" t="s">
        <v>44</v>
      </c>
      <c r="V106" s="2" t="s">
        <v>1008</v>
      </c>
      <c r="W106" s="2" t="s">
        <v>38</v>
      </c>
      <c r="X106" s="3">
        <v>41013</v>
      </c>
      <c r="Y106" s="2" t="s">
        <v>1009</v>
      </c>
      <c r="Z106" s="5">
        <v>188</v>
      </c>
      <c r="AA106" s="2" t="s">
        <v>672</v>
      </c>
      <c r="AB106" s="2" t="s">
        <v>907</v>
      </c>
      <c r="AC106" s="12">
        <f t="shared" si="6"/>
        <v>2012</v>
      </c>
      <c r="AD106" s="12">
        <f t="shared" si="7"/>
        <v>4</v>
      </c>
      <c r="AE106" s="12">
        <f t="shared" si="8"/>
        <v>14</v>
      </c>
      <c r="AF106" s="16">
        <f t="shared" si="9"/>
        <v>15.7</v>
      </c>
      <c r="AG106" s="16" t="str">
        <f t="shared" si="10"/>
        <v/>
      </c>
      <c r="AH106" s="16">
        <f t="shared" si="11"/>
        <v>18.8</v>
      </c>
    </row>
    <row r="107" spans="1:34" x14ac:dyDescent="0.35">
      <c r="A107" s="2" t="s">
        <v>1014</v>
      </c>
      <c r="B107" s="2" t="s">
        <v>29</v>
      </c>
      <c r="C107" s="2" t="s">
        <v>49</v>
      </c>
      <c r="D107" s="2" t="s">
        <v>77</v>
      </c>
      <c r="E107" s="2" t="s">
        <v>32</v>
      </c>
      <c r="F107" s="2" t="s">
        <v>341</v>
      </c>
      <c r="G107" s="2" t="s">
        <v>34</v>
      </c>
      <c r="H107" s="2" t="s">
        <v>127</v>
      </c>
      <c r="I107" s="2" t="s">
        <v>37</v>
      </c>
      <c r="J107" s="2" t="s">
        <v>50</v>
      </c>
      <c r="K107" s="2" t="s">
        <v>38</v>
      </c>
      <c r="L107" s="2" t="s">
        <v>38</v>
      </c>
      <c r="M107" s="2" t="s">
        <v>39</v>
      </c>
      <c r="N107" s="2" t="s">
        <v>38</v>
      </c>
      <c r="O107" s="2" t="s">
        <v>38</v>
      </c>
      <c r="P107" s="2" t="s">
        <v>38</v>
      </c>
      <c r="Q107" s="2" t="s">
        <v>1019</v>
      </c>
      <c r="R107" s="2" t="s">
        <v>98</v>
      </c>
      <c r="S107" s="2" t="s">
        <v>1020</v>
      </c>
      <c r="T107" s="2" t="s">
        <v>73</v>
      </c>
      <c r="U107" s="2" t="s">
        <v>132</v>
      </c>
      <c r="V107" s="2" t="s">
        <v>45</v>
      </c>
      <c r="W107" s="2" t="s">
        <v>38</v>
      </c>
      <c r="X107" s="3">
        <v>41014</v>
      </c>
      <c r="Y107" s="2" t="s">
        <v>1021</v>
      </c>
      <c r="Z107" s="35">
        <v>209</v>
      </c>
      <c r="AA107" s="2" t="s">
        <v>672</v>
      </c>
      <c r="AB107" s="2" t="s">
        <v>907</v>
      </c>
      <c r="AC107" s="12">
        <f t="shared" si="6"/>
        <v>2012</v>
      </c>
      <c r="AD107" s="12">
        <f t="shared" si="7"/>
        <v>4</v>
      </c>
      <c r="AE107" s="12">
        <f t="shared" si="8"/>
        <v>15</v>
      </c>
      <c r="AF107" s="16">
        <f t="shared" si="9"/>
        <v>16.399999999999999</v>
      </c>
      <c r="AG107" s="16" t="str">
        <f t="shared" si="10"/>
        <v/>
      </c>
      <c r="AH107" s="16">
        <f t="shared" si="11"/>
        <v>20.9</v>
      </c>
    </row>
    <row r="108" spans="1:34" x14ac:dyDescent="0.35">
      <c r="A108" s="2" t="s">
        <v>1022</v>
      </c>
      <c r="B108" s="2" t="s">
        <v>29</v>
      </c>
      <c r="C108" s="2" t="s">
        <v>49</v>
      </c>
      <c r="D108" s="2" t="s">
        <v>77</v>
      </c>
      <c r="E108" s="2" t="s">
        <v>104</v>
      </c>
      <c r="F108" s="2" t="s">
        <v>747</v>
      </c>
      <c r="G108" s="2" t="s">
        <v>1023</v>
      </c>
      <c r="H108" s="2" t="s">
        <v>202</v>
      </c>
      <c r="I108" s="2" t="s">
        <v>37</v>
      </c>
      <c r="J108" s="2" t="s">
        <v>50</v>
      </c>
      <c r="K108" s="2" t="s">
        <v>38</v>
      </c>
      <c r="L108" s="2" t="s">
        <v>38</v>
      </c>
      <c r="M108" s="2" t="s">
        <v>39</v>
      </c>
      <c r="N108" s="2" t="s">
        <v>38</v>
      </c>
      <c r="O108" s="2" t="s">
        <v>38</v>
      </c>
      <c r="P108" s="2" t="s">
        <v>38</v>
      </c>
      <c r="Q108" s="2" t="s">
        <v>1024</v>
      </c>
      <c r="R108" s="2" t="s">
        <v>71</v>
      </c>
      <c r="S108" s="2" t="s">
        <v>1025</v>
      </c>
      <c r="T108" s="2" t="s">
        <v>73</v>
      </c>
      <c r="U108" s="2" t="s">
        <v>1026</v>
      </c>
      <c r="V108" s="2" t="s">
        <v>618</v>
      </c>
      <c r="W108" s="2" t="s">
        <v>38</v>
      </c>
      <c r="X108" s="3">
        <v>41015</v>
      </c>
      <c r="Y108" s="2" t="s">
        <v>1027</v>
      </c>
      <c r="Z108" s="5">
        <v>210</v>
      </c>
      <c r="AA108" s="2" t="s">
        <v>672</v>
      </c>
      <c r="AB108" s="2" t="s">
        <v>907</v>
      </c>
      <c r="AC108" s="12">
        <f t="shared" si="6"/>
        <v>2012</v>
      </c>
      <c r="AD108" s="12">
        <f t="shared" si="7"/>
        <v>4</v>
      </c>
      <c r="AE108" s="12">
        <f t="shared" si="8"/>
        <v>16</v>
      </c>
      <c r="AF108" s="16">
        <f t="shared" si="9"/>
        <v>12.7</v>
      </c>
      <c r="AG108" s="16" t="str">
        <f t="shared" si="10"/>
        <v/>
      </c>
      <c r="AH108" s="16">
        <f t="shared" si="11"/>
        <v>21</v>
      </c>
    </row>
    <row r="109" spans="1:34" x14ac:dyDescent="0.35">
      <c r="A109" s="2" t="s">
        <v>1034</v>
      </c>
      <c r="B109" s="2" t="s">
        <v>29</v>
      </c>
      <c r="C109" s="2" t="s">
        <v>49</v>
      </c>
      <c r="D109" s="2" t="s">
        <v>171</v>
      </c>
      <c r="E109" s="2" t="s">
        <v>596</v>
      </c>
      <c r="F109" s="2" t="s">
        <v>667</v>
      </c>
      <c r="G109" s="2" t="s">
        <v>34</v>
      </c>
      <c r="H109" s="2" t="s">
        <v>54</v>
      </c>
      <c r="I109" s="2" t="s">
        <v>37</v>
      </c>
      <c r="J109" s="2" t="s">
        <v>50</v>
      </c>
      <c r="K109" s="2" t="s">
        <v>38</v>
      </c>
      <c r="L109" s="2" t="s">
        <v>38</v>
      </c>
      <c r="M109" s="2" t="s">
        <v>39</v>
      </c>
      <c r="N109" s="2" t="s">
        <v>38</v>
      </c>
      <c r="O109" s="2" t="s">
        <v>38</v>
      </c>
      <c r="P109" s="2" t="s">
        <v>38</v>
      </c>
      <c r="Q109" s="2" t="s">
        <v>994</v>
      </c>
      <c r="R109" s="2" t="s">
        <v>1035</v>
      </c>
      <c r="S109" s="2" t="s">
        <v>735</v>
      </c>
      <c r="T109" s="2" t="s">
        <v>73</v>
      </c>
      <c r="U109" s="2" t="s">
        <v>943</v>
      </c>
      <c r="V109" s="2" t="s">
        <v>1036</v>
      </c>
      <c r="W109" s="2" t="s">
        <v>38</v>
      </c>
      <c r="X109" s="3">
        <v>41016</v>
      </c>
      <c r="Y109" s="2" t="s">
        <v>1037</v>
      </c>
      <c r="Z109" s="35">
        <v>213</v>
      </c>
      <c r="AA109" s="2" t="s">
        <v>672</v>
      </c>
      <c r="AB109" s="2" t="s">
        <v>907</v>
      </c>
      <c r="AC109" s="12">
        <f t="shared" si="6"/>
        <v>2012</v>
      </c>
      <c r="AD109" s="12">
        <f t="shared" si="7"/>
        <v>4</v>
      </c>
      <c r="AE109" s="12">
        <f t="shared" si="8"/>
        <v>17</v>
      </c>
      <c r="AF109" s="16">
        <f t="shared" si="9"/>
        <v>19.100000000000001</v>
      </c>
      <c r="AG109" s="16" t="str">
        <f t="shared" si="10"/>
        <v/>
      </c>
      <c r="AH109" s="16">
        <f t="shared" si="11"/>
        <v>21.3</v>
      </c>
    </row>
    <row r="110" spans="1:34" x14ac:dyDescent="0.35">
      <c r="A110" s="2" t="s">
        <v>1042</v>
      </c>
      <c r="B110" s="2" t="s">
        <v>29</v>
      </c>
      <c r="C110" s="2" t="s">
        <v>49</v>
      </c>
      <c r="D110" s="2" t="s">
        <v>171</v>
      </c>
      <c r="E110" s="2" t="s">
        <v>51</v>
      </c>
      <c r="F110" s="2" t="s">
        <v>385</v>
      </c>
      <c r="G110" s="2" t="s">
        <v>34</v>
      </c>
      <c r="H110" s="2" t="s">
        <v>295</v>
      </c>
      <c r="I110" s="2" t="s">
        <v>37</v>
      </c>
      <c r="J110" s="2" t="s">
        <v>714</v>
      </c>
      <c r="K110" s="2" t="s">
        <v>38</v>
      </c>
      <c r="L110" s="2" t="s">
        <v>38</v>
      </c>
      <c r="M110" s="2" t="s">
        <v>39</v>
      </c>
      <c r="N110" s="2" t="s">
        <v>38</v>
      </c>
      <c r="O110" s="2" t="s">
        <v>38</v>
      </c>
      <c r="P110" s="2" t="s">
        <v>38</v>
      </c>
      <c r="Q110" s="2" t="s">
        <v>1046</v>
      </c>
      <c r="R110" s="2" t="s">
        <v>98</v>
      </c>
      <c r="S110" s="2" t="s">
        <v>1047</v>
      </c>
      <c r="T110" s="2" t="s">
        <v>73</v>
      </c>
      <c r="U110" s="2" t="s">
        <v>996</v>
      </c>
      <c r="V110" s="2" t="s">
        <v>61</v>
      </c>
      <c r="W110" s="2" t="s">
        <v>38</v>
      </c>
      <c r="X110" s="3">
        <v>41017</v>
      </c>
      <c r="Y110" s="2" t="s">
        <v>1048</v>
      </c>
      <c r="Z110" s="5">
        <v>218</v>
      </c>
      <c r="AA110" s="2" t="s">
        <v>672</v>
      </c>
      <c r="AB110" s="2" t="s">
        <v>907</v>
      </c>
      <c r="AC110" s="12">
        <f t="shared" si="6"/>
        <v>2012</v>
      </c>
      <c r="AD110" s="12">
        <f t="shared" si="7"/>
        <v>4</v>
      </c>
      <c r="AE110" s="12">
        <f t="shared" si="8"/>
        <v>18</v>
      </c>
      <c r="AF110" s="16">
        <f t="shared" si="9"/>
        <v>16.8</v>
      </c>
      <c r="AG110" s="16" t="str">
        <f t="shared" si="10"/>
        <v/>
      </c>
      <c r="AH110" s="16">
        <f t="shared" si="11"/>
        <v>21.8</v>
      </c>
    </row>
    <row r="111" spans="1:34" x14ac:dyDescent="0.35">
      <c r="A111" s="2" t="s">
        <v>1049</v>
      </c>
      <c r="B111" s="2" t="s">
        <v>29</v>
      </c>
      <c r="C111" s="2" t="s">
        <v>49</v>
      </c>
      <c r="D111" s="2" t="s">
        <v>171</v>
      </c>
      <c r="E111" s="2" t="s">
        <v>579</v>
      </c>
      <c r="F111" s="2" t="s">
        <v>667</v>
      </c>
      <c r="G111" s="2" t="s">
        <v>34</v>
      </c>
      <c r="H111" s="2" t="s">
        <v>87</v>
      </c>
      <c r="I111" s="2" t="s">
        <v>37</v>
      </c>
      <c r="J111" s="2" t="s">
        <v>200</v>
      </c>
      <c r="K111" s="2" t="s">
        <v>38</v>
      </c>
      <c r="L111" s="2" t="s">
        <v>38</v>
      </c>
      <c r="M111" s="2" t="s">
        <v>39</v>
      </c>
      <c r="N111" s="2" t="s">
        <v>38</v>
      </c>
      <c r="O111" s="2" t="s">
        <v>38</v>
      </c>
      <c r="P111" s="2" t="s">
        <v>38</v>
      </c>
      <c r="Q111" s="2" t="s">
        <v>1050</v>
      </c>
      <c r="R111" s="2" t="s">
        <v>183</v>
      </c>
      <c r="S111" s="2" t="s">
        <v>1051</v>
      </c>
      <c r="T111" s="2" t="s">
        <v>1052</v>
      </c>
      <c r="U111" s="2" t="s">
        <v>943</v>
      </c>
      <c r="V111" s="2" t="s">
        <v>1053</v>
      </c>
      <c r="W111" s="2" t="s">
        <v>38</v>
      </c>
      <c r="X111" s="3">
        <v>41018</v>
      </c>
      <c r="Y111" s="2" t="s">
        <v>1054</v>
      </c>
      <c r="Z111" s="35">
        <v>250</v>
      </c>
      <c r="AA111" s="2" t="s">
        <v>672</v>
      </c>
      <c r="AB111" s="2" t="s">
        <v>907</v>
      </c>
      <c r="AC111" s="12">
        <f t="shared" si="6"/>
        <v>2012</v>
      </c>
      <c r="AD111" s="12">
        <f t="shared" si="7"/>
        <v>4</v>
      </c>
      <c r="AE111" s="12">
        <f t="shared" si="8"/>
        <v>19</v>
      </c>
      <c r="AF111" s="16">
        <f t="shared" si="9"/>
        <v>20.100000000000001</v>
      </c>
      <c r="AG111" s="16" t="str">
        <f t="shared" si="10"/>
        <v/>
      </c>
      <c r="AH111" s="16">
        <f t="shared" si="11"/>
        <v>25</v>
      </c>
    </row>
    <row r="112" spans="1:34" x14ac:dyDescent="0.35">
      <c r="A112" s="2" t="s">
        <v>1062</v>
      </c>
      <c r="B112" s="2" t="s">
        <v>29</v>
      </c>
      <c r="C112" s="2" t="s">
        <v>49</v>
      </c>
      <c r="D112" s="2" t="s">
        <v>187</v>
      </c>
      <c r="E112" s="2" t="s">
        <v>55</v>
      </c>
      <c r="F112" s="2" t="s">
        <v>1063</v>
      </c>
      <c r="G112" s="2" t="s">
        <v>53</v>
      </c>
      <c r="H112" s="2" t="s">
        <v>87</v>
      </c>
      <c r="I112" s="2" t="s">
        <v>37</v>
      </c>
      <c r="J112" s="2" t="s">
        <v>579</v>
      </c>
      <c r="K112" s="2" t="s">
        <v>38</v>
      </c>
      <c r="L112" s="2" t="s">
        <v>38</v>
      </c>
      <c r="M112" s="2" t="s">
        <v>39</v>
      </c>
      <c r="N112" s="2" t="s">
        <v>38</v>
      </c>
      <c r="O112" s="2" t="s">
        <v>38</v>
      </c>
      <c r="P112" s="2" t="s">
        <v>38</v>
      </c>
      <c r="Q112" s="2" t="s">
        <v>1064</v>
      </c>
      <c r="R112" s="2" t="s">
        <v>704</v>
      </c>
      <c r="S112" s="2" t="s">
        <v>1065</v>
      </c>
      <c r="T112" s="2" t="s">
        <v>73</v>
      </c>
      <c r="U112" s="2" t="s">
        <v>1066</v>
      </c>
      <c r="V112" s="2" t="s">
        <v>944</v>
      </c>
      <c r="W112" s="2" t="s">
        <v>38</v>
      </c>
      <c r="X112" s="3">
        <v>41019</v>
      </c>
      <c r="Y112" s="2" t="s">
        <v>1067</v>
      </c>
      <c r="Z112" s="35">
        <v>204</v>
      </c>
      <c r="AA112" s="2" t="s">
        <v>672</v>
      </c>
      <c r="AB112" s="2" t="s">
        <v>907</v>
      </c>
      <c r="AC112" s="12">
        <f t="shared" si="6"/>
        <v>2012</v>
      </c>
      <c r="AD112" s="12">
        <f t="shared" si="7"/>
        <v>4</v>
      </c>
      <c r="AE112" s="12">
        <f t="shared" si="8"/>
        <v>20</v>
      </c>
      <c r="AF112" s="16">
        <f t="shared" si="9"/>
        <v>17.7</v>
      </c>
      <c r="AG112" s="16" t="str">
        <f t="shared" si="10"/>
        <v/>
      </c>
      <c r="AH112" s="16">
        <f t="shared" si="11"/>
        <v>20.399999999999999</v>
      </c>
    </row>
    <row r="113" spans="1:34" x14ac:dyDescent="0.35">
      <c r="A113" s="2" t="s">
        <v>1070</v>
      </c>
      <c r="B113" s="2" t="s">
        <v>29</v>
      </c>
      <c r="C113" s="2" t="s">
        <v>49</v>
      </c>
      <c r="D113" s="2" t="s">
        <v>31</v>
      </c>
      <c r="E113" s="2" t="s">
        <v>596</v>
      </c>
      <c r="F113" s="2" t="s">
        <v>432</v>
      </c>
      <c r="G113" s="2" t="s">
        <v>1071</v>
      </c>
      <c r="H113" s="2" t="s">
        <v>69</v>
      </c>
      <c r="I113" s="2" t="s">
        <v>37</v>
      </c>
      <c r="J113" s="2" t="s">
        <v>50</v>
      </c>
      <c r="K113" s="2" t="s">
        <v>38</v>
      </c>
      <c r="L113" s="2" t="s">
        <v>38</v>
      </c>
      <c r="M113" s="2" t="s">
        <v>39</v>
      </c>
      <c r="N113" s="2" t="s">
        <v>38</v>
      </c>
      <c r="O113" s="2" t="s">
        <v>38</v>
      </c>
      <c r="P113" s="2" t="s">
        <v>38</v>
      </c>
      <c r="Q113" s="2" t="s">
        <v>1024</v>
      </c>
      <c r="R113" s="2" t="s">
        <v>57</v>
      </c>
      <c r="S113" s="2" t="s">
        <v>159</v>
      </c>
      <c r="T113" s="2" t="s">
        <v>1072</v>
      </c>
      <c r="U113" s="2" t="s">
        <v>418</v>
      </c>
      <c r="V113" s="2" t="s">
        <v>992</v>
      </c>
      <c r="W113" s="2" t="s">
        <v>38</v>
      </c>
      <c r="X113" s="3">
        <v>41020</v>
      </c>
      <c r="Y113" s="2" t="s">
        <v>1073</v>
      </c>
      <c r="Z113" s="5">
        <v>210</v>
      </c>
      <c r="AA113" s="2" t="s">
        <v>672</v>
      </c>
      <c r="AB113" s="2" t="s">
        <v>907</v>
      </c>
      <c r="AC113" s="12">
        <f t="shared" si="6"/>
        <v>2012</v>
      </c>
      <c r="AD113" s="12">
        <f t="shared" si="7"/>
        <v>4</v>
      </c>
      <c r="AE113" s="12">
        <f t="shared" si="8"/>
        <v>21</v>
      </c>
      <c r="AF113" s="16">
        <f t="shared" si="9"/>
        <v>18.7</v>
      </c>
      <c r="AG113" s="16" t="str">
        <f t="shared" si="10"/>
        <v/>
      </c>
      <c r="AH113" s="16">
        <f t="shared" si="11"/>
        <v>21</v>
      </c>
    </row>
    <row r="114" spans="1:34" x14ac:dyDescent="0.35">
      <c r="A114" s="2" t="s">
        <v>1079</v>
      </c>
      <c r="B114" s="2" t="s">
        <v>29</v>
      </c>
      <c r="C114" s="2" t="s">
        <v>49</v>
      </c>
      <c r="D114" s="2" t="s">
        <v>31</v>
      </c>
      <c r="E114" s="2" t="s">
        <v>94</v>
      </c>
      <c r="F114" s="2" t="s">
        <v>515</v>
      </c>
      <c r="G114" s="2" t="s">
        <v>34</v>
      </c>
      <c r="H114" s="2" t="s">
        <v>1084</v>
      </c>
      <c r="I114" s="2" t="s">
        <v>37</v>
      </c>
      <c r="J114" s="2" t="s">
        <v>50</v>
      </c>
      <c r="K114" s="2" t="s">
        <v>38</v>
      </c>
      <c r="L114" s="2" t="s">
        <v>38</v>
      </c>
      <c r="M114" s="2" t="s">
        <v>39</v>
      </c>
      <c r="N114" s="2" t="s">
        <v>38</v>
      </c>
      <c r="O114" s="2" t="s">
        <v>38</v>
      </c>
      <c r="P114" s="2" t="s">
        <v>38</v>
      </c>
      <c r="Q114" s="2" t="s">
        <v>932</v>
      </c>
      <c r="R114" s="2" t="s">
        <v>183</v>
      </c>
      <c r="S114" s="2" t="s">
        <v>89</v>
      </c>
      <c r="T114" s="2" t="s">
        <v>90</v>
      </c>
      <c r="U114" s="2" t="s">
        <v>278</v>
      </c>
      <c r="V114" s="2" t="s">
        <v>133</v>
      </c>
      <c r="W114" s="2" t="s">
        <v>38</v>
      </c>
      <c r="X114" s="3">
        <v>41021</v>
      </c>
      <c r="Y114" s="2" t="s">
        <v>1085</v>
      </c>
      <c r="Z114" s="5">
        <v>207</v>
      </c>
      <c r="AA114" s="2" t="s">
        <v>672</v>
      </c>
      <c r="AB114" s="2" t="s">
        <v>907</v>
      </c>
      <c r="AC114" s="12">
        <f t="shared" si="6"/>
        <v>2012</v>
      </c>
      <c r="AD114" s="12">
        <f t="shared" si="7"/>
        <v>4</v>
      </c>
      <c r="AE114" s="12">
        <f t="shared" si="8"/>
        <v>22</v>
      </c>
      <c r="AF114" s="16">
        <f t="shared" si="9"/>
        <v>14.1</v>
      </c>
      <c r="AG114" s="16" t="str">
        <f t="shared" si="10"/>
        <v/>
      </c>
      <c r="AH114" s="16">
        <f t="shared" si="11"/>
        <v>20.7</v>
      </c>
    </row>
    <row r="115" spans="1:34" x14ac:dyDescent="0.35">
      <c r="A115" s="2" t="s">
        <v>1086</v>
      </c>
      <c r="B115" s="2" t="s">
        <v>29</v>
      </c>
      <c r="C115" s="2" t="s">
        <v>49</v>
      </c>
      <c r="D115" s="2" t="s">
        <v>31</v>
      </c>
      <c r="E115" s="2" t="s">
        <v>142</v>
      </c>
      <c r="F115" s="2" t="s">
        <v>547</v>
      </c>
      <c r="G115" s="2" t="s">
        <v>34</v>
      </c>
      <c r="H115" s="2" t="s">
        <v>331</v>
      </c>
      <c r="I115" s="2" t="s">
        <v>37</v>
      </c>
      <c r="J115" s="2" t="s">
        <v>579</v>
      </c>
      <c r="K115" s="2" t="s">
        <v>38</v>
      </c>
      <c r="L115" s="2" t="s">
        <v>38</v>
      </c>
      <c r="M115" s="2" t="s">
        <v>39</v>
      </c>
      <c r="N115" s="2" t="s">
        <v>38</v>
      </c>
      <c r="O115" s="2" t="s">
        <v>38</v>
      </c>
      <c r="P115" s="2" t="s">
        <v>38</v>
      </c>
      <c r="Q115" s="2" t="s">
        <v>1087</v>
      </c>
      <c r="R115" s="2" t="s">
        <v>98</v>
      </c>
      <c r="S115" s="2" t="s">
        <v>72</v>
      </c>
      <c r="T115" s="2" t="s">
        <v>73</v>
      </c>
      <c r="U115" s="2" t="s">
        <v>418</v>
      </c>
      <c r="V115" s="2" t="s">
        <v>272</v>
      </c>
      <c r="W115" s="2" t="s">
        <v>38</v>
      </c>
      <c r="X115" s="3">
        <v>41022</v>
      </c>
      <c r="Y115" s="2" t="s">
        <v>1088</v>
      </c>
      <c r="Z115" s="35">
        <v>199</v>
      </c>
      <c r="AA115" s="2" t="s">
        <v>672</v>
      </c>
      <c r="AB115" s="2" t="s">
        <v>907</v>
      </c>
      <c r="AC115" s="12">
        <f t="shared" si="6"/>
        <v>2012</v>
      </c>
      <c r="AD115" s="12">
        <f t="shared" si="7"/>
        <v>4</v>
      </c>
      <c r="AE115" s="12">
        <f t="shared" si="8"/>
        <v>23</v>
      </c>
      <c r="AF115" s="16">
        <f t="shared" si="9"/>
        <v>11.2</v>
      </c>
      <c r="AG115" s="16" t="str">
        <f t="shared" si="10"/>
        <v/>
      </c>
      <c r="AH115" s="16">
        <f t="shared" si="11"/>
        <v>19.899999999999999</v>
      </c>
    </row>
    <row r="116" spans="1:34" x14ac:dyDescent="0.35">
      <c r="A116" s="2" t="s">
        <v>1093</v>
      </c>
      <c r="B116" s="2" t="s">
        <v>29</v>
      </c>
      <c r="C116" s="2" t="s">
        <v>49</v>
      </c>
      <c r="D116" s="2" t="s">
        <v>200</v>
      </c>
      <c r="E116" s="2" t="s">
        <v>104</v>
      </c>
      <c r="F116" s="2" t="s">
        <v>126</v>
      </c>
      <c r="G116" s="2" t="s">
        <v>34</v>
      </c>
      <c r="H116" s="2" t="s">
        <v>217</v>
      </c>
      <c r="I116" s="2" t="s">
        <v>37</v>
      </c>
      <c r="J116" s="2" t="s">
        <v>55</v>
      </c>
      <c r="K116" s="2" t="s">
        <v>38</v>
      </c>
      <c r="L116" s="2" t="s">
        <v>38</v>
      </c>
      <c r="M116" s="2" t="s">
        <v>39</v>
      </c>
      <c r="N116" s="2" t="s">
        <v>38</v>
      </c>
      <c r="O116" s="2" t="s">
        <v>38</v>
      </c>
      <c r="P116" s="2" t="s">
        <v>38</v>
      </c>
      <c r="Q116" s="2" t="s">
        <v>948</v>
      </c>
      <c r="R116" s="2" t="s">
        <v>98</v>
      </c>
      <c r="S116" s="2" t="s">
        <v>690</v>
      </c>
      <c r="T116" s="2" t="s">
        <v>90</v>
      </c>
      <c r="U116" s="2" t="s">
        <v>205</v>
      </c>
      <c r="V116" s="2" t="s">
        <v>845</v>
      </c>
      <c r="W116" s="2" t="s">
        <v>38</v>
      </c>
      <c r="X116" s="3">
        <v>41023</v>
      </c>
      <c r="Y116" s="2" t="s">
        <v>1096</v>
      </c>
      <c r="Z116" s="5">
        <v>184</v>
      </c>
      <c r="AA116" s="2" t="s">
        <v>672</v>
      </c>
      <c r="AB116" s="2" t="s">
        <v>907</v>
      </c>
      <c r="AC116" s="12">
        <f t="shared" si="6"/>
        <v>2012</v>
      </c>
      <c r="AD116" s="12">
        <f t="shared" si="7"/>
        <v>4</v>
      </c>
      <c r="AE116" s="12">
        <f t="shared" si="8"/>
        <v>24</v>
      </c>
      <c r="AF116" s="16">
        <f t="shared" si="9"/>
        <v>13.1</v>
      </c>
      <c r="AG116" s="16" t="str">
        <f t="shared" si="10"/>
        <v/>
      </c>
      <c r="AH116" s="16">
        <f t="shared" si="11"/>
        <v>18.399999999999999</v>
      </c>
    </row>
    <row r="117" spans="1:34" x14ac:dyDescent="0.35">
      <c r="A117" s="2" t="s">
        <v>1097</v>
      </c>
      <c r="B117" s="2" t="s">
        <v>29</v>
      </c>
      <c r="C117" s="2" t="s">
        <v>49</v>
      </c>
      <c r="D117" s="2" t="s">
        <v>171</v>
      </c>
      <c r="E117" s="2" t="s">
        <v>66</v>
      </c>
      <c r="F117" s="2" t="s">
        <v>955</v>
      </c>
      <c r="G117" s="2" t="s">
        <v>34</v>
      </c>
      <c r="H117" s="2" t="s">
        <v>233</v>
      </c>
      <c r="I117" s="2" t="s">
        <v>37</v>
      </c>
      <c r="J117" s="2" t="s">
        <v>596</v>
      </c>
      <c r="K117" s="2" t="s">
        <v>38</v>
      </c>
      <c r="L117" s="2" t="s">
        <v>38</v>
      </c>
      <c r="M117" s="2" t="s">
        <v>39</v>
      </c>
      <c r="N117" s="2" t="s">
        <v>38</v>
      </c>
      <c r="O117" s="2" t="s">
        <v>38</v>
      </c>
      <c r="P117" s="2" t="s">
        <v>38</v>
      </c>
      <c r="Q117" s="2" t="s">
        <v>1098</v>
      </c>
      <c r="R117" s="2" t="s">
        <v>98</v>
      </c>
      <c r="S117" s="2" t="s">
        <v>89</v>
      </c>
      <c r="T117" s="2" t="s">
        <v>90</v>
      </c>
      <c r="U117" s="2" t="s">
        <v>996</v>
      </c>
      <c r="V117" s="2" t="s">
        <v>1099</v>
      </c>
      <c r="W117" s="2" t="s">
        <v>38</v>
      </c>
      <c r="X117" s="3">
        <v>41024</v>
      </c>
      <c r="Y117" s="2" t="s">
        <v>1100</v>
      </c>
      <c r="Z117" s="35">
        <v>194</v>
      </c>
      <c r="AA117" s="2" t="s">
        <v>672</v>
      </c>
      <c r="AB117" s="2" t="s">
        <v>907</v>
      </c>
      <c r="AC117" s="12">
        <f t="shared" si="6"/>
        <v>2012</v>
      </c>
      <c r="AD117" s="12">
        <f t="shared" si="7"/>
        <v>4</v>
      </c>
      <c r="AE117" s="12">
        <f t="shared" si="8"/>
        <v>25</v>
      </c>
      <c r="AF117" s="16">
        <f t="shared" si="9"/>
        <v>14.9</v>
      </c>
      <c r="AG117" s="16" t="str">
        <f t="shared" si="10"/>
        <v/>
      </c>
      <c r="AH117" s="16">
        <f t="shared" si="11"/>
        <v>19.399999999999999</v>
      </c>
    </row>
    <row r="118" spans="1:34" x14ac:dyDescent="0.35">
      <c r="A118" s="2" t="s">
        <v>1104</v>
      </c>
      <c r="B118" s="2" t="s">
        <v>29</v>
      </c>
      <c r="C118" s="2" t="s">
        <v>49</v>
      </c>
      <c r="D118" s="2" t="s">
        <v>31</v>
      </c>
      <c r="E118" s="2" t="s">
        <v>142</v>
      </c>
      <c r="F118" s="2" t="s">
        <v>667</v>
      </c>
      <c r="G118" s="2" t="s">
        <v>34</v>
      </c>
      <c r="H118" s="2" t="s">
        <v>276</v>
      </c>
      <c r="I118" s="2" t="s">
        <v>37</v>
      </c>
      <c r="J118" s="2" t="s">
        <v>50</v>
      </c>
      <c r="K118" s="2" t="s">
        <v>38</v>
      </c>
      <c r="L118" s="2" t="s">
        <v>38</v>
      </c>
      <c r="M118" s="2" t="s">
        <v>39</v>
      </c>
      <c r="N118" s="2" t="s">
        <v>38</v>
      </c>
      <c r="O118" s="2" t="s">
        <v>38</v>
      </c>
      <c r="P118" s="2" t="s">
        <v>38</v>
      </c>
      <c r="Q118" s="2" t="s">
        <v>994</v>
      </c>
      <c r="R118" s="2" t="s">
        <v>98</v>
      </c>
      <c r="S118" s="2" t="s">
        <v>122</v>
      </c>
      <c r="T118" s="2" t="s">
        <v>73</v>
      </c>
      <c r="U118" s="2" t="s">
        <v>418</v>
      </c>
      <c r="V118" s="2" t="s">
        <v>272</v>
      </c>
      <c r="W118" s="2" t="s">
        <v>38</v>
      </c>
      <c r="X118" s="3">
        <v>41025</v>
      </c>
      <c r="Y118" s="2" t="s">
        <v>1105</v>
      </c>
      <c r="Z118" s="35">
        <v>213</v>
      </c>
      <c r="AA118" s="2" t="s">
        <v>672</v>
      </c>
      <c r="AB118" s="2" t="s">
        <v>907</v>
      </c>
      <c r="AC118" s="12">
        <f t="shared" si="6"/>
        <v>2012</v>
      </c>
      <c r="AD118" s="12">
        <f t="shared" si="7"/>
        <v>4</v>
      </c>
      <c r="AE118" s="12">
        <f t="shared" si="8"/>
        <v>26</v>
      </c>
      <c r="AF118" s="16">
        <f t="shared" si="9"/>
        <v>11.2</v>
      </c>
      <c r="AG118" s="16" t="str">
        <f t="shared" si="10"/>
        <v/>
      </c>
      <c r="AH118" s="16">
        <f t="shared" si="11"/>
        <v>21.3</v>
      </c>
    </row>
    <row r="119" spans="1:34" x14ac:dyDescent="0.35">
      <c r="A119" s="2" t="s">
        <v>1109</v>
      </c>
      <c r="B119" s="2" t="s">
        <v>29</v>
      </c>
      <c r="C119" s="2" t="s">
        <v>49</v>
      </c>
      <c r="D119" s="2" t="s">
        <v>111</v>
      </c>
      <c r="E119" s="2" t="s">
        <v>142</v>
      </c>
      <c r="F119" s="2" t="s">
        <v>352</v>
      </c>
      <c r="G119" s="2" t="s">
        <v>34</v>
      </c>
      <c r="H119" s="2" t="s">
        <v>233</v>
      </c>
      <c r="I119" s="2" t="s">
        <v>37</v>
      </c>
      <c r="J119" s="2" t="s">
        <v>579</v>
      </c>
      <c r="K119" s="2" t="s">
        <v>38</v>
      </c>
      <c r="L119" s="2" t="s">
        <v>38</v>
      </c>
      <c r="M119" s="2" t="s">
        <v>39</v>
      </c>
      <c r="N119" s="2" t="s">
        <v>38</v>
      </c>
      <c r="O119" s="2" t="s">
        <v>38</v>
      </c>
      <c r="P119" s="2" t="s">
        <v>38</v>
      </c>
      <c r="Q119" s="2" t="s">
        <v>1111</v>
      </c>
      <c r="R119" s="2" t="s">
        <v>98</v>
      </c>
      <c r="S119" s="2" t="s">
        <v>89</v>
      </c>
      <c r="T119" s="2" t="s">
        <v>90</v>
      </c>
      <c r="U119" s="2" t="s">
        <v>481</v>
      </c>
      <c r="V119" s="2" t="s">
        <v>184</v>
      </c>
      <c r="W119" s="2" t="s">
        <v>38</v>
      </c>
      <c r="X119" s="3">
        <v>41026</v>
      </c>
      <c r="Y119" s="2" t="s">
        <v>1112</v>
      </c>
      <c r="Z119" s="5">
        <v>202</v>
      </c>
      <c r="AA119" s="2" t="s">
        <v>672</v>
      </c>
      <c r="AB119" s="2" t="s">
        <v>907</v>
      </c>
      <c r="AC119" s="12">
        <f t="shared" si="6"/>
        <v>2012</v>
      </c>
      <c r="AD119" s="12">
        <f t="shared" si="7"/>
        <v>4</v>
      </c>
      <c r="AE119" s="12">
        <f t="shared" si="8"/>
        <v>27</v>
      </c>
      <c r="AF119" s="16">
        <f t="shared" si="9"/>
        <v>11.4</v>
      </c>
      <c r="AG119" s="16" t="str">
        <f t="shared" si="10"/>
        <v/>
      </c>
      <c r="AH119" s="16">
        <f t="shared" si="11"/>
        <v>20.2</v>
      </c>
    </row>
    <row r="120" spans="1:34" x14ac:dyDescent="0.35">
      <c r="A120" s="2" t="s">
        <v>1113</v>
      </c>
      <c r="B120" s="2" t="s">
        <v>29</v>
      </c>
      <c r="C120" s="2" t="s">
        <v>49</v>
      </c>
      <c r="D120" s="2" t="s">
        <v>77</v>
      </c>
      <c r="E120" s="2" t="s">
        <v>142</v>
      </c>
      <c r="F120" s="2" t="s">
        <v>1114</v>
      </c>
      <c r="G120" s="2" t="s">
        <v>34</v>
      </c>
      <c r="H120" s="2" t="s">
        <v>270</v>
      </c>
      <c r="I120" s="2" t="s">
        <v>37</v>
      </c>
      <c r="J120" s="2" t="s">
        <v>50</v>
      </c>
      <c r="K120" s="2" t="s">
        <v>38</v>
      </c>
      <c r="L120" s="2" t="s">
        <v>38</v>
      </c>
      <c r="M120" s="2" t="s">
        <v>39</v>
      </c>
      <c r="N120" s="2" t="s">
        <v>38</v>
      </c>
      <c r="O120" s="2" t="s">
        <v>38</v>
      </c>
      <c r="P120" s="2" t="s">
        <v>38</v>
      </c>
      <c r="Q120" s="2" t="s">
        <v>1115</v>
      </c>
      <c r="R120" s="2" t="s">
        <v>41</v>
      </c>
      <c r="S120" s="2" t="s">
        <v>1116</v>
      </c>
      <c r="T120" s="2" t="s">
        <v>43</v>
      </c>
      <c r="U120" s="2" t="s">
        <v>132</v>
      </c>
      <c r="V120" s="2" t="s">
        <v>148</v>
      </c>
      <c r="W120" s="2" t="s">
        <v>38</v>
      </c>
      <c r="X120" s="3">
        <v>41027</v>
      </c>
      <c r="Y120" s="2" t="s">
        <v>1117</v>
      </c>
      <c r="Z120" s="5">
        <v>215</v>
      </c>
      <c r="AA120" s="2" t="s">
        <v>672</v>
      </c>
      <c r="AB120" s="2" t="s">
        <v>907</v>
      </c>
      <c r="AC120" s="12">
        <f t="shared" si="6"/>
        <v>2012</v>
      </c>
      <c r="AD120" s="12">
        <f t="shared" si="7"/>
        <v>4</v>
      </c>
      <c r="AE120" s="12">
        <f t="shared" si="8"/>
        <v>28</v>
      </c>
      <c r="AF120" s="16">
        <f t="shared" si="9"/>
        <v>10.7</v>
      </c>
      <c r="AG120" s="16" t="str">
        <f t="shared" si="10"/>
        <v/>
      </c>
      <c r="AH120" s="16">
        <f t="shared" si="11"/>
        <v>21.5</v>
      </c>
    </row>
    <row r="121" spans="1:34" x14ac:dyDescent="0.35">
      <c r="A121" s="2" t="s">
        <v>1121</v>
      </c>
      <c r="B121" s="2" t="s">
        <v>29</v>
      </c>
      <c r="C121" s="2" t="s">
        <v>49</v>
      </c>
      <c r="D121" s="2" t="s">
        <v>77</v>
      </c>
      <c r="E121" s="2" t="s">
        <v>511</v>
      </c>
      <c r="F121" s="2" t="s">
        <v>790</v>
      </c>
      <c r="G121" s="2" t="s">
        <v>34</v>
      </c>
      <c r="H121" s="2" t="s">
        <v>35</v>
      </c>
      <c r="I121" s="2" t="s">
        <v>37</v>
      </c>
      <c r="J121" s="2" t="s">
        <v>579</v>
      </c>
      <c r="K121" s="2" t="s">
        <v>38</v>
      </c>
      <c r="L121" s="2" t="s">
        <v>38</v>
      </c>
      <c r="M121" s="2" t="s">
        <v>39</v>
      </c>
      <c r="N121" s="2" t="s">
        <v>38</v>
      </c>
      <c r="O121" s="2" t="s">
        <v>38</v>
      </c>
      <c r="P121" s="2" t="s">
        <v>38</v>
      </c>
      <c r="Q121" s="2" t="s">
        <v>1064</v>
      </c>
      <c r="R121" s="2" t="s">
        <v>98</v>
      </c>
      <c r="S121" s="2" t="s">
        <v>99</v>
      </c>
      <c r="T121" s="2" t="s">
        <v>90</v>
      </c>
      <c r="U121" s="2" t="s">
        <v>1124</v>
      </c>
      <c r="V121" s="2" t="s">
        <v>1125</v>
      </c>
      <c r="W121" s="2" t="s">
        <v>38</v>
      </c>
      <c r="X121" s="3">
        <v>41028</v>
      </c>
      <c r="Y121" s="2" t="s">
        <v>1126</v>
      </c>
      <c r="Z121" s="35">
        <v>204</v>
      </c>
      <c r="AA121" s="2" t="s">
        <v>672</v>
      </c>
      <c r="AB121" s="2" t="s">
        <v>907</v>
      </c>
      <c r="AC121" s="12">
        <f t="shared" si="6"/>
        <v>2012</v>
      </c>
      <c r="AD121" s="12">
        <f t="shared" si="7"/>
        <v>4</v>
      </c>
      <c r="AE121" s="12">
        <f t="shared" si="8"/>
        <v>29</v>
      </c>
      <c r="AF121" s="16">
        <f t="shared" si="9"/>
        <v>4.0999999999999996</v>
      </c>
      <c r="AG121" s="16" t="str">
        <f t="shared" si="10"/>
        <v/>
      </c>
      <c r="AH121" s="16">
        <f t="shared" si="11"/>
        <v>20.399999999999999</v>
      </c>
    </row>
    <row r="122" spans="1:34" x14ac:dyDescent="0.35">
      <c r="A122" s="2" t="s">
        <v>1127</v>
      </c>
      <c r="B122" s="2" t="s">
        <v>29</v>
      </c>
      <c r="C122" s="2" t="s">
        <v>49</v>
      </c>
      <c r="D122" s="2" t="s">
        <v>77</v>
      </c>
      <c r="E122" s="2" t="s">
        <v>165</v>
      </c>
      <c r="F122" s="2" t="s">
        <v>790</v>
      </c>
      <c r="G122" s="2" t="s">
        <v>34</v>
      </c>
      <c r="H122" s="2" t="s">
        <v>371</v>
      </c>
      <c r="I122" s="2" t="s">
        <v>37</v>
      </c>
      <c r="J122" s="2" t="s">
        <v>50</v>
      </c>
      <c r="K122" s="2" t="s">
        <v>38</v>
      </c>
      <c r="L122" s="2" t="s">
        <v>38</v>
      </c>
      <c r="M122" s="2" t="s">
        <v>39</v>
      </c>
      <c r="N122" s="2" t="s">
        <v>38</v>
      </c>
      <c r="O122" s="2" t="s">
        <v>38</v>
      </c>
      <c r="P122" s="2" t="s">
        <v>38</v>
      </c>
      <c r="Q122" s="2" t="s">
        <v>1132</v>
      </c>
      <c r="R122" s="2" t="s">
        <v>98</v>
      </c>
      <c r="S122" s="2" t="s">
        <v>541</v>
      </c>
      <c r="T122" s="2" t="s">
        <v>90</v>
      </c>
      <c r="U122" s="2" t="s">
        <v>1124</v>
      </c>
      <c r="V122" s="2" t="s">
        <v>185</v>
      </c>
      <c r="W122" s="2" t="s">
        <v>38</v>
      </c>
      <c r="X122" s="3">
        <v>41029</v>
      </c>
      <c r="Y122" s="2" t="s">
        <v>1133</v>
      </c>
      <c r="Z122" s="5">
        <v>214</v>
      </c>
      <c r="AA122" s="2" t="s">
        <v>672</v>
      </c>
      <c r="AB122" s="2" t="s">
        <v>907</v>
      </c>
      <c r="AC122" s="12">
        <f t="shared" si="6"/>
        <v>2012</v>
      </c>
      <c r="AD122" s="12">
        <f t="shared" si="7"/>
        <v>4</v>
      </c>
      <c r="AE122" s="12">
        <f t="shared" si="8"/>
        <v>30</v>
      </c>
      <c r="AF122" s="16">
        <f t="shared" si="9"/>
        <v>8.6999999999999993</v>
      </c>
      <c r="AG122" s="16" t="str">
        <f t="shared" si="10"/>
        <v/>
      </c>
      <c r="AH122" s="16">
        <f t="shared" si="11"/>
        <v>21.4</v>
      </c>
    </row>
    <row r="123" spans="1:34" x14ac:dyDescent="0.35">
      <c r="A123" s="2" t="s">
        <v>1134</v>
      </c>
      <c r="B123" s="2" t="s">
        <v>29</v>
      </c>
      <c r="C123" s="2" t="s">
        <v>49</v>
      </c>
      <c r="D123" s="2" t="s">
        <v>77</v>
      </c>
      <c r="E123" s="2" t="s">
        <v>94</v>
      </c>
      <c r="F123" s="2" t="s">
        <v>530</v>
      </c>
      <c r="G123" s="2" t="s">
        <v>34</v>
      </c>
      <c r="H123" s="2" t="s">
        <v>371</v>
      </c>
      <c r="I123" s="2" t="s">
        <v>37</v>
      </c>
      <c r="J123" s="2" t="s">
        <v>596</v>
      </c>
      <c r="K123" s="2" t="s">
        <v>38</v>
      </c>
      <c r="L123" s="2" t="s">
        <v>38</v>
      </c>
      <c r="M123" s="2" t="s">
        <v>39</v>
      </c>
      <c r="N123" s="2" t="s">
        <v>38</v>
      </c>
      <c r="O123" s="2" t="s">
        <v>38</v>
      </c>
      <c r="P123" s="2" t="s">
        <v>38</v>
      </c>
      <c r="Q123" s="2" t="s">
        <v>1002</v>
      </c>
      <c r="R123" s="2" t="s">
        <v>98</v>
      </c>
      <c r="S123" s="2" t="s">
        <v>89</v>
      </c>
      <c r="T123" s="2" t="s">
        <v>90</v>
      </c>
      <c r="U123" s="2" t="s">
        <v>442</v>
      </c>
      <c r="V123" s="2" t="s">
        <v>133</v>
      </c>
      <c r="W123" s="2" t="s">
        <v>38</v>
      </c>
      <c r="X123" s="3">
        <v>41030</v>
      </c>
      <c r="Y123" s="2" t="s">
        <v>1135</v>
      </c>
      <c r="Z123" s="35">
        <v>185</v>
      </c>
      <c r="AA123" s="2" t="s">
        <v>672</v>
      </c>
      <c r="AB123" s="2" t="s">
        <v>1131</v>
      </c>
      <c r="AC123" s="12">
        <f t="shared" si="6"/>
        <v>2012</v>
      </c>
      <c r="AD123" s="12">
        <f t="shared" si="7"/>
        <v>5</v>
      </c>
      <c r="AE123" s="12">
        <f t="shared" si="8"/>
        <v>1</v>
      </c>
      <c r="AF123" s="16">
        <f t="shared" si="9"/>
        <v>14.1</v>
      </c>
      <c r="AG123" s="16" t="str">
        <f t="shared" si="10"/>
        <v/>
      </c>
      <c r="AH123" s="16">
        <f t="shared" si="11"/>
        <v>18.5</v>
      </c>
    </row>
    <row r="124" spans="1:34" x14ac:dyDescent="0.35">
      <c r="A124" s="2" t="s">
        <v>1137</v>
      </c>
      <c r="B124" s="2" t="s">
        <v>29</v>
      </c>
      <c r="C124" s="2" t="s">
        <v>49</v>
      </c>
      <c r="D124" s="2" t="s">
        <v>171</v>
      </c>
      <c r="E124" s="2" t="s">
        <v>195</v>
      </c>
      <c r="F124" s="2" t="s">
        <v>1063</v>
      </c>
      <c r="G124" s="2" t="s">
        <v>34</v>
      </c>
      <c r="H124" s="2" t="s">
        <v>1140</v>
      </c>
      <c r="I124" s="2" t="s">
        <v>37</v>
      </c>
      <c r="J124" s="2" t="s">
        <v>55</v>
      </c>
      <c r="K124" s="2" t="s">
        <v>38</v>
      </c>
      <c r="L124" s="2" t="s">
        <v>38</v>
      </c>
      <c r="M124" s="2" t="s">
        <v>39</v>
      </c>
      <c r="N124" s="2" t="s">
        <v>38</v>
      </c>
      <c r="O124" s="2" t="s">
        <v>38</v>
      </c>
      <c r="P124" s="2" t="s">
        <v>38</v>
      </c>
      <c r="Q124" s="2" t="s">
        <v>964</v>
      </c>
      <c r="R124" s="2" t="s">
        <v>98</v>
      </c>
      <c r="S124" s="2" t="s">
        <v>690</v>
      </c>
      <c r="T124" s="2" t="s">
        <v>90</v>
      </c>
      <c r="U124" s="2" t="s">
        <v>265</v>
      </c>
      <c r="V124" s="2" t="s">
        <v>1141</v>
      </c>
      <c r="W124" s="2" t="s">
        <v>38</v>
      </c>
      <c r="X124" s="3">
        <v>41031</v>
      </c>
      <c r="Y124" s="2" t="s">
        <v>1142</v>
      </c>
      <c r="Z124" s="35">
        <v>179</v>
      </c>
      <c r="AA124" s="2" t="s">
        <v>672</v>
      </c>
      <c r="AB124" s="2" t="s">
        <v>1131</v>
      </c>
      <c r="AC124" s="12">
        <f t="shared" si="6"/>
        <v>2012</v>
      </c>
      <c r="AD124" s="12">
        <f t="shared" si="7"/>
        <v>5</v>
      </c>
      <c r="AE124" s="12">
        <f t="shared" si="8"/>
        <v>2</v>
      </c>
      <c r="AF124" s="16">
        <f t="shared" si="9"/>
        <v>8.4</v>
      </c>
      <c r="AG124" s="16" t="str">
        <f t="shared" si="10"/>
        <v/>
      </c>
      <c r="AH124" s="16">
        <f t="shared" si="11"/>
        <v>17.899999999999999</v>
      </c>
    </row>
    <row r="125" spans="1:34" x14ac:dyDescent="0.35">
      <c r="A125" s="2" t="s">
        <v>1143</v>
      </c>
      <c r="B125" s="2" t="s">
        <v>29</v>
      </c>
      <c r="C125" s="2" t="s">
        <v>49</v>
      </c>
      <c r="D125" s="2" t="s">
        <v>31</v>
      </c>
      <c r="E125" s="2" t="s">
        <v>30</v>
      </c>
      <c r="F125" s="2" t="s">
        <v>95</v>
      </c>
      <c r="G125" s="2" t="s">
        <v>34</v>
      </c>
      <c r="H125" s="2" t="s">
        <v>947</v>
      </c>
      <c r="I125" s="2" t="s">
        <v>37</v>
      </c>
      <c r="J125" s="2" t="s">
        <v>55</v>
      </c>
      <c r="K125" s="2" t="s">
        <v>38</v>
      </c>
      <c r="L125" s="2" t="s">
        <v>38</v>
      </c>
      <c r="M125" s="2" t="s">
        <v>39</v>
      </c>
      <c r="N125" s="2" t="s">
        <v>38</v>
      </c>
      <c r="O125" s="2" t="s">
        <v>38</v>
      </c>
      <c r="P125" s="2" t="s">
        <v>38</v>
      </c>
      <c r="Q125" s="2" t="s">
        <v>1146</v>
      </c>
      <c r="R125" s="2" t="s">
        <v>98</v>
      </c>
      <c r="S125" s="2" t="s">
        <v>631</v>
      </c>
      <c r="T125" s="2" t="s">
        <v>90</v>
      </c>
      <c r="U125" s="2" t="s">
        <v>44</v>
      </c>
      <c r="V125" s="2" t="s">
        <v>783</v>
      </c>
      <c r="W125" s="2" t="s">
        <v>38</v>
      </c>
      <c r="X125" s="3">
        <v>41032</v>
      </c>
      <c r="Y125" s="2" t="s">
        <v>1147</v>
      </c>
      <c r="Z125" s="5">
        <v>183</v>
      </c>
      <c r="AA125" s="2" t="s">
        <v>672</v>
      </c>
      <c r="AB125" s="2" t="s">
        <v>1131</v>
      </c>
      <c r="AC125" s="12">
        <f t="shared" si="6"/>
        <v>2012</v>
      </c>
      <c r="AD125" s="12">
        <f t="shared" si="7"/>
        <v>5</v>
      </c>
      <c r="AE125" s="12">
        <f t="shared" si="8"/>
        <v>3</v>
      </c>
      <c r="AF125" s="16">
        <f t="shared" si="9"/>
        <v>11.6</v>
      </c>
      <c r="AG125" s="16" t="str">
        <f t="shared" si="10"/>
        <v/>
      </c>
      <c r="AH125" s="16">
        <f t="shared" si="11"/>
        <v>18.3</v>
      </c>
    </row>
    <row r="126" spans="1:34" x14ac:dyDescent="0.35">
      <c r="A126" s="2" t="s">
        <v>1148</v>
      </c>
      <c r="B126" s="2" t="s">
        <v>29</v>
      </c>
      <c r="C126" s="2" t="s">
        <v>49</v>
      </c>
      <c r="D126" s="2" t="s">
        <v>171</v>
      </c>
      <c r="E126" s="2" t="s">
        <v>66</v>
      </c>
      <c r="F126" s="2" t="s">
        <v>785</v>
      </c>
      <c r="G126" s="2" t="s">
        <v>34</v>
      </c>
      <c r="H126" s="2" t="s">
        <v>54</v>
      </c>
      <c r="I126" s="2" t="s">
        <v>37</v>
      </c>
      <c r="J126" s="2" t="s">
        <v>714</v>
      </c>
      <c r="K126" s="2" t="s">
        <v>38</v>
      </c>
      <c r="L126" s="2" t="s">
        <v>38</v>
      </c>
      <c r="M126" s="2" t="s">
        <v>39</v>
      </c>
      <c r="N126" s="2" t="s">
        <v>38</v>
      </c>
      <c r="O126" s="2" t="s">
        <v>38</v>
      </c>
      <c r="P126" s="2" t="s">
        <v>38</v>
      </c>
      <c r="Q126" s="2" t="s">
        <v>926</v>
      </c>
      <c r="R126" s="2" t="s">
        <v>98</v>
      </c>
      <c r="S126" s="2" t="s">
        <v>146</v>
      </c>
      <c r="T126" s="2" t="s">
        <v>90</v>
      </c>
      <c r="U126" s="2" t="s">
        <v>175</v>
      </c>
      <c r="V126" s="2" t="s">
        <v>123</v>
      </c>
      <c r="W126" s="2" t="s">
        <v>38</v>
      </c>
      <c r="X126" s="3">
        <v>41033</v>
      </c>
      <c r="Y126" s="2" t="s">
        <v>1152</v>
      </c>
      <c r="Z126" s="35">
        <v>223</v>
      </c>
      <c r="AA126" s="2" t="s">
        <v>672</v>
      </c>
      <c r="AB126" s="2" t="s">
        <v>1131</v>
      </c>
      <c r="AC126" s="12">
        <f t="shared" si="6"/>
        <v>2012</v>
      </c>
      <c r="AD126" s="12">
        <f t="shared" si="7"/>
        <v>5</v>
      </c>
      <c r="AE126" s="12">
        <f t="shared" si="8"/>
        <v>4</v>
      </c>
      <c r="AF126" s="16">
        <f t="shared" si="9"/>
        <v>15.2</v>
      </c>
      <c r="AG126" s="16" t="str">
        <f t="shared" si="10"/>
        <v/>
      </c>
      <c r="AH126" s="16">
        <f t="shared" si="11"/>
        <v>22.3</v>
      </c>
    </row>
    <row r="127" spans="1:34" x14ac:dyDescent="0.35">
      <c r="A127" s="2" t="s">
        <v>1153</v>
      </c>
      <c r="B127" s="2" t="s">
        <v>29</v>
      </c>
      <c r="C127" s="2" t="s">
        <v>49</v>
      </c>
      <c r="D127" s="2" t="s">
        <v>200</v>
      </c>
      <c r="E127" s="2" t="s">
        <v>55</v>
      </c>
      <c r="F127" s="2" t="s">
        <v>330</v>
      </c>
      <c r="G127" s="2" t="s">
        <v>34</v>
      </c>
      <c r="H127" s="2" t="s">
        <v>137</v>
      </c>
      <c r="I127" s="2" t="s">
        <v>37</v>
      </c>
      <c r="J127" s="2" t="s">
        <v>714</v>
      </c>
      <c r="K127" s="2" t="s">
        <v>38</v>
      </c>
      <c r="L127" s="2" t="s">
        <v>38</v>
      </c>
      <c r="M127" s="2" t="s">
        <v>39</v>
      </c>
      <c r="N127" s="2" t="s">
        <v>38</v>
      </c>
      <c r="O127" s="2" t="s">
        <v>38</v>
      </c>
      <c r="P127" s="2" t="s">
        <v>38</v>
      </c>
      <c r="Q127" s="2" t="s">
        <v>1157</v>
      </c>
      <c r="R127" s="2" t="s">
        <v>98</v>
      </c>
      <c r="S127" s="2" t="s">
        <v>961</v>
      </c>
      <c r="T127" s="2" t="s">
        <v>73</v>
      </c>
      <c r="U127" s="2" t="s">
        <v>236</v>
      </c>
      <c r="V127" s="2" t="s">
        <v>944</v>
      </c>
      <c r="W127" s="2" t="s">
        <v>38</v>
      </c>
      <c r="X127" s="3">
        <v>41034</v>
      </c>
      <c r="Y127" s="2" t="s">
        <v>1158</v>
      </c>
      <c r="Z127" s="5">
        <v>216</v>
      </c>
      <c r="AA127" s="2" t="s">
        <v>672</v>
      </c>
      <c r="AB127" s="2" t="s">
        <v>1131</v>
      </c>
      <c r="AC127" s="12">
        <f t="shared" si="6"/>
        <v>2012</v>
      </c>
      <c r="AD127" s="12">
        <f t="shared" si="7"/>
        <v>5</v>
      </c>
      <c r="AE127" s="12">
        <f t="shared" si="8"/>
        <v>5</v>
      </c>
      <c r="AF127" s="16">
        <f t="shared" si="9"/>
        <v>17.7</v>
      </c>
      <c r="AG127" s="16" t="str">
        <f t="shared" si="10"/>
        <v/>
      </c>
      <c r="AH127" s="16">
        <f t="shared" si="11"/>
        <v>21.6</v>
      </c>
    </row>
    <row r="128" spans="1:34" x14ac:dyDescent="0.35">
      <c r="A128" s="2" t="s">
        <v>1159</v>
      </c>
      <c r="B128" s="2" t="s">
        <v>29</v>
      </c>
      <c r="C128" s="2" t="s">
        <v>49</v>
      </c>
      <c r="D128" s="2" t="s">
        <v>187</v>
      </c>
      <c r="E128" s="2" t="s">
        <v>596</v>
      </c>
      <c r="F128" s="2" t="s">
        <v>747</v>
      </c>
      <c r="G128" s="2" t="s">
        <v>34</v>
      </c>
      <c r="H128" s="2" t="s">
        <v>1163</v>
      </c>
      <c r="I128" s="2" t="s">
        <v>37</v>
      </c>
      <c r="J128" s="2" t="s">
        <v>714</v>
      </c>
      <c r="K128" s="2" t="s">
        <v>38</v>
      </c>
      <c r="L128" s="2" t="s">
        <v>38</v>
      </c>
      <c r="M128" s="2" t="s">
        <v>39</v>
      </c>
      <c r="N128" s="2" t="s">
        <v>38</v>
      </c>
      <c r="O128" s="2" t="s">
        <v>38</v>
      </c>
      <c r="P128" s="2" t="s">
        <v>38</v>
      </c>
      <c r="Q128" s="2" t="s">
        <v>1164</v>
      </c>
      <c r="R128" s="2" t="s">
        <v>41</v>
      </c>
      <c r="S128" s="2" t="s">
        <v>935</v>
      </c>
      <c r="T128" s="2" t="s">
        <v>345</v>
      </c>
      <c r="U128" s="2" t="s">
        <v>1165</v>
      </c>
      <c r="V128" s="2" t="s">
        <v>1060</v>
      </c>
      <c r="W128" s="2" t="s">
        <v>38</v>
      </c>
      <c r="X128" s="3">
        <v>41035</v>
      </c>
      <c r="Y128" s="2" t="s">
        <v>1166</v>
      </c>
      <c r="Z128" s="35">
        <v>220</v>
      </c>
      <c r="AA128" s="2" t="s">
        <v>672</v>
      </c>
      <c r="AB128" s="2" t="s">
        <v>1131</v>
      </c>
      <c r="AC128" s="12">
        <f t="shared" si="6"/>
        <v>2012</v>
      </c>
      <c r="AD128" s="12">
        <f t="shared" si="7"/>
        <v>5</v>
      </c>
      <c r="AE128" s="12">
        <f t="shared" si="8"/>
        <v>6</v>
      </c>
      <c r="AF128" s="16">
        <f t="shared" si="9"/>
        <v>18.5</v>
      </c>
      <c r="AG128" s="16" t="str">
        <f t="shared" si="10"/>
        <v/>
      </c>
      <c r="AH128" s="16">
        <f t="shared" si="11"/>
        <v>22</v>
      </c>
    </row>
    <row r="129" spans="1:34" x14ac:dyDescent="0.35">
      <c r="A129" s="2" t="s">
        <v>1167</v>
      </c>
      <c r="B129" s="2" t="s">
        <v>29</v>
      </c>
      <c r="C129" s="2" t="s">
        <v>49</v>
      </c>
      <c r="D129" s="2" t="s">
        <v>200</v>
      </c>
      <c r="E129" s="2" t="s">
        <v>55</v>
      </c>
      <c r="F129" s="2" t="s">
        <v>1168</v>
      </c>
      <c r="G129" s="2" t="s">
        <v>34</v>
      </c>
      <c r="H129" s="2" t="s">
        <v>371</v>
      </c>
      <c r="I129" s="2" t="s">
        <v>37</v>
      </c>
      <c r="J129" s="2" t="s">
        <v>714</v>
      </c>
      <c r="K129" s="2" t="s">
        <v>38</v>
      </c>
      <c r="L129" s="2" t="s">
        <v>38</v>
      </c>
      <c r="M129" s="2" t="s">
        <v>39</v>
      </c>
      <c r="N129" s="2" t="s">
        <v>38</v>
      </c>
      <c r="O129" s="2" t="s">
        <v>38</v>
      </c>
      <c r="P129" s="2" t="s">
        <v>38</v>
      </c>
      <c r="Q129" s="2" t="s">
        <v>1169</v>
      </c>
      <c r="R129" s="2" t="s">
        <v>41</v>
      </c>
      <c r="S129" s="2" t="s">
        <v>1170</v>
      </c>
      <c r="T129" s="2" t="s">
        <v>372</v>
      </c>
      <c r="U129" s="2" t="s">
        <v>205</v>
      </c>
      <c r="V129" s="2" t="s">
        <v>663</v>
      </c>
      <c r="W129" s="2" t="s">
        <v>38</v>
      </c>
      <c r="X129" s="3">
        <v>41036</v>
      </c>
      <c r="Y129" s="2" t="s">
        <v>1171</v>
      </c>
      <c r="Z129" s="5">
        <v>217</v>
      </c>
      <c r="AA129" s="2" t="s">
        <v>672</v>
      </c>
      <c r="AB129" s="2" t="s">
        <v>1131</v>
      </c>
      <c r="AC129" s="12">
        <f t="shared" si="6"/>
        <v>2012</v>
      </c>
      <c r="AD129" s="12">
        <f t="shared" si="7"/>
        <v>5</v>
      </c>
      <c r="AE129" s="12">
        <f t="shared" si="8"/>
        <v>7</v>
      </c>
      <c r="AF129" s="16">
        <f t="shared" si="9"/>
        <v>18</v>
      </c>
      <c r="AG129" s="16" t="str">
        <f t="shared" si="10"/>
        <v/>
      </c>
      <c r="AH129" s="16">
        <f t="shared" si="11"/>
        <v>21.7</v>
      </c>
    </row>
    <row r="130" spans="1:34" x14ac:dyDescent="0.35">
      <c r="A130" s="2" t="s">
        <v>1177</v>
      </c>
      <c r="B130" s="2" t="s">
        <v>29</v>
      </c>
      <c r="C130" s="2" t="s">
        <v>49</v>
      </c>
      <c r="D130" s="2" t="s">
        <v>171</v>
      </c>
      <c r="E130" s="2" t="s">
        <v>579</v>
      </c>
      <c r="F130" s="2" t="s">
        <v>320</v>
      </c>
      <c r="G130" s="2" t="s">
        <v>34</v>
      </c>
      <c r="H130" s="2" t="s">
        <v>246</v>
      </c>
      <c r="I130" s="2" t="s">
        <v>37</v>
      </c>
      <c r="J130" s="2" t="s">
        <v>306</v>
      </c>
      <c r="K130" s="2" t="s">
        <v>38</v>
      </c>
      <c r="L130" s="2" t="s">
        <v>38</v>
      </c>
      <c r="M130" s="2" t="s">
        <v>39</v>
      </c>
      <c r="N130" s="2" t="s">
        <v>38</v>
      </c>
      <c r="O130" s="2" t="s">
        <v>38</v>
      </c>
      <c r="P130" s="2" t="s">
        <v>38</v>
      </c>
      <c r="Q130" s="2" t="s">
        <v>1178</v>
      </c>
      <c r="R130" s="2" t="s">
        <v>98</v>
      </c>
      <c r="S130" s="2" t="s">
        <v>1179</v>
      </c>
      <c r="T130" s="2" t="s">
        <v>73</v>
      </c>
      <c r="U130" s="2" t="s">
        <v>996</v>
      </c>
      <c r="V130" s="2" t="s">
        <v>581</v>
      </c>
      <c r="W130" s="2" t="s">
        <v>38</v>
      </c>
      <c r="X130" s="3">
        <v>41037</v>
      </c>
      <c r="Y130" s="2" t="s">
        <v>1180</v>
      </c>
      <c r="Z130" s="5">
        <v>228</v>
      </c>
      <c r="AA130" s="2" t="s">
        <v>672</v>
      </c>
      <c r="AB130" s="2" t="s">
        <v>1131</v>
      </c>
      <c r="AC130" s="12">
        <f t="shared" ref="AC130:AC193" si="12">YEAR(X130)</f>
        <v>2012</v>
      </c>
      <c r="AD130" s="12">
        <f t="shared" ref="AD130:AD193" si="13">MONTH(X130)</f>
        <v>5</v>
      </c>
      <c r="AE130" s="12">
        <f t="shared" ref="AE130:AE193" si="14">DAY(X130)</f>
        <v>8</v>
      </c>
      <c r="AF130" s="16">
        <f t="shared" ref="AF130:AF193" si="15">IF(LEN(V130)&gt;0,V130/10,"")</f>
        <v>19.600000000000001</v>
      </c>
      <c r="AG130" s="16" t="str">
        <f t="shared" ref="AG130:AG193" si="16">IF(LEN(P130)&gt;0,P130/10,"")</f>
        <v/>
      </c>
      <c r="AH130" s="16">
        <f t="shared" ref="AH130:AH193" si="17">IF(LEN(Q130)&gt;0,Q130/10,"")</f>
        <v>22.8</v>
      </c>
    </row>
    <row r="131" spans="1:34" x14ac:dyDescent="0.35">
      <c r="A131" s="2" t="s">
        <v>1184</v>
      </c>
      <c r="B131" s="2" t="s">
        <v>29</v>
      </c>
      <c r="C131" s="2" t="s">
        <v>49</v>
      </c>
      <c r="D131" s="2" t="s">
        <v>31</v>
      </c>
      <c r="E131" s="2" t="s">
        <v>55</v>
      </c>
      <c r="F131" s="2" t="s">
        <v>126</v>
      </c>
      <c r="G131" s="2" t="s">
        <v>34</v>
      </c>
      <c r="H131" s="2" t="s">
        <v>144</v>
      </c>
      <c r="I131" s="2" t="s">
        <v>37</v>
      </c>
      <c r="J131" s="2" t="s">
        <v>214</v>
      </c>
      <c r="K131" s="2" t="s">
        <v>38</v>
      </c>
      <c r="L131" s="2" t="s">
        <v>38</v>
      </c>
      <c r="M131" s="2" t="s">
        <v>39</v>
      </c>
      <c r="N131" s="2" t="s">
        <v>38</v>
      </c>
      <c r="O131" s="2" t="s">
        <v>38</v>
      </c>
      <c r="P131" s="2" t="s">
        <v>38</v>
      </c>
      <c r="Q131" s="2" t="s">
        <v>1188</v>
      </c>
      <c r="R131" s="2" t="s">
        <v>1189</v>
      </c>
      <c r="S131" s="2" t="s">
        <v>872</v>
      </c>
      <c r="T131" s="2" t="s">
        <v>1190</v>
      </c>
      <c r="U131" s="2" t="s">
        <v>44</v>
      </c>
      <c r="V131" s="2" t="s">
        <v>987</v>
      </c>
      <c r="W131" s="2" t="s">
        <v>38</v>
      </c>
      <c r="X131" s="3">
        <v>41038</v>
      </c>
      <c r="Y131" s="2" t="s">
        <v>1191</v>
      </c>
      <c r="Z131" s="35">
        <v>238</v>
      </c>
      <c r="AA131" s="2" t="s">
        <v>672</v>
      </c>
      <c r="AB131" s="2" t="s">
        <v>1131</v>
      </c>
      <c r="AC131" s="12">
        <f t="shared" si="12"/>
        <v>2012</v>
      </c>
      <c r="AD131" s="12">
        <f t="shared" si="13"/>
        <v>5</v>
      </c>
      <c r="AE131" s="12">
        <f t="shared" si="14"/>
        <v>9</v>
      </c>
      <c r="AF131" s="16">
        <f t="shared" si="15"/>
        <v>18.2</v>
      </c>
      <c r="AG131" s="16" t="str">
        <f t="shared" si="16"/>
        <v/>
      </c>
      <c r="AH131" s="16">
        <f t="shared" si="17"/>
        <v>23.8</v>
      </c>
    </row>
    <row r="132" spans="1:34" x14ac:dyDescent="0.35">
      <c r="A132" s="2" t="s">
        <v>1192</v>
      </c>
      <c r="B132" s="2" t="s">
        <v>29</v>
      </c>
      <c r="C132" s="2" t="s">
        <v>49</v>
      </c>
      <c r="D132" s="2" t="s">
        <v>171</v>
      </c>
      <c r="E132" s="2" t="s">
        <v>51</v>
      </c>
      <c r="F132" s="2" t="s">
        <v>1193</v>
      </c>
      <c r="G132" s="2" t="s">
        <v>34</v>
      </c>
      <c r="H132" s="2" t="s">
        <v>877</v>
      </c>
      <c r="I132" s="2" t="s">
        <v>37</v>
      </c>
      <c r="J132" s="2" t="s">
        <v>214</v>
      </c>
      <c r="K132" s="2" t="s">
        <v>38</v>
      </c>
      <c r="L132" s="2" t="s">
        <v>38</v>
      </c>
      <c r="M132" s="2" t="s">
        <v>39</v>
      </c>
      <c r="N132" s="2" t="s">
        <v>38</v>
      </c>
      <c r="O132" s="2" t="s">
        <v>38</v>
      </c>
      <c r="P132" s="2" t="s">
        <v>38</v>
      </c>
      <c r="Q132" s="2" t="s">
        <v>989</v>
      </c>
      <c r="R132" s="2" t="s">
        <v>98</v>
      </c>
      <c r="S132" s="2" t="s">
        <v>533</v>
      </c>
      <c r="T132" s="2" t="s">
        <v>90</v>
      </c>
      <c r="U132" s="2" t="s">
        <v>1194</v>
      </c>
      <c r="V132" s="2" t="s">
        <v>933</v>
      </c>
      <c r="W132" s="2" t="s">
        <v>38</v>
      </c>
      <c r="X132" s="3">
        <v>41039</v>
      </c>
      <c r="Y132" s="2" t="s">
        <v>1195</v>
      </c>
      <c r="Z132" s="35">
        <v>237</v>
      </c>
      <c r="AA132" s="2" t="s">
        <v>672</v>
      </c>
      <c r="AB132" s="2" t="s">
        <v>1131</v>
      </c>
      <c r="AC132" s="12">
        <f t="shared" si="12"/>
        <v>2012</v>
      </c>
      <c r="AD132" s="12">
        <f t="shared" si="13"/>
        <v>5</v>
      </c>
      <c r="AE132" s="12">
        <f t="shared" si="14"/>
        <v>10</v>
      </c>
      <c r="AF132" s="16">
        <f t="shared" si="15"/>
        <v>16.899999999999999</v>
      </c>
      <c r="AG132" s="16" t="str">
        <f t="shared" si="16"/>
        <v/>
      </c>
      <c r="AH132" s="16">
        <f t="shared" si="17"/>
        <v>23.7</v>
      </c>
    </row>
    <row r="133" spans="1:34" x14ac:dyDescent="0.35">
      <c r="A133" s="2" t="s">
        <v>1197</v>
      </c>
      <c r="B133" s="2" t="s">
        <v>29</v>
      </c>
      <c r="C133" s="2" t="s">
        <v>49</v>
      </c>
      <c r="D133" s="2" t="s">
        <v>171</v>
      </c>
      <c r="E133" s="2" t="s">
        <v>596</v>
      </c>
      <c r="F133" s="2" t="s">
        <v>1202</v>
      </c>
      <c r="G133" s="2" t="s">
        <v>34</v>
      </c>
      <c r="H133" s="2" t="s">
        <v>258</v>
      </c>
      <c r="I133" s="2" t="s">
        <v>37</v>
      </c>
      <c r="J133" s="2" t="s">
        <v>306</v>
      </c>
      <c r="K133" s="2" t="s">
        <v>38</v>
      </c>
      <c r="L133" s="2" t="s">
        <v>38</v>
      </c>
      <c r="M133" s="2" t="s">
        <v>39</v>
      </c>
      <c r="N133" s="2" t="s">
        <v>38</v>
      </c>
      <c r="O133" s="2" t="s">
        <v>38</v>
      </c>
      <c r="P133" s="2" t="s">
        <v>38</v>
      </c>
      <c r="Q133" s="2" t="s">
        <v>1178</v>
      </c>
      <c r="R133" s="2" t="s">
        <v>98</v>
      </c>
      <c r="S133" s="2" t="s">
        <v>99</v>
      </c>
      <c r="T133" s="2" t="s">
        <v>90</v>
      </c>
      <c r="U133" s="2" t="s">
        <v>381</v>
      </c>
      <c r="V133" s="2" t="s">
        <v>1203</v>
      </c>
      <c r="W133" s="2" t="s">
        <v>38</v>
      </c>
      <c r="X133" s="3">
        <v>41040</v>
      </c>
      <c r="Y133" s="2" t="s">
        <v>1204</v>
      </c>
      <c r="Z133" s="5">
        <v>228</v>
      </c>
      <c r="AA133" s="2" t="s">
        <v>672</v>
      </c>
      <c r="AB133" s="2" t="s">
        <v>1131</v>
      </c>
      <c r="AC133" s="12">
        <f t="shared" si="12"/>
        <v>2012</v>
      </c>
      <c r="AD133" s="12">
        <f t="shared" si="13"/>
        <v>5</v>
      </c>
      <c r="AE133" s="12">
        <f t="shared" si="14"/>
        <v>11</v>
      </c>
      <c r="AF133" s="16">
        <f t="shared" si="15"/>
        <v>19.3</v>
      </c>
      <c r="AG133" s="16" t="str">
        <f t="shared" si="16"/>
        <v/>
      </c>
      <c r="AH133" s="16">
        <f t="shared" si="17"/>
        <v>22.8</v>
      </c>
    </row>
    <row r="134" spans="1:34" x14ac:dyDescent="0.35">
      <c r="A134" s="2" t="s">
        <v>1205</v>
      </c>
      <c r="B134" s="2" t="s">
        <v>29</v>
      </c>
      <c r="C134" s="2" t="s">
        <v>49</v>
      </c>
      <c r="D134" s="2" t="s">
        <v>171</v>
      </c>
      <c r="E134" s="2" t="s">
        <v>55</v>
      </c>
      <c r="F134" s="2" t="s">
        <v>33</v>
      </c>
      <c r="G134" s="2" t="s">
        <v>34</v>
      </c>
      <c r="H134" s="2" t="s">
        <v>947</v>
      </c>
      <c r="I134" s="2" t="s">
        <v>37</v>
      </c>
      <c r="J134" s="2" t="s">
        <v>214</v>
      </c>
      <c r="K134" s="2" t="s">
        <v>38</v>
      </c>
      <c r="L134" s="2" t="s">
        <v>38</v>
      </c>
      <c r="M134" s="2" t="s">
        <v>39</v>
      </c>
      <c r="N134" s="2" t="s">
        <v>38</v>
      </c>
      <c r="O134" s="2" t="s">
        <v>38</v>
      </c>
      <c r="P134" s="2" t="s">
        <v>38</v>
      </c>
      <c r="Q134" s="2" t="s">
        <v>1188</v>
      </c>
      <c r="R134" s="2" t="s">
        <v>98</v>
      </c>
      <c r="S134" s="2" t="s">
        <v>1206</v>
      </c>
      <c r="T134" s="2" t="s">
        <v>73</v>
      </c>
      <c r="U134" s="2" t="s">
        <v>943</v>
      </c>
      <c r="V134" s="2" t="s">
        <v>590</v>
      </c>
      <c r="W134" s="2" t="s">
        <v>38</v>
      </c>
      <c r="X134" s="3">
        <v>41041</v>
      </c>
      <c r="Y134" s="2" t="s">
        <v>1207</v>
      </c>
      <c r="Z134" s="35">
        <v>238</v>
      </c>
      <c r="AA134" s="2" t="s">
        <v>672</v>
      </c>
      <c r="AB134" s="2" t="s">
        <v>1131</v>
      </c>
      <c r="AC134" s="12">
        <f t="shared" si="12"/>
        <v>2012</v>
      </c>
      <c r="AD134" s="12">
        <f t="shared" si="13"/>
        <v>5</v>
      </c>
      <c r="AE134" s="12">
        <f t="shared" si="14"/>
        <v>12</v>
      </c>
      <c r="AF134" s="16">
        <f t="shared" si="15"/>
        <v>18.399999999999999</v>
      </c>
      <c r="AG134" s="16" t="str">
        <f t="shared" si="16"/>
        <v/>
      </c>
      <c r="AH134" s="16">
        <f t="shared" si="17"/>
        <v>23.8</v>
      </c>
    </row>
    <row r="135" spans="1:34" x14ac:dyDescent="0.35">
      <c r="A135" s="2" t="s">
        <v>1215</v>
      </c>
      <c r="B135" s="2" t="s">
        <v>29</v>
      </c>
      <c r="C135" s="2" t="s">
        <v>49</v>
      </c>
      <c r="D135" s="2" t="s">
        <v>171</v>
      </c>
      <c r="E135" s="2" t="s">
        <v>596</v>
      </c>
      <c r="F135" s="2" t="s">
        <v>370</v>
      </c>
      <c r="G135" s="2" t="s">
        <v>34</v>
      </c>
      <c r="H135" s="2" t="s">
        <v>87</v>
      </c>
      <c r="I135" s="2" t="s">
        <v>37</v>
      </c>
      <c r="J135" s="2" t="s">
        <v>714</v>
      </c>
      <c r="K135" s="2" t="s">
        <v>38</v>
      </c>
      <c r="L135" s="2" t="s">
        <v>38</v>
      </c>
      <c r="M135" s="2" t="s">
        <v>39</v>
      </c>
      <c r="N135" s="2" t="s">
        <v>38</v>
      </c>
      <c r="O135" s="2" t="s">
        <v>38</v>
      </c>
      <c r="P135" s="2" t="s">
        <v>38</v>
      </c>
      <c r="Q135" s="2" t="s">
        <v>1157</v>
      </c>
      <c r="R135" s="2" t="s">
        <v>98</v>
      </c>
      <c r="S135" s="2" t="s">
        <v>89</v>
      </c>
      <c r="T135" s="2" t="s">
        <v>90</v>
      </c>
      <c r="U135" s="2" t="s">
        <v>381</v>
      </c>
      <c r="V135" s="2" t="s">
        <v>992</v>
      </c>
      <c r="W135" s="2" t="s">
        <v>38</v>
      </c>
      <c r="X135" s="3">
        <v>41042</v>
      </c>
      <c r="Y135" s="2" t="s">
        <v>1218</v>
      </c>
      <c r="Z135" s="5">
        <v>216</v>
      </c>
      <c r="AA135" s="2" t="s">
        <v>672</v>
      </c>
      <c r="AB135" s="2" t="s">
        <v>1131</v>
      </c>
      <c r="AC135" s="12">
        <f t="shared" si="12"/>
        <v>2012</v>
      </c>
      <c r="AD135" s="12">
        <f t="shared" si="13"/>
        <v>5</v>
      </c>
      <c r="AE135" s="12">
        <f t="shared" si="14"/>
        <v>13</v>
      </c>
      <c r="AF135" s="16">
        <f t="shared" si="15"/>
        <v>18.7</v>
      </c>
      <c r="AG135" s="16" t="str">
        <f t="shared" si="16"/>
        <v/>
      </c>
      <c r="AH135" s="16">
        <f t="shared" si="17"/>
        <v>21.6</v>
      </c>
    </row>
    <row r="136" spans="1:34" x14ac:dyDescent="0.35">
      <c r="A136" s="2" t="s">
        <v>1219</v>
      </c>
      <c r="B136" s="2" t="s">
        <v>29</v>
      </c>
      <c r="C136" s="2" t="s">
        <v>49</v>
      </c>
      <c r="D136" s="2" t="s">
        <v>171</v>
      </c>
      <c r="E136" s="2" t="s">
        <v>51</v>
      </c>
      <c r="F136" s="2" t="s">
        <v>462</v>
      </c>
      <c r="G136" s="2" t="s">
        <v>34</v>
      </c>
      <c r="H136" s="2" t="s">
        <v>202</v>
      </c>
      <c r="I136" s="2" t="s">
        <v>37</v>
      </c>
      <c r="J136" s="2" t="s">
        <v>714</v>
      </c>
      <c r="K136" s="2" t="s">
        <v>38</v>
      </c>
      <c r="L136" s="2" t="s">
        <v>38</v>
      </c>
      <c r="M136" s="2" t="s">
        <v>39</v>
      </c>
      <c r="N136" s="2" t="s">
        <v>38</v>
      </c>
      <c r="O136" s="2" t="s">
        <v>38</v>
      </c>
      <c r="P136" s="2" t="s">
        <v>38</v>
      </c>
      <c r="Q136" s="2" t="s">
        <v>1220</v>
      </c>
      <c r="R136" s="2" t="s">
        <v>98</v>
      </c>
      <c r="S136" s="2" t="s">
        <v>99</v>
      </c>
      <c r="T136" s="2" t="s">
        <v>90</v>
      </c>
      <c r="U136" s="2" t="s">
        <v>996</v>
      </c>
      <c r="V136" s="2" t="s">
        <v>61</v>
      </c>
      <c r="W136" s="2" t="s">
        <v>38</v>
      </c>
      <c r="X136" s="3">
        <v>41043</v>
      </c>
      <c r="Y136" s="2" t="s">
        <v>1221</v>
      </c>
      <c r="Z136" s="5">
        <v>219</v>
      </c>
      <c r="AA136" s="2" t="s">
        <v>672</v>
      </c>
      <c r="AB136" s="2" t="s">
        <v>1131</v>
      </c>
      <c r="AC136" s="12">
        <f t="shared" si="12"/>
        <v>2012</v>
      </c>
      <c r="AD136" s="12">
        <f t="shared" si="13"/>
        <v>5</v>
      </c>
      <c r="AE136" s="12">
        <f t="shared" si="14"/>
        <v>14</v>
      </c>
      <c r="AF136" s="16">
        <f t="shared" si="15"/>
        <v>16.8</v>
      </c>
      <c r="AG136" s="16" t="str">
        <f t="shared" si="16"/>
        <v/>
      </c>
      <c r="AH136" s="16">
        <f t="shared" si="17"/>
        <v>21.9</v>
      </c>
    </row>
    <row r="137" spans="1:34" x14ac:dyDescent="0.35">
      <c r="A137" s="2" t="s">
        <v>1224</v>
      </c>
      <c r="B137" s="2" t="s">
        <v>29</v>
      </c>
      <c r="C137" s="2" t="s">
        <v>49</v>
      </c>
      <c r="D137" s="2" t="s">
        <v>77</v>
      </c>
      <c r="E137" s="2" t="s">
        <v>94</v>
      </c>
      <c r="F137" s="2" t="s">
        <v>352</v>
      </c>
      <c r="G137" s="2" t="s">
        <v>34</v>
      </c>
      <c r="H137" s="2" t="s">
        <v>87</v>
      </c>
      <c r="I137" s="2" t="s">
        <v>37</v>
      </c>
      <c r="J137" s="2" t="s">
        <v>579</v>
      </c>
      <c r="K137" s="2" t="s">
        <v>38</v>
      </c>
      <c r="L137" s="2" t="s">
        <v>38</v>
      </c>
      <c r="M137" s="2" t="s">
        <v>39</v>
      </c>
      <c r="N137" s="2" t="s">
        <v>38</v>
      </c>
      <c r="O137" s="2" t="s">
        <v>38</v>
      </c>
      <c r="P137" s="2" t="s">
        <v>38</v>
      </c>
      <c r="Q137" s="2" t="s">
        <v>1225</v>
      </c>
      <c r="R137" s="2" t="s">
        <v>98</v>
      </c>
      <c r="S137" s="2" t="s">
        <v>541</v>
      </c>
      <c r="T137" s="2" t="s">
        <v>90</v>
      </c>
      <c r="U137" s="2" t="s">
        <v>1124</v>
      </c>
      <c r="V137" s="2" t="s">
        <v>1226</v>
      </c>
      <c r="W137" s="2" t="s">
        <v>38</v>
      </c>
      <c r="X137" s="3">
        <v>41044</v>
      </c>
      <c r="Y137" s="2" t="s">
        <v>1227</v>
      </c>
      <c r="Z137" s="35">
        <v>198</v>
      </c>
      <c r="AA137" s="2" t="s">
        <v>672</v>
      </c>
      <c r="AB137" s="2" t="s">
        <v>1131</v>
      </c>
      <c r="AC137" s="12">
        <f t="shared" si="12"/>
        <v>2012</v>
      </c>
      <c r="AD137" s="12">
        <f t="shared" si="13"/>
        <v>5</v>
      </c>
      <c r="AE137" s="12">
        <f t="shared" si="14"/>
        <v>15</v>
      </c>
      <c r="AF137" s="16">
        <f t="shared" si="15"/>
        <v>14.2</v>
      </c>
      <c r="AG137" s="16" t="str">
        <f t="shared" si="16"/>
        <v/>
      </c>
      <c r="AH137" s="16">
        <f t="shared" si="17"/>
        <v>19.8</v>
      </c>
    </row>
    <row r="138" spans="1:34" x14ac:dyDescent="0.35">
      <c r="A138" s="2" t="s">
        <v>1231</v>
      </c>
      <c r="B138" s="2" t="s">
        <v>29</v>
      </c>
      <c r="C138" s="2" t="s">
        <v>49</v>
      </c>
      <c r="D138" s="2" t="s">
        <v>77</v>
      </c>
      <c r="E138" s="2" t="s">
        <v>55</v>
      </c>
      <c r="F138" s="2" t="s">
        <v>78</v>
      </c>
      <c r="G138" s="2" t="s">
        <v>34</v>
      </c>
      <c r="H138" s="2" t="s">
        <v>295</v>
      </c>
      <c r="I138" s="2" t="s">
        <v>37</v>
      </c>
      <c r="J138" s="2" t="s">
        <v>214</v>
      </c>
      <c r="K138" s="2" t="s">
        <v>38</v>
      </c>
      <c r="L138" s="2" t="s">
        <v>38</v>
      </c>
      <c r="M138" s="2" t="s">
        <v>39</v>
      </c>
      <c r="N138" s="2" t="s">
        <v>38</v>
      </c>
      <c r="O138" s="2" t="s">
        <v>38</v>
      </c>
      <c r="P138" s="2" t="s">
        <v>38</v>
      </c>
      <c r="Q138" s="2" t="s">
        <v>989</v>
      </c>
      <c r="R138" s="2" t="s">
        <v>41</v>
      </c>
      <c r="S138" s="2" t="s">
        <v>1235</v>
      </c>
      <c r="T138" s="2" t="s">
        <v>372</v>
      </c>
      <c r="U138" s="2" t="s">
        <v>1124</v>
      </c>
      <c r="V138" s="2" t="s">
        <v>944</v>
      </c>
      <c r="W138" s="2" t="s">
        <v>38</v>
      </c>
      <c r="X138" s="3">
        <v>41045</v>
      </c>
      <c r="Y138" s="2" t="s">
        <v>1236</v>
      </c>
      <c r="Z138" s="35">
        <v>237</v>
      </c>
      <c r="AA138" s="2" t="s">
        <v>672</v>
      </c>
      <c r="AB138" s="2" t="s">
        <v>1131</v>
      </c>
      <c r="AC138" s="12">
        <f t="shared" si="12"/>
        <v>2012</v>
      </c>
      <c r="AD138" s="12">
        <f t="shared" si="13"/>
        <v>5</v>
      </c>
      <c r="AE138" s="12">
        <f t="shared" si="14"/>
        <v>16</v>
      </c>
      <c r="AF138" s="16">
        <f t="shared" si="15"/>
        <v>17.7</v>
      </c>
      <c r="AG138" s="16" t="str">
        <f t="shared" si="16"/>
        <v/>
      </c>
      <c r="AH138" s="16">
        <f t="shared" si="17"/>
        <v>23.7</v>
      </c>
    </row>
    <row r="139" spans="1:34" x14ac:dyDescent="0.35">
      <c r="A139" s="2" t="s">
        <v>1237</v>
      </c>
      <c r="B139" s="2" t="s">
        <v>29</v>
      </c>
      <c r="C139" s="2" t="s">
        <v>49</v>
      </c>
      <c r="D139" s="2" t="s">
        <v>171</v>
      </c>
      <c r="E139" s="2" t="s">
        <v>32</v>
      </c>
      <c r="F139" s="2" t="s">
        <v>307</v>
      </c>
      <c r="G139" s="2" t="s">
        <v>34</v>
      </c>
      <c r="H139" s="2" t="s">
        <v>233</v>
      </c>
      <c r="I139" s="2" t="s">
        <v>37</v>
      </c>
      <c r="J139" s="2" t="s">
        <v>50</v>
      </c>
      <c r="K139" s="2" t="s">
        <v>38</v>
      </c>
      <c r="L139" s="2" t="s">
        <v>38</v>
      </c>
      <c r="M139" s="2" t="s">
        <v>39</v>
      </c>
      <c r="N139" s="2" t="s">
        <v>38</v>
      </c>
      <c r="O139" s="2" t="s">
        <v>38</v>
      </c>
      <c r="P139" s="2" t="s">
        <v>38</v>
      </c>
      <c r="Q139" s="2" t="s">
        <v>932</v>
      </c>
      <c r="R139" s="2" t="s">
        <v>98</v>
      </c>
      <c r="S139" s="2" t="s">
        <v>631</v>
      </c>
      <c r="T139" s="2" t="s">
        <v>90</v>
      </c>
      <c r="U139" s="2" t="s">
        <v>265</v>
      </c>
      <c r="V139" s="2" t="s">
        <v>92</v>
      </c>
      <c r="W139" s="2" t="s">
        <v>38</v>
      </c>
      <c r="X139" s="3">
        <v>41046</v>
      </c>
      <c r="Y139" s="2" t="s">
        <v>1238</v>
      </c>
      <c r="Z139" s="5">
        <v>207</v>
      </c>
      <c r="AA139" s="2" t="s">
        <v>672</v>
      </c>
      <c r="AB139" s="2" t="s">
        <v>1131</v>
      </c>
      <c r="AC139" s="12">
        <f t="shared" si="12"/>
        <v>2012</v>
      </c>
      <c r="AD139" s="12">
        <f t="shared" si="13"/>
        <v>5</v>
      </c>
      <c r="AE139" s="12">
        <f t="shared" si="14"/>
        <v>17</v>
      </c>
      <c r="AF139" s="16">
        <f t="shared" si="15"/>
        <v>15.8</v>
      </c>
      <c r="AG139" s="16" t="str">
        <f t="shared" si="16"/>
        <v/>
      </c>
      <c r="AH139" s="16">
        <f t="shared" si="17"/>
        <v>20.7</v>
      </c>
    </row>
    <row r="140" spans="1:34" x14ac:dyDescent="0.35">
      <c r="A140" s="2" t="s">
        <v>1241</v>
      </c>
      <c r="B140" s="2" t="s">
        <v>29</v>
      </c>
      <c r="C140" s="2" t="s">
        <v>49</v>
      </c>
      <c r="D140" s="2" t="s">
        <v>31</v>
      </c>
      <c r="E140" s="2" t="s">
        <v>51</v>
      </c>
      <c r="F140" s="2" t="s">
        <v>955</v>
      </c>
      <c r="G140" s="2" t="s">
        <v>34</v>
      </c>
      <c r="H140" s="2" t="s">
        <v>127</v>
      </c>
      <c r="I140" s="2" t="s">
        <v>37</v>
      </c>
      <c r="J140" s="2" t="s">
        <v>714</v>
      </c>
      <c r="K140" s="2" t="s">
        <v>38</v>
      </c>
      <c r="L140" s="2" t="s">
        <v>38</v>
      </c>
      <c r="M140" s="2" t="s">
        <v>39</v>
      </c>
      <c r="N140" s="2" t="s">
        <v>38</v>
      </c>
      <c r="O140" s="2" t="s">
        <v>38</v>
      </c>
      <c r="P140" s="2" t="s">
        <v>38</v>
      </c>
      <c r="Q140" s="2" t="s">
        <v>942</v>
      </c>
      <c r="R140" s="2" t="s">
        <v>98</v>
      </c>
      <c r="S140" s="2" t="s">
        <v>99</v>
      </c>
      <c r="T140" s="2" t="s">
        <v>90</v>
      </c>
      <c r="U140" s="2" t="s">
        <v>290</v>
      </c>
      <c r="V140" s="2" t="s">
        <v>1244</v>
      </c>
      <c r="W140" s="2" t="s">
        <v>38</v>
      </c>
      <c r="X140" s="3">
        <v>41047</v>
      </c>
      <c r="Y140" s="2" t="s">
        <v>1245</v>
      </c>
      <c r="Z140" s="5">
        <v>221</v>
      </c>
      <c r="AA140" s="2" t="s">
        <v>672</v>
      </c>
      <c r="AB140" s="2" t="s">
        <v>1131</v>
      </c>
      <c r="AC140" s="12">
        <f t="shared" si="12"/>
        <v>2012</v>
      </c>
      <c r="AD140" s="12">
        <f t="shared" si="13"/>
        <v>5</v>
      </c>
      <c r="AE140" s="12">
        <f t="shared" si="14"/>
        <v>18</v>
      </c>
      <c r="AF140" s="16">
        <f t="shared" si="15"/>
        <v>17.100000000000001</v>
      </c>
      <c r="AG140" s="16" t="str">
        <f t="shared" si="16"/>
        <v/>
      </c>
      <c r="AH140" s="16">
        <f t="shared" si="17"/>
        <v>22.1</v>
      </c>
    </row>
    <row r="141" spans="1:34" x14ac:dyDescent="0.35">
      <c r="A141" s="2" t="s">
        <v>1246</v>
      </c>
      <c r="B141" s="2" t="s">
        <v>29</v>
      </c>
      <c r="C141" s="2" t="s">
        <v>49</v>
      </c>
      <c r="D141" s="2" t="s">
        <v>36</v>
      </c>
      <c r="E141" s="2" t="s">
        <v>104</v>
      </c>
      <c r="F141" s="2" t="s">
        <v>462</v>
      </c>
      <c r="G141" s="2" t="s">
        <v>34</v>
      </c>
      <c r="H141" s="2" t="s">
        <v>276</v>
      </c>
      <c r="I141" s="2" t="s">
        <v>37</v>
      </c>
      <c r="J141" s="2" t="s">
        <v>50</v>
      </c>
      <c r="K141" s="2" t="s">
        <v>38</v>
      </c>
      <c r="L141" s="2" t="s">
        <v>38</v>
      </c>
      <c r="M141" s="2" t="s">
        <v>39</v>
      </c>
      <c r="N141" s="2" t="s">
        <v>38</v>
      </c>
      <c r="O141" s="2" t="s">
        <v>38</v>
      </c>
      <c r="P141" s="2" t="s">
        <v>38</v>
      </c>
      <c r="Q141" s="2" t="s">
        <v>932</v>
      </c>
      <c r="R141" s="2" t="s">
        <v>98</v>
      </c>
      <c r="S141" s="2" t="s">
        <v>1248</v>
      </c>
      <c r="T141" s="2" t="s">
        <v>90</v>
      </c>
      <c r="U141" s="2" t="s">
        <v>1249</v>
      </c>
      <c r="V141" s="2" t="s">
        <v>339</v>
      </c>
      <c r="W141" s="2" t="s">
        <v>38</v>
      </c>
      <c r="X141" s="3">
        <v>41048</v>
      </c>
      <c r="Y141" s="2" t="s">
        <v>1250</v>
      </c>
      <c r="Z141" s="35">
        <v>207</v>
      </c>
      <c r="AA141" s="2" t="s">
        <v>672</v>
      </c>
      <c r="AB141" s="2" t="s">
        <v>1131</v>
      </c>
      <c r="AC141" s="12">
        <f t="shared" si="12"/>
        <v>2012</v>
      </c>
      <c r="AD141" s="12">
        <f t="shared" si="13"/>
        <v>5</v>
      </c>
      <c r="AE141" s="12">
        <f t="shared" si="14"/>
        <v>19</v>
      </c>
      <c r="AF141" s="16">
        <f t="shared" si="15"/>
        <v>12.8</v>
      </c>
      <c r="AG141" s="16" t="str">
        <f t="shared" si="16"/>
        <v/>
      </c>
      <c r="AH141" s="16">
        <f t="shared" si="17"/>
        <v>20.7</v>
      </c>
    </row>
    <row r="142" spans="1:34" x14ac:dyDescent="0.35">
      <c r="A142" s="2" t="s">
        <v>1251</v>
      </c>
      <c r="B142" s="2" t="s">
        <v>29</v>
      </c>
      <c r="C142" s="2" t="s">
        <v>49</v>
      </c>
      <c r="D142" s="2" t="s">
        <v>171</v>
      </c>
      <c r="E142" s="2" t="s">
        <v>66</v>
      </c>
      <c r="F142" s="2" t="s">
        <v>307</v>
      </c>
      <c r="G142" s="2" t="s">
        <v>34</v>
      </c>
      <c r="H142" s="2" t="s">
        <v>153</v>
      </c>
      <c r="I142" s="2" t="s">
        <v>37</v>
      </c>
      <c r="J142" s="2" t="s">
        <v>714</v>
      </c>
      <c r="K142" s="2" t="s">
        <v>38</v>
      </c>
      <c r="L142" s="2" t="s">
        <v>38</v>
      </c>
      <c r="M142" s="2" t="s">
        <v>39</v>
      </c>
      <c r="N142" s="2" t="s">
        <v>38</v>
      </c>
      <c r="O142" s="2" t="s">
        <v>38</v>
      </c>
      <c r="P142" s="2" t="s">
        <v>38</v>
      </c>
      <c r="Q142" s="2" t="s">
        <v>1046</v>
      </c>
      <c r="R142" s="2" t="s">
        <v>98</v>
      </c>
      <c r="S142" s="2" t="s">
        <v>1179</v>
      </c>
      <c r="T142" s="2" t="s">
        <v>73</v>
      </c>
      <c r="U142" s="2" t="s">
        <v>943</v>
      </c>
      <c r="V142" s="2" t="s">
        <v>1253</v>
      </c>
      <c r="W142" s="2" t="s">
        <v>38</v>
      </c>
      <c r="X142" s="3">
        <v>41049</v>
      </c>
      <c r="Y142" s="2" t="s">
        <v>1254</v>
      </c>
      <c r="Z142" s="5">
        <v>218</v>
      </c>
      <c r="AA142" s="2" t="s">
        <v>672</v>
      </c>
      <c r="AB142" s="2" t="s">
        <v>1131</v>
      </c>
      <c r="AC142" s="12">
        <f t="shared" si="12"/>
        <v>2012</v>
      </c>
      <c r="AD142" s="12">
        <f t="shared" si="13"/>
        <v>5</v>
      </c>
      <c r="AE142" s="12">
        <f t="shared" si="14"/>
        <v>20</v>
      </c>
      <c r="AF142" s="16">
        <f t="shared" si="15"/>
        <v>15.5</v>
      </c>
      <c r="AG142" s="16" t="str">
        <f t="shared" si="16"/>
        <v/>
      </c>
      <c r="AH142" s="16">
        <f t="shared" si="17"/>
        <v>21.8</v>
      </c>
    </row>
    <row r="143" spans="1:34" x14ac:dyDescent="0.35">
      <c r="A143" s="2" t="s">
        <v>1255</v>
      </c>
      <c r="B143" s="2" t="s">
        <v>29</v>
      </c>
      <c r="C143" s="2" t="s">
        <v>49</v>
      </c>
      <c r="D143" s="2" t="s">
        <v>31</v>
      </c>
      <c r="E143" s="2" t="s">
        <v>51</v>
      </c>
      <c r="F143" s="2" t="s">
        <v>547</v>
      </c>
      <c r="G143" s="2" t="s">
        <v>34</v>
      </c>
      <c r="H143" s="2" t="s">
        <v>295</v>
      </c>
      <c r="I143" s="2" t="s">
        <v>37</v>
      </c>
      <c r="J143" s="2" t="s">
        <v>306</v>
      </c>
      <c r="K143" s="2" t="s">
        <v>38</v>
      </c>
      <c r="L143" s="2" t="s">
        <v>38</v>
      </c>
      <c r="M143" s="2" t="s">
        <v>39</v>
      </c>
      <c r="N143" s="2" t="s">
        <v>38</v>
      </c>
      <c r="O143" s="2" t="s">
        <v>38</v>
      </c>
      <c r="P143" s="2" t="s">
        <v>38</v>
      </c>
      <c r="Q143" s="2" t="s">
        <v>1259</v>
      </c>
      <c r="R143" s="2" t="s">
        <v>98</v>
      </c>
      <c r="S143" s="2" t="s">
        <v>89</v>
      </c>
      <c r="T143" s="2" t="s">
        <v>90</v>
      </c>
      <c r="U143" s="2" t="s">
        <v>418</v>
      </c>
      <c r="V143" s="2" t="s">
        <v>933</v>
      </c>
      <c r="W143" s="2" t="s">
        <v>38</v>
      </c>
      <c r="X143" s="3">
        <v>41050</v>
      </c>
      <c r="Y143" s="2" t="s">
        <v>1260</v>
      </c>
      <c r="Z143" s="35">
        <v>234</v>
      </c>
      <c r="AA143" s="2" t="s">
        <v>672</v>
      </c>
      <c r="AB143" s="2" t="s">
        <v>1131</v>
      </c>
      <c r="AC143" s="12">
        <f t="shared" si="12"/>
        <v>2012</v>
      </c>
      <c r="AD143" s="12">
        <f t="shared" si="13"/>
        <v>5</v>
      </c>
      <c r="AE143" s="12">
        <f t="shared" si="14"/>
        <v>21</v>
      </c>
      <c r="AF143" s="16">
        <f t="shared" si="15"/>
        <v>16.899999999999999</v>
      </c>
      <c r="AG143" s="16" t="str">
        <f t="shared" si="16"/>
        <v/>
      </c>
      <c r="AH143" s="16">
        <f t="shared" si="17"/>
        <v>23.4</v>
      </c>
    </row>
    <row r="144" spans="1:34" x14ac:dyDescent="0.35">
      <c r="A144" s="2" t="s">
        <v>1261</v>
      </c>
      <c r="B144" s="2" t="s">
        <v>29</v>
      </c>
      <c r="C144" s="2" t="s">
        <v>49</v>
      </c>
      <c r="D144" s="2" t="s">
        <v>187</v>
      </c>
      <c r="E144" s="2" t="s">
        <v>596</v>
      </c>
      <c r="F144" s="2" t="s">
        <v>385</v>
      </c>
      <c r="G144" s="2" t="s">
        <v>34</v>
      </c>
      <c r="H144" s="2" t="s">
        <v>79</v>
      </c>
      <c r="I144" s="2" t="s">
        <v>37</v>
      </c>
      <c r="J144" s="2" t="s">
        <v>714</v>
      </c>
      <c r="K144" s="2" t="s">
        <v>38</v>
      </c>
      <c r="L144" s="2" t="s">
        <v>38</v>
      </c>
      <c r="M144" s="2" t="s">
        <v>39</v>
      </c>
      <c r="N144" s="2" t="s">
        <v>38</v>
      </c>
      <c r="O144" s="2" t="s">
        <v>38</v>
      </c>
      <c r="P144" s="2" t="s">
        <v>38</v>
      </c>
      <c r="Q144" s="2" t="s">
        <v>1262</v>
      </c>
      <c r="R144" s="2" t="s">
        <v>98</v>
      </c>
      <c r="S144" s="2" t="s">
        <v>935</v>
      </c>
      <c r="T144" s="2" t="s">
        <v>73</v>
      </c>
      <c r="U144" s="2" t="s">
        <v>253</v>
      </c>
      <c r="V144" s="2" t="s">
        <v>1032</v>
      </c>
      <c r="W144" s="2" t="s">
        <v>38</v>
      </c>
      <c r="X144" s="3">
        <v>41051</v>
      </c>
      <c r="Y144" s="2" t="s">
        <v>1263</v>
      </c>
      <c r="Z144" s="35">
        <v>222</v>
      </c>
      <c r="AA144" s="2" t="s">
        <v>672</v>
      </c>
      <c r="AB144" s="2" t="s">
        <v>1131</v>
      </c>
      <c r="AC144" s="12">
        <f t="shared" si="12"/>
        <v>2012</v>
      </c>
      <c r="AD144" s="12">
        <f t="shared" si="13"/>
        <v>5</v>
      </c>
      <c r="AE144" s="12">
        <f t="shared" si="14"/>
        <v>22</v>
      </c>
      <c r="AF144" s="16">
        <f t="shared" si="15"/>
        <v>18.899999999999999</v>
      </c>
      <c r="AG144" s="16" t="str">
        <f t="shared" si="16"/>
        <v/>
      </c>
      <c r="AH144" s="16">
        <f t="shared" si="17"/>
        <v>22.2</v>
      </c>
    </row>
    <row r="145" spans="1:34" x14ac:dyDescent="0.35">
      <c r="A145" s="2" t="s">
        <v>1266</v>
      </c>
      <c r="B145" s="2" t="s">
        <v>29</v>
      </c>
      <c r="C145" s="2" t="s">
        <v>49</v>
      </c>
      <c r="D145" s="2" t="s">
        <v>171</v>
      </c>
      <c r="E145" s="2" t="s">
        <v>596</v>
      </c>
      <c r="F145" s="2" t="s">
        <v>352</v>
      </c>
      <c r="G145" s="2" t="s">
        <v>34</v>
      </c>
      <c r="H145" s="2" t="s">
        <v>87</v>
      </c>
      <c r="I145" s="2" t="s">
        <v>37</v>
      </c>
      <c r="J145" s="2" t="s">
        <v>306</v>
      </c>
      <c r="K145" s="2" t="s">
        <v>38</v>
      </c>
      <c r="L145" s="2" t="s">
        <v>38</v>
      </c>
      <c r="M145" s="2" t="s">
        <v>39</v>
      </c>
      <c r="N145" s="2" t="s">
        <v>38</v>
      </c>
      <c r="O145" s="2" t="s">
        <v>38</v>
      </c>
      <c r="P145" s="2" t="s">
        <v>38</v>
      </c>
      <c r="Q145" s="2" t="s">
        <v>1267</v>
      </c>
      <c r="R145" s="2" t="s">
        <v>98</v>
      </c>
      <c r="S145" s="2" t="s">
        <v>1268</v>
      </c>
      <c r="T145" s="2" t="s">
        <v>73</v>
      </c>
      <c r="U145" s="2" t="s">
        <v>943</v>
      </c>
      <c r="V145" s="2" t="s">
        <v>1269</v>
      </c>
      <c r="W145" s="2" t="s">
        <v>38</v>
      </c>
      <c r="X145" s="3">
        <v>41052</v>
      </c>
      <c r="Y145" s="2" t="s">
        <v>1270</v>
      </c>
      <c r="Z145" s="5">
        <v>229</v>
      </c>
      <c r="AA145" s="2" t="s">
        <v>672</v>
      </c>
      <c r="AB145" s="2" t="s">
        <v>1131</v>
      </c>
      <c r="AC145" s="12">
        <f t="shared" si="12"/>
        <v>2012</v>
      </c>
      <c r="AD145" s="12">
        <f t="shared" si="13"/>
        <v>5</v>
      </c>
      <c r="AE145" s="12">
        <f t="shared" si="14"/>
        <v>23</v>
      </c>
      <c r="AF145" s="16">
        <f t="shared" si="15"/>
        <v>19.5</v>
      </c>
      <c r="AG145" s="16" t="str">
        <f t="shared" si="16"/>
        <v/>
      </c>
      <c r="AH145" s="16">
        <f t="shared" si="17"/>
        <v>22.9</v>
      </c>
    </row>
    <row r="146" spans="1:34" x14ac:dyDescent="0.35">
      <c r="A146" s="2" t="s">
        <v>1272</v>
      </c>
      <c r="B146" s="2" t="s">
        <v>29</v>
      </c>
      <c r="C146" s="2" t="s">
        <v>49</v>
      </c>
      <c r="D146" s="2" t="s">
        <v>31</v>
      </c>
      <c r="E146" s="2" t="s">
        <v>55</v>
      </c>
      <c r="F146" s="2" t="s">
        <v>1277</v>
      </c>
      <c r="G146" s="2" t="s">
        <v>34</v>
      </c>
      <c r="H146" s="2" t="s">
        <v>734</v>
      </c>
      <c r="I146" s="2" t="s">
        <v>37</v>
      </c>
      <c r="J146" s="2" t="s">
        <v>214</v>
      </c>
      <c r="K146" s="2" t="s">
        <v>38</v>
      </c>
      <c r="L146" s="2" t="s">
        <v>38</v>
      </c>
      <c r="M146" s="2" t="s">
        <v>39</v>
      </c>
      <c r="N146" s="2" t="s">
        <v>38</v>
      </c>
      <c r="O146" s="2" t="s">
        <v>38</v>
      </c>
      <c r="P146" s="2" t="s">
        <v>38</v>
      </c>
      <c r="Q146" s="2" t="s">
        <v>1188</v>
      </c>
      <c r="R146" s="2" t="s">
        <v>98</v>
      </c>
      <c r="S146" s="2" t="s">
        <v>533</v>
      </c>
      <c r="T146" s="2" t="s">
        <v>90</v>
      </c>
      <c r="U146" s="2" t="s">
        <v>44</v>
      </c>
      <c r="V146" s="2" t="s">
        <v>987</v>
      </c>
      <c r="W146" s="2" t="s">
        <v>38</v>
      </c>
      <c r="X146" s="3">
        <v>41053</v>
      </c>
      <c r="Y146" s="2" t="s">
        <v>1278</v>
      </c>
      <c r="Z146" s="5">
        <v>238</v>
      </c>
      <c r="AA146" s="2" t="s">
        <v>672</v>
      </c>
      <c r="AB146" s="2" t="s">
        <v>1131</v>
      </c>
      <c r="AC146" s="12">
        <f t="shared" si="12"/>
        <v>2012</v>
      </c>
      <c r="AD146" s="12">
        <f t="shared" si="13"/>
        <v>5</v>
      </c>
      <c r="AE146" s="12">
        <f t="shared" si="14"/>
        <v>24</v>
      </c>
      <c r="AF146" s="16">
        <f t="shared" si="15"/>
        <v>18.2</v>
      </c>
      <c r="AG146" s="16" t="str">
        <f t="shared" si="16"/>
        <v/>
      </c>
      <c r="AH146" s="16">
        <f t="shared" si="17"/>
        <v>23.8</v>
      </c>
    </row>
    <row r="147" spans="1:34" x14ac:dyDescent="0.35">
      <c r="A147" s="2" t="s">
        <v>1279</v>
      </c>
      <c r="B147" s="2" t="s">
        <v>29</v>
      </c>
      <c r="C147" s="2" t="s">
        <v>49</v>
      </c>
      <c r="D147" s="2" t="s">
        <v>31</v>
      </c>
      <c r="E147" s="2" t="s">
        <v>579</v>
      </c>
      <c r="F147" s="2" t="s">
        <v>1277</v>
      </c>
      <c r="G147" s="2" t="s">
        <v>34</v>
      </c>
      <c r="H147" s="2" t="s">
        <v>371</v>
      </c>
      <c r="I147" s="2" t="s">
        <v>37</v>
      </c>
      <c r="J147" s="2" t="s">
        <v>214</v>
      </c>
      <c r="K147" s="2" t="s">
        <v>38</v>
      </c>
      <c r="L147" s="2" t="s">
        <v>38</v>
      </c>
      <c r="M147" s="2" t="s">
        <v>39</v>
      </c>
      <c r="N147" s="2" t="s">
        <v>38</v>
      </c>
      <c r="O147" s="2" t="s">
        <v>38</v>
      </c>
      <c r="P147" s="2" t="s">
        <v>38</v>
      </c>
      <c r="Q147" s="2" t="s">
        <v>1188</v>
      </c>
      <c r="R147" s="2" t="s">
        <v>98</v>
      </c>
      <c r="S147" s="2" t="s">
        <v>1280</v>
      </c>
      <c r="T147" s="2" t="s">
        <v>73</v>
      </c>
      <c r="U147" s="2" t="s">
        <v>1281</v>
      </c>
      <c r="V147" s="2" t="s">
        <v>1053</v>
      </c>
      <c r="W147" s="2" t="s">
        <v>38</v>
      </c>
      <c r="X147" s="3">
        <v>41054</v>
      </c>
      <c r="Y147" s="2" t="s">
        <v>1282</v>
      </c>
      <c r="Z147" s="35">
        <v>238</v>
      </c>
      <c r="AA147" s="2" t="s">
        <v>672</v>
      </c>
      <c r="AB147" s="2" t="s">
        <v>1131</v>
      </c>
      <c r="AC147" s="12">
        <f t="shared" si="12"/>
        <v>2012</v>
      </c>
      <c r="AD147" s="12">
        <f t="shared" si="13"/>
        <v>5</v>
      </c>
      <c r="AE147" s="12">
        <f t="shared" si="14"/>
        <v>25</v>
      </c>
      <c r="AF147" s="16">
        <f t="shared" si="15"/>
        <v>20.100000000000001</v>
      </c>
      <c r="AG147" s="16" t="str">
        <f t="shared" si="16"/>
        <v/>
      </c>
      <c r="AH147" s="16">
        <f t="shared" si="17"/>
        <v>23.8</v>
      </c>
    </row>
    <row r="148" spans="1:34" x14ac:dyDescent="0.35">
      <c r="A148" s="2" t="s">
        <v>1284</v>
      </c>
      <c r="B148" s="2" t="s">
        <v>29</v>
      </c>
      <c r="C148" s="2" t="s">
        <v>49</v>
      </c>
      <c r="D148" s="2" t="s">
        <v>171</v>
      </c>
      <c r="E148" s="2" t="s">
        <v>579</v>
      </c>
      <c r="F148" s="2" t="s">
        <v>330</v>
      </c>
      <c r="G148" s="2" t="s">
        <v>34</v>
      </c>
      <c r="H148" s="2" t="s">
        <v>96</v>
      </c>
      <c r="I148" s="2" t="s">
        <v>37</v>
      </c>
      <c r="J148" s="2" t="s">
        <v>214</v>
      </c>
      <c r="K148" s="2" t="s">
        <v>38</v>
      </c>
      <c r="L148" s="2" t="s">
        <v>38</v>
      </c>
      <c r="M148" s="2" t="s">
        <v>39</v>
      </c>
      <c r="N148" s="2" t="s">
        <v>38</v>
      </c>
      <c r="O148" s="2" t="s">
        <v>38</v>
      </c>
      <c r="P148" s="2" t="s">
        <v>38</v>
      </c>
      <c r="Q148" s="2" t="s">
        <v>1289</v>
      </c>
      <c r="R148" s="2" t="s">
        <v>41</v>
      </c>
      <c r="S148" s="2" t="s">
        <v>1290</v>
      </c>
      <c r="T148" s="2" t="s">
        <v>372</v>
      </c>
      <c r="U148" s="2" t="s">
        <v>927</v>
      </c>
      <c r="V148" s="2" t="s">
        <v>1291</v>
      </c>
      <c r="W148" s="2" t="s">
        <v>38</v>
      </c>
      <c r="X148" s="3">
        <v>41055</v>
      </c>
      <c r="Y148" s="2" t="s">
        <v>1292</v>
      </c>
      <c r="Z148" s="5">
        <v>240</v>
      </c>
      <c r="AA148" s="2" t="s">
        <v>672</v>
      </c>
      <c r="AB148" s="2" t="s">
        <v>1131</v>
      </c>
      <c r="AC148" s="12">
        <f t="shared" si="12"/>
        <v>2012</v>
      </c>
      <c r="AD148" s="12">
        <f t="shared" si="13"/>
        <v>5</v>
      </c>
      <c r="AE148" s="12">
        <f t="shared" si="14"/>
        <v>26</v>
      </c>
      <c r="AF148" s="16">
        <f t="shared" si="15"/>
        <v>20.3</v>
      </c>
      <c r="AG148" s="16" t="str">
        <f t="shared" si="16"/>
        <v/>
      </c>
      <c r="AH148" s="16">
        <f t="shared" si="17"/>
        <v>24</v>
      </c>
    </row>
    <row r="149" spans="1:34" x14ac:dyDescent="0.35">
      <c r="A149" s="2" t="s">
        <v>1293</v>
      </c>
      <c r="B149" s="2" t="s">
        <v>29</v>
      </c>
      <c r="C149" s="2" t="s">
        <v>49</v>
      </c>
      <c r="D149" s="2" t="s">
        <v>171</v>
      </c>
      <c r="E149" s="2" t="s">
        <v>579</v>
      </c>
      <c r="F149" s="2" t="s">
        <v>330</v>
      </c>
      <c r="G149" s="2" t="s">
        <v>34</v>
      </c>
      <c r="H149" s="2" t="s">
        <v>331</v>
      </c>
      <c r="I149" s="2" t="s">
        <v>37</v>
      </c>
      <c r="J149" s="2" t="s">
        <v>214</v>
      </c>
      <c r="K149" s="2" t="s">
        <v>38</v>
      </c>
      <c r="L149" s="2" t="s">
        <v>38</v>
      </c>
      <c r="M149" s="2" t="s">
        <v>39</v>
      </c>
      <c r="N149" s="2" t="s">
        <v>38</v>
      </c>
      <c r="O149" s="2" t="s">
        <v>38</v>
      </c>
      <c r="P149" s="2" t="s">
        <v>38</v>
      </c>
      <c r="Q149" s="2" t="s">
        <v>1296</v>
      </c>
      <c r="R149" s="2" t="s">
        <v>98</v>
      </c>
      <c r="S149" s="2" t="s">
        <v>479</v>
      </c>
      <c r="T149" s="2" t="s">
        <v>73</v>
      </c>
      <c r="U149" s="2" t="s">
        <v>996</v>
      </c>
      <c r="V149" s="2" t="s">
        <v>581</v>
      </c>
      <c r="W149" s="2" t="s">
        <v>38</v>
      </c>
      <c r="X149" s="3">
        <v>41056</v>
      </c>
      <c r="Y149" s="2" t="s">
        <v>1297</v>
      </c>
      <c r="Z149" s="35">
        <v>236</v>
      </c>
      <c r="AA149" s="2" t="s">
        <v>672</v>
      </c>
      <c r="AB149" s="2" t="s">
        <v>1131</v>
      </c>
      <c r="AC149" s="12">
        <f t="shared" si="12"/>
        <v>2012</v>
      </c>
      <c r="AD149" s="12">
        <f t="shared" si="13"/>
        <v>5</v>
      </c>
      <c r="AE149" s="12">
        <f t="shared" si="14"/>
        <v>27</v>
      </c>
      <c r="AF149" s="16">
        <f t="shared" si="15"/>
        <v>19.600000000000001</v>
      </c>
      <c r="AG149" s="16" t="str">
        <f t="shared" si="16"/>
        <v/>
      </c>
      <c r="AH149" s="16">
        <f t="shared" si="17"/>
        <v>23.6</v>
      </c>
    </row>
    <row r="150" spans="1:34" x14ac:dyDescent="0.35">
      <c r="A150" s="2" t="s">
        <v>1298</v>
      </c>
      <c r="B150" s="2" t="s">
        <v>29</v>
      </c>
      <c r="C150" s="2" t="s">
        <v>49</v>
      </c>
      <c r="D150" s="2" t="s">
        <v>171</v>
      </c>
      <c r="E150" s="2" t="s">
        <v>579</v>
      </c>
      <c r="F150" s="2" t="s">
        <v>547</v>
      </c>
      <c r="G150" s="2" t="s">
        <v>34</v>
      </c>
      <c r="H150" s="2" t="s">
        <v>331</v>
      </c>
      <c r="I150" s="2" t="s">
        <v>37</v>
      </c>
      <c r="J150" s="2" t="s">
        <v>306</v>
      </c>
      <c r="K150" s="2" t="s">
        <v>38</v>
      </c>
      <c r="L150" s="2" t="s">
        <v>38</v>
      </c>
      <c r="M150" s="2" t="s">
        <v>39</v>
      </c>
      <c r="N150" s="2" t="s">
        <v>38</v>
      </c>
      <c r="O150" s="2" t="s">
        <v>38</v>
      </c>
      <c r="P150" s="2" t="s">
        <v>38</v>
      </c>
      <c r="Q150" s="2" t="s">
        <v>1303</v>
      </c>
      <c r="R150" s="2" t="s">
        <v>1285</v>
      </c>
      <c r="S150" s="2" t="s">
        <v>1304</v>
      </c>
      <c r="T150" s="2" t="s">
        <v>1287</v>
      </c>
      <c r="U150" s="2" t="s">
        <v>175</v>
      </c>
      <c r="V150" s="2" t="s">
        <v>1305</v>
      </c>
      <c r="W150" s="2" t="s">
        <v>38</v>
      </c>
      <c r="X150" s="3">
        <v>41057</v>
      </c>
      <c r="Y150" s="2" t="s">
        <v>1306</v>
      </c>
      <c r="Z150" s="35">
        <v>227</v>
      </c>
      <c r="AA150" s="2" t="s">
        <v>672</v>
      </c>
      <c r="AB150" s="2" t="s">
        <v>1131</v>
      </c>
      <c r="AC150" s="12">
        <f t="shared" si="12"/>
        <v>2012</v>
      </c>
      <c r="AD150" s="12">
        <f t="shared" si="13"/>
        <v>5</v>
      </c>
      <c r="AE150" s="12">
        <f t="shared" si="14"/>
        <v>28</v>
      </c>
      <c r="AF150" s="16">
        <f t="shared" si="15"/>
        <v>19.8</v>
      </c>
      <c r="AG150" s="16" t="str">
        <f t="shared" si="16"/>
        <v/>
      </c>
      <c r="AH150" s="16">
        <f t="shared" si="17"/>
        <v>22.7</v>
      </c>
    </row>
    <row r="151" spans="1:34" x14ac:dyDescent="0.35">
      <c r="A151" s="2" t="s">
        <v>1307</v>
      </c>
      <c r="B151" s="2" t="s">
        <v>29</v>
      </c>
      <c r="C151" s="2" t="s">
        <v>49</v>
      </c>
      <c r="D151" s="2" t="s">
        <v>171</v>
      </c>
      <c r="E151" s="2" t="s">
        <v>579</v>
      </c>
      <c r="F151" s="2" t="s">
        <v>1310</v>
      </c>
      <c r="G151" s="2" t="s">
        <v>34</v>
      </c>
      <c r="H151" s="2" t="s">
        <v>209</v>
      </c>
      <c r="I151" s="2" t="s">
        <v>37</v>
      </c>
      <c r="J151" s="2" t="s">
        <v>306</v>
      </c>
      <c r="K151" s="2" t="s">
        <v>38</v>
      </c>
      <c r="L151" s="2" t="s">
        <v>38</v>
      </c>
      <c r="M151" s="2" t="s">
        <v>39</v>
      </c>
      <c r="N151" s="2" t="s">
        <v>38</v>
      </c>
      <c r="O151" s="2" t="s">
        <v>38</v>
      </c>
      <c r="P151" s="2" t="s">
        <v>38</v>
      </c>
      <c r="Q151" s="2" t="s">
        <v>1259</v>
      </c>
      <c r="R151" s="2" t="s">
        <v>1285</v>
      </c>
      <c r="S151" s="2" t="s">
        <v>1242</v>
      </c>
      <c r="T151" s="2" t="s">
        <v>1311</v>
      </c>
      <c r="U151" s="2" t="s">
        <v>175</v>
      </c>
      <c r="V151" s="2" t="s">
        <v>1305</v>
      </c>
      <c r="W151" s="2" t="s">
        <v>38</v>
      </c>
      <c r="X151" s="3">
        <v>41058</v>
      </c>
      <c r="Y151" s="2" t="s">
        <v>1312</v>
      </c>
      <c r="Z151" s="5">
        <v>234</v>
      </c>
      <c r="AA151" s="2" t="s">
        <v>672</v>
      </c>
      <c r="AB151" s="2" t="s">
        <v>1131</v>
      </c>
      <c r="AC151" s="12">
        <f t="shared" si="12"/>
        <v>2012</v>
      </c>
      <c r="AD151" s="12">
        <f t="shared" si="13"/>
        <v>5</v>
      </c>
      <c r="AE151" s="12">
        <f t="shared" si="14"/>
        <v>29</v>
      </c>
      <c r="AF151" s="16">
        <f t="shared" si="15"/>
        <v>19.8</v>
      </c>
      <c r="AG151" s="16" t="str">
        <f t="shared" si="16"/>
        <v/>
      </c>
      <c r="AH151" s="16">
        <f t="shared" si="17"/>
        <v>23.4</v>
      </c>
    </row>
    <row r="152" spans="1:34" x14ac:dyDescent="0.35">
      <c r="A152" s="2" t="s">
        <v>1313</v>
      </c>
      <c r="B152" s="2" t="s">
        <v>29</v>
      </c>
      <c r="C152" s="2" t="s">
        <v>49</v>
      </c>
      <c r="D152" s="2" t="s">
        <v>171</v>
      </c>
      <c r="E152" s="2" t="s">
        <v>596</v>
      </c>
      <c r="F152" s="2" t="s">
        <v>1314</v>
      </c>
      <c r="G152" s="2" t="s">
        <v>34</v>
      </c>
      <c r="H152" s="2" t="s">
        <v>295</v>
      </c>
      <c r="I152" s="2" t="s">
        <v>37</v>
      </c>
      <c r="J152" s="2" t="s">
        <v>306</v>
      </c>
      <c r="K152" s="2" t="s">
        <v>38</v>
      </c>
      <c r="L152" s="2" t="s">
        <v>38</v>
      </c>
      <c r="M152" s="2" t="s">
        <v>39</v>
      </c>
      <c r="N152" s="2" t="s">
        <v>38</v>
      </c>
      <c r="O152" s="2" t="s">
        <v>38</v>
      </c>
      <c r="P152" s="2" t="s">
        <v>38</v>
      </c>
      <c r="Q152" s="2" t="s">
        <v>978</v>
      </c>
      <c r="R152" s="2" t="s">
        <v>98</v>
      </c>
      <c r="S152" s="2" t="s">
        <v>1129</v>
      </c>
      <c r="T152" s="2" t="s">
        <v>73</v>
      </c>
      <c r="U152" s="2" t="s">
        <v>407</v>
      </c>
      <c r="V152" s="2" t="s">
        <v>1036</v>
      </c>
      <c r="W152" s="2" t="s">
        <v>38</v>
      </c>
      <c r="X152" s="3">
        <v>41059</v>
      </c>
      <c r="Y152" s="2" t="s">
        <v>1315</v>
      </c>
      <c r="Z152" s="5">
        <v>233</v>
      </c>
      <c r="AA152" s="2" t="s">
        <v>672</v>
      </c>
      <c r="AB152" s="2" t="s">
        <v>1131</v>
      </c>
      <c r="AC152" s="12">
        <f t="shared" si="12"/>
        <v>2012</v>
      </c>
      <c r="AD152" s="12">
        <f t="shared" si="13"/>
        <v>5</v>
      </c>
      <c r="AE152" s="12">
        <f t="shared" si="14"/>
        <v>30</v>
      </c>
      <c r="AF152" s="16">
        <f t="shared" si="15"/>
        <v>19.100000000000001</v>
      </c>
      <c r="AG152" s="16" t="str">
        <f t="shared" si="16"/>
        <v/>
      </c>
      <c r="AH152" s="16">
        <f t="shared" si="17"/>
        <v>23.3</v>
      </c>
    </row>
    <row r="153" spans="1:34" x14ac:dyDescent="0.35">
      <c r="A153" s="2" t="s">
        <v>1319</v>
      </c>
      <c r="B153" s="2" t="s">
        <v>29</v>
      </c>
      <c r="C153" s="2" t="s">
        <v>49</v>
      </c>
      <c r="D153" s="2" t="s">
        <v>171</v>
      </c>
      <c r="E153" s="2" t="s">
        <v>55</v>
      </c>
      <c r="F153" s="2" t="s">
        <v>861</v>
      </c>
      <c r="G153" s="2" t="s">
        <v>34</v>
      </c>
      <c r="H153" s="2" t="s">
        <v>1173</v>
      </c>
      <c r="I153" s="2" t="s">
        <v>37</v>
      </c>
      <c r="J153" s="2" t="s">
        <v>306</v>
      </c>
      <c r="K153" s="2" t="s">
        <v>38</v>
      </c>
      <c r="L153" s="2" t="s">
        <v>38</v>
      </c>
      <c r="M153" s="2" t="s">
        <v>39</v>
      </c>
      <c r="N153" s="2" t="s">
        <v>38</v>
      </c>
      <c r="O153" s="2" t="s">
        <v>38</v>
      </c>
      <c r="P153" s="2" t="s">
        <v>38</v>
      </c>
      <c r="Q153" s="2" t="s">
        <v>1303</v>
      </c>
      <c r="R153" s="2" t="s">
        <v>98</v>
      </c>
      <c r="S153" s="2" t="s">
        <v>1325</v>
      </c>
      <c r="T153" s="2" t="s">
        <v>73</v>
      </c>
      <c r="U153" s="2" t="s">
        <v>175</v>
      </c>
      <c r="V153" s="2" t="s">
        <v>590</v>
      </c>
      <c r="W153" s="2" t="s">
        <v>38</v>
      </c>
      <c r="X153" s="3">
        <v>41060</v>
      </c>
      <c r="Y153" s="2" t="s">
        <v>1326</v>
      </c>
      <c r="Z153" s="35">
        <v>227</v>
      </c>
      <c r="AA153" s="2" t="s">
        <v>672</v>
      </c>
      <c r="AB153" s="2" t="s">
        <v>1131</v>
      </c>
      <c r="AC153" s="12">
        <f t="shared" si="12"/>
        <v>2012</v>
      </c>
      <c r="AD153" s="12">
        <f t="shared" si="13"/>
        <v>5</v>
      </c>
      <c r="AE153" s="12">
        <f t="shared" si="14"/>
        <v>31</v>
      </c>
      <c r="AF153" s="16">
        <f t="shared" si="15"/>
        <v>18.399999999999999</v>
      </c>
      <c r="AG153" s="16" t="str">
        <f t="shared" si="16"/>
        <v/>
      </c>
      <c r="AH153" s="16">
        <f t="shared" si="17"/>
        <v>22.7</v>
      </c>
    </row>
    <row r="154" spans="1:34" x14ac:dyDescent="0.35">
      <c r="A154" s="2" t="s">
        <v>1327</v>
      </c>
      <c r="B154" s="2" t="s">
        <v>29</v>
      </c>
      <c r="C154" s="2" t="s">
        <v>49</v>
      </c>
      <c r="D154" s="2" t="s">
        <v>171</v>
      </c>
      <c r="E154" s="2" t="s">
        <v>596</v>
      </c>
      <c r="F154" s="2" t="s">
        <v>530</v>
      </c>
      <c r="G154" s="2" t="s">
        <v>34</v>
      </c>
      <c r="H154" s="2" t="s">
        <v>240</v>
      </c>
      <c r="I154" s="2" t="s">
        <v>37</v>
      </c>
      <c r="J154" s="2" t="s">
        <v>214</v>
      </c>
      <c r="K154" s="2" t="s">
        <v>38</v>
      </c>
      <c r="L154" s="2" t="s">
        <v>38</v>
      </c>
      <c r="M154" s="2" t="s">
        <v>39</v>
      </c>
      <c r="N154" s="2" t="s">
        <v>38</v>
      </c>
      <c r="O154" s="2" t="s">
        <v>38</v>
      </c>
      <c r="P154" s="2" t="s">
        <v>38</v>
      </c>
      <c r="Q154" s="2" t="s">
        <v>1188</v>
      </c>
      <c r="R154" s="2" t="s">
        <v>41</v>
      </c>
      <c r="S154" s="2" t="s">
        <v>1328</v>
      </c>
      <c r="T154" s="2" t="s">
        <v>1329</v>
      </c>
      <c r="U154" s="2" t="s">
        <v>943</v>
      </c>
      <c r="V154" s="2" t="s">
        <v>617</v>
      </c>
      <c r="W154" s="2" t="s">
        <v>38</v>
      </c>
      <c r="X154" s="3">
        <v>41061</v>
      </c>
      <c r="Y154" s="2" t="s">
        <v>1330</v>
      </c>
      <c r="Z154" s="35">
        <v>238</v>
      </c>
      <c r="AA154" s="2" t="s">
        <v>1323</v>
      </c>
      <c r="AB154" s="2" t="s">
        <v>1331</v>
      </c>
      <c r="AC154" s="12">
        <f t="shared" si="12"/>
        <v>2012</v>
      </c>
      <c r="AD154" s="12">
        <f t="shared" si="13"/>
        <v>6</v>
      </c>
      <c r="AE154" s="12">
        <f t="shared" si="14"/>
        <v>1</v>
      </c>
      <c r="AF154" s="16">
        <f t="shared" si="15"/>
        <v>18.8</v>
      </c>
      <c r="AG154" s="16" t="str">
        <f t="shared" si="16"/>
        <v/>
      </c>
      <c r="AH154" s="16">
        <f t="shared" si="17"/>
        <v>23.8</v>
      </c>
    </row>
    <row r="155" spans="1:34" x14ac:dyDescent="0.35">
      <c r="A155" s="2" t="s">
        <v>1334</v>
      </c>
      <c r="B155" s="2" t="s">
        <v>29</v>
      </c>
      <c r="C155" s="2" t="s">
        <v>49</v>
      </c>
      <c r="D155" s="2" t="s">
        <v>31</v>
      </c>
      <c r="E155" s="2" t="s">
        <v>579</v>
      </c>
      <c r="F155" s="2" t="s">
        <v>300</v>
      </c>
      <c r="G155" s="2" t="s">
        <v>34</v>
      </c>
      <c r="H155" s="2" t="s">
        <v>137</v>
      </c>
      <c r="I155" s="2" t="s">
        <v>37</v>
      </c>
      <c r="J155" s="2" t="s">
        <v>214</v>
      </c>
      <c r="K155" s="2" t="s">
        <v>38</v>
      </c>
      <c r="L155" s="2" t="s">
        <v>38</v>
      </c>
      <c r="M155" s="2" t="s">
        <v>39</v>
      </c>
      <c r="N155" s="2" t="s">
        <v>38</v>
      </c>
      <c r="O155" s="2" t="s">
        <v>38</v>
      </c>
      <c r="P155" s="2" t="s">
        <v>38</v>
      </c>
      <c r="Q155" s="2" t="s">
        <v>989</v>
      </c>
      <c r="R155" s="2" t="s">
        <v>41</v>
      </c>
      <c r="S155" s="2" t="s">
        <v>1338</v>
      </c>
      <c r="T155" s="2" t="s">
        <v>1329</v>
      </c>
      <c r="U155" s="2" t="s">
        <v>278</v>
      </c>
      <c r="V155" s="2" t="s">
        <v>581</v>
      </c>
      <c r="W155" s="2" t="s">
        <v>38</v>
      </c>
      <c r="X155" s="3">
        <v>41062</v>
      </c>
      <c r="Y155" s="2" t="s">
        <v>1339</v>
      </c>
      <c r="Z155" s="5">
        <v>237</v>
      </c>
      <c r="AA155" s="2" t="s">
        <v>1323</v>
      </c>
      <c r="AB155" s="2" t="s">
        <v>1331</v>
      </c>
      <c r="AC155" s="12">
        <f t="shared" si="12"/>
        <v>2012</v>
      </c>
      <c r="AD155" s="12">
        <f t="shared" si="13"/>
        <v>6</v>
      </c>
      <c r="AE155" s="12">
        <f t="shared" si="14"/>
        <v>2</v>
      </c>
      <c r="AF155" s="16">
        <f t="shared" si="15"/>
        <v>19.600000000000001</v>
      </c>
      <c r="AG155" s="16" t="str">
        <f t="shared" si="16"/>
        <v/>
      </c>
      <c r="AH155" s="16">
        <f t="shared" si="17"/>
        <v>23.7</v>
      </c>
    </row>
    <row r="156" spans="1:34" x14ac:dyDescent="0.35">
      <c r="A156" s="2" t="s">
        <v>1340</v>
      </c>
      <c r="B156" s="2" t="s">
        <v>29</v>
      </c>
      <c r="C156" s="2" t="s">
        <v>49</v>
      </c>
      <c r="D156" s="2" t="s">
        <v>31</v>
      </c>
      <c r="E156" s="2" t="s">
        <v>579</v>
      </c>
      <c r="F156" s="2" t="s">
        <v>729</v>
      </c>
      <c r="G156" s="2" t="s">
        <v>34</v>
      </c>
      <c r="H156" s="2" t="s">
        <v>734</v>
      </c>
      <c r="I156" s="2" t="s">
        <v>37</v>
      </c>
      <c r="J156" s="2" t="s">
        <v>200</v>
      </c>
      <c r="K156" s="2" t="s">
        <v>38</v>
      </c>
      <c r="L156" s="2" t="s">
        <v>38</v>
      </c>
      <c r="M156" s="2" t="s">
        <v>39</v>
      </c>
      <c r="N156" s="2" t="s">
        <v>38</v>
      </c>
      <c r="O156" s="2" t="s">
        <v>38</v>
      </c>
      <c r="P156" s="2" t="s">
        <v>38</v>
      </c>
      <c r="Q156" s="2" t="s">
        <v>1341</v>
      </c>
      <c r="R156" s="2" t="s">
        <v>41</v>
      </c>
      <c r="S156" s="2" t="s">
        <v>1342</v>
      </c>
      <c r="T156" s="2" t="s">
        <v>1343</v>
      </c>
      <c r="U156" s="2" t="s">
        <v>1281</v>
      </c>
      <c r="V156" s="2" t="s">
        <v>1305</v>
      </c>
      <c r="W156" s="2" t="s">
        <v>38</v>
      </c>
      <c r="X156" s="3">
        <v>41063</v>
      </c>
      <c r="Y156" s="2" t="s">
        <v>1344</v>
      </c>
      <c r="Z156" s="5">
        <v>248</v>
      </c>
      <c r="AA156" s="2" t="s">
        <v>1323</v>
      </c>
      <c r="AB156" s="2" t="s">
        <v>1331</v>
      </c>
      <c r="AC156" s="12">
        <f t="shared" si="12"/>
        <v>2012</v>
      </c>
      <c r="AD156" s="12">
        <f t="shared" si="13"/>
        <v>6</v>
      </c>
      <c r="AE156" s="12">
        <f t="shared" si="14"/>
        <v>3</v>
      </c>
      <c r="AF156" s="16">
        <f t="shared" si="15"/>
        <v>19.8</v>
      </c>
      <c r="AG156" s="16" t="str">
        <f t="shared" si="16"/>
        <v/>
      </c>
      <c r="AH156" s="16">
        <f t="shared" si="17"/>
        <v>24.8</v>
      </c>
    </row>
    <row r="157" spans="1:34" x14ac:dyDescent="0.35">
      <c r="A157" s="2" t="s">
        <v>1348</v>
      </c>
      <c r="B157" s="2" t="s">
        <v>29</v>
      </c>
      <c r="C157" s="2" t="s">
        <v>49</v>
      </c>
      <c r="D157" s="2" t="s">
        <v>31</v>
      </c>
      <c r="E157" s="2" t="s">
        <v>579</v>
      </c>
      <c r="F157" s="2" t="s">
        <v>676</v>
      </c>
      <c r="G157" s="2" t="s">
        <v>34</v>
      </c>
      <c r="H157" s="2" t="s">
        <v>173</v>
      </c>
      <c r="I157" s="2" t="s">
        <v>37</v>
      </c>
      <c r="J157" s="2" t="s">
        <v>214</v>
      </c>
      <c r="K157" s="2" t="s">
        <v>38</v>
      </c>
      <c r="L157" s="2" t="s">
        <v>38</v>
      </c>
      <c r="M157" s="2" t="s">
        <v>39</v>
      </c>
      <c r="N157" s="2" t="s">
        <v>38</v>
      </c>
      <c r="O157" s="2" t="s">
        <v>38</v>
      </c>
      <c r="P157" s="2" t="s">
        <v>38</v>
      </c>
      <c r="Q157" s="2" t="s">
        <v>1351</v>
      </c>
      <c r="R157" s="2" t="s">
        <v>41</v>
      </c>
      <c r="S157" s="2" t="s">
        <v>1290</v>
      </c>
      <c r="T157" s="2" t="s">
        <v>353</v>
      </c>
      <c r="U157" s="2" t="s">
        <v>44</v>
      </c>
      <c r="V157" s="2" t="s">
        <v>1352</v>
      </c>
      <c r="W157" s="2" t="s">
        <v>38</v>
      </c>
      <c r="X157" s="3">
        <v>41064</v>
      </c>
      <c r="Y157" s="2" t="s">
        <v>1353</v>
      </c>
      <c r="Z157" s="35">
        <v>239</v>
      </c>
      <c r="AA157" s="2" t="s">
        <v>1323</v>
      </c>
      <c r="AB157" s="2" t="s">
        <v>1331</v>
      </c>
      <c r="AC157" s="12">
        <f t="shared" si="12"/>
        <v>2012</v>
      </c>
      <c r="AD157" s="12">
        <f t="shared" si="13"/>
        <v>6</v>
      </c>
      <c r="AE157" s="12">
        <f t="shared" si="14"/>
        <v>4</v>
      </c>
      <c r="AF157" s="16">
        <f t="shared" si="15"/>
        <v>19.899999999999999</v>
      </c>
      <c r="AG157" s="16" t="str">
        <f t="shared" si="16"/>
        <v/>
      </c>
      <c r="AH157" s="16">
        <f t="shared" si="17"/>
        <v>23.9</v>
      </c>
    </row>
    <row r="158" spans="1:34" x14ac:dyDescent="0.35">
      <c r="A158" s="2" t="s">
        <v>1354</v>
      </c>
      <c r="B158" s="2" t="s">
        <v>29</v>
      </c>
      <c r="C158" s="2" t="s">
        <v>49</v>
      </c>
      <c r="D158" s="2" t="s">
        <v>171</v>
      </c>
      <c r="E158" s="2" t="s">
        <v>579</v>
      </c>
      <c r="F158" s="2" t="s">
        <v>1355</v>
      </c>
      <c r="G158" s="2" t="s">
        <v>34</v>
      </c>
      <c r="H158" s="2" t="s">
        <v>173</v>
      </c>
      <c r="I158" s="2" t="s">
        <v>37</v>
      </c>
      <c r="J158" s="2" t="s">
        <v>200</v>
      </c>
      <c r="K158" s="2" t="s">
        <v>38</v>
      </c>
      <c r="L158" s="2" t="s">
        <v>38</v>
      </c>
      <c r="M158" s="2" t="s">
        <v>39</v>
      </c>
      <c r="N158" s="2" t="s">
        <v>38</v>
      </c>
      <c r="O158" s="2" t="s">
        <v>38</v>
      </c>
      <c r="P158" s="2" t="s">
        <v>38</v>
      </c>
      <c r="Q158" s="2" t="s">
        <v>1341</v>
      </c>
      <c r="R158" s="2" t="s">
        <v>41</v>
      </c>
      <c r="S158" s="2" t="s">
        <v>1356</v>
      </c>
      <c r="T158" s="2" t="s">
        <v>1357</v>
      </c>
      <c r="U158" s="2" t="s">
        <v>175</v>
      </c>
      <c r="V158" s="2" t="s">
        <v>1358</v>
      </c>
      <c r="W158" s="2" t="s">
        <v>38</v>
      </c>
      <c r="X158" s="3">
        <v>41065</v>
      </c>
      <c r="Y158" s="2" t="s">
        <v>1359</v>
      </c>
      <c r="Z158" s="35">
        <v>248</v>
      </c>
      <c r="AA158" s="2" t="s">
        <v>1323</v>
      </c>
      <c r="AB158" s="2" t="s">
        <v>1331</v>
      </c>
      <c r="AC158" s="12">
        <f t="shared" si="12"/>
        <v>2012</v>
      </c>
      <c r="AD158" s="12">
        <f t="shared" si="13"/>
        <v>6</v>
      </c>
      <c r="AE158" s="12">
        <f t="shared" si="14"/>
        <v>5</v>
      </c>
      <c r="AF158" s="16">
        <f t="shared" si="15"/>
        <v>20.399999999999999</v>
      </c>
      <c r="AG158" s="16" t="str">
        <f t="shared" si="16"/>
        <v/>
      </c>
      <c r="AH158" s="16">
        <f t="shared" si="17"/>
        <v>24.8</v>
      </c>
    </row>
    <row r="159" spans="1:34" x14ac:dyDescent="0.35">
      <c r="A159" s="2" t="s">
        <v>1366</v>
      </c>
      <c r="B159" s="2" t="s">
        <v>29</v>
      </c>
      <c r="C159" s="2" t="s">
        <v>49</v>
      </c>
      <c r="D159" s="2" t="s">
        <v>200</v>
      </c>
      <c r="E159" s="2" t="s">
        <v>50</v>
      </c>
      <c r="F159" s="2" t="s">
        <v>1010</v>
      </c>
      <c r="G159" s="2" t="s">
        <v>34</v>
      </c>
      <c r="H159" s="2" t="s">
        <v>734</v>
      </c>
      <c r="I159" s="2" t="s">
        <v>37</v>
      </c>
      <c r="J159" s="2" t="s">
        <v>200</v>
      </c>
      <c r="K159" s="2" t="s">
        <v>38</v>
      </c>
      <c r="L159" s="2" t="s">
        <v>38</v>
      </c>
      <c r="M159" s="2" t="s">
        <v>39</v>
      </c>
      <c r="N159" s="2" t="s">
        <v>38</v>
      </c>
      <c r="O159" s="2" t="s">
        <v>38</v>
      </c>
      <c r="P159" s="2" t="s">
        <v>38</v>
      </c>
      <c r="Q159" s="2" t="s">
        <v>1050</v>
      </c>
      <c r="R159" s="2" t="s">
        <v>1367</v>
      </c>
      <c r="S159" s="2" t="s">
        <v>1368</v>
      </c>
      <c r="T159" s="2" t="s">
        <v>1357</v>
      </c>
      <c r="U159" s="2" t="s">
        <v>1369</v>
      </c>
      <c r="V159" s="2" t="s">
        <v>1370</v>
      </c>
      <c r="W159" s="2" t="s">
        <v>38</v>
      </c>
      <c r="X159" s="3">
        <v>41066</v>
      </c>
      <c r="Y159" s="2" t="s">
        <v>1371</v>
      </c>
      <c r="Z159" s="5">
        <v>250</v>
      </c>
      <c r="AA159" s="2" t="s">
        <v>1323</v>
      </c>
      <c r="AB159" s="2" t="s">
        <v>1331</v>
      </c>
      <c r="AC159" s="12">
        <f t="shared" si="12"/>
        <v>2012</v>
      </c>
      <c r="AD159" s="12">
        <f t="shared" si="13"/>
        <v>6</v>
      </c>
      <c r="AE159" s="12">
        <f t="shared" si="14"/>
        <v>6</v>
      </c>
      <c r="AF159" s="16">
        <f t="shared" si="15"/>
        <v>21.3</v>
      </c>
      <c r="AG159" s="16" t="str">
        <f t="shared" si="16"/>
        <v/>
      </c>
      <c r="AH159" s="16">
        <f t="shared" si="17"/>
        <v>25</v>
      </c>
    </row>
    <row r="160" spans="1:34" x14ac:dyDescent="0.35">
      <c r="A160" s="2" t="s">
        <v>1375</v>
      </c>
      <c r="B160" s="2" t="s">
        <v>29</v>
      </c>
      <c r="C160" s="2" t="s">
        <v>49</v>
      </c>
      <c r="D160" s="2" t="s">
        <v>200</v>
      </c>
      <c r="E160" s="2" t="s">
        <v>579</v>
      </c>
      <c r="F160" s="2" t="s">
        <v>901</v>
      </c>
      <c r="G160" s="2" t="s">
        <v>34</v>
      </c>
      <c r="H160" s="2" t="s">
        <v>144</v>
      </c>
      <c r="I160" s="2" t="s">
        <v>37</v>
      </c>
      <c r="J160" s="2" t="s">
        <v>50</v>
      </c>
      <c r="K160" s="2" t="s">
        <v>38</v>
      </c>
      <c r="L160" s="2" t="s">
        <v>38</v>
      </c>
      <c r="M160" s="2" t="s">
        <v>39</v>
      </c>
      <c r="N160" s="2" t="s">
        <v>38</v>
      </c>
      <c r="O160" s="2" t="s">
        <v>38</v>
      </c>
      <c r="P160" s="2" t="s">
        <v>38</v>
      </c>
      <c r="Q160" s="2" t="s">
        <v>1115</v>
      </c>
      <c r="R160" s="2" t="s">
        <v>1367</v>
      </c>
      <c r="S160" s="2" t="s">
        <v>1058</v>
      </c>
      <c r="T160" s="2" t="s">
        <v>1362</v>
      </c>
      <c r="U160" s="2" t="s">
        <v>869</v>
      </c>
      <c r="V160" s="2" t="s">
        <v>1352</v>
      </c>
      <c r="W160" s="2" t="s">
        <v>38</v>
      </c>
      <c r="X160" s="3">
        <v>41067</v>
      </c>
      <c r="Y160" s="2" t="s">
        <v>1380</v>
      </c>
      <c r="Z160" s="5">
        <v>215</v>
      </c>
      <c r="AA160" s="2" t="s">
        <v>1323</v>
      </c>
      <c r="AB160" s="2" t="s">
        <v>1331</v>
      </c>
      <c r="AC160" s="12">
        <f t="shared" si="12"/>
        <v>2012</v>
      </c>
      <c r="AD160" s="12">
        <f t="shared" si="13"/>
        <v>6</v>
      </c>
      <c r="AE160" s="12">
        <f t="shared" si="14"/>
        <v>7</v>
      </c>
      <c r="AF160" s="16">
        <f t="shared" si="15"/>
        <v>19.899999999999999</v>
      </c>
      <c r="AG160" s="16" t="str">
        <f t="shared" si="16"/>
        <v/>
      </c>
      <c r="AH160" s="16">
        <f t="shared" si="17"/>
        <v>21.5</v>
      </c>
    </row>
    <row r="161" spans="1:34" x14ac:dyDescent="0.35">
      <c r="A161" s="2" t="s">
        <v>1381</v>
      </c>
      <c r="B161" s="2" t="s">
        <v>29</v>
      </c>
      <c r="C161" s="2" t="s">
        <v>49</v>
      </c>
      <c r="D161" s="2" t="s">
        <v>187</v>
      </c>
      <c r="E161" s="2" t="s">
        <v>50</v>
      </c>
      <c r="F161" s="2" t="s">
        <v>790</v>
      </c>
      <c r="G161" s="2" t="s">
        <v>34</v>
      </c>
      <c r="H161" s="2" t="s">
        <v>209</v>
      </c>
      <c r="I161" s="2" t="s">
        <v>37</v>
      </c>
      <c r="J161" s="2" t="s">
        <v>50</v>
      </c>
      <c r="K161" s="2" t="s">
        <v>38</v>
      </c>
      <c r="L161" s="2" t="s">
        <v>38</v>
      </c>
      <c r="M161" s="2" t="s">
        <v>39</v>
      </c>
      <c r="N161" s="2" t="s">
        <v>38</v>
      </c>
      <c r="O161" s="2" t="s">
        <v>38</v>
      </c>
      <c r="P161" s="2" t="s">
        <v>38</v>
      </c>
      <c r="Q161" s="2" t="s">
        <v>1382</v>
      </c>
      <c r="R161" s="2" t="s">
        <v>1367</v>
      </c>
      <c r="S161" s="2" t="s">
        <v>972</v>
      </c>
      <c r="T161" s="2" t="s">
        <v>1383</v>
      </c>
      <c r="U161" s="2" t="s">
        <v>253</v>
      </c>
      <c r="V161" s="2" t="s">
        <v>1364</v>
      </c>
      <c r="W161" s="2" t="s">
        <v>38</v>
      </c>
      <c r="X161" s="3">
        <v>41068</v>
      </c>
      <c r="Y161" s="2" t="s">
        <v>1384</v>
      </c>
      <c r="Z161" s="35">
        <v>206</v>
      </c>
      <c r="AA161" s="2" t="s">
        <v>1323</v>
      </c>
      <c r="AB161" s="2" t="s">
        <v>1331</v>
      </c>
      <c r="AC161" s="12">
        <f t="shared" si="12"/>
        <v>2012</v>
      </c>
      <c r="AD161" s="12">
        <f t="shared" si="13"/>
        <v>6</v>
      </c>
      <c r="AE161" s="12">
        <f t="shared" si="14"/>
        <v>8</v>
      </c>
      <c r="AF161" s="16">
        <f t="shared" si="15"/>
        <v>20.7</v>
      </c>
      <c r="AG161" s="16" t="str">
        <f t="shared" si="16"/>
        <v/>
      </c>
      <c r="AH161" s="16">
        <f t="shared" si="17"/>
        <v>20.6</v>
      </c>
    </row>
    <row r="162" spans="1:34" x14ac:dyDescent="0.35">
      <c r="A162" s="2" t="s">
        <v>1388</v>
      </c>
      <c r="B162" s="2" t="s">
        <v>29</v>
      </c>
      <c r="C162" s="2" t="s">
        <v>49</v>
      </c>
      <c r="D162" s="2" t="s">
        <v>187</v>
      </c>
      <c r="E162" s="2" t="s">
        <v>50</v>
      </c>
      <c r="F162" s="2" t="s">
        <v>1389</v>
      </c>
      <c r="G162" s="2" t="s">
        <v>34</v>
      </c>
      <c r="H162" s="2" t="s">
        <v>217</v>
      </c>
      <c r="I162" s="2" t="s">
        <v>37</v>
      </c>
      <c r="J162" s="2" t="s">
        <v>306</v>
      </c>
      <c r="K162" s="2" t="s">
        <v>38</v>
      </c>
      <c r="L162" s="2" t="s">
        <v>38</v>
      </c>
      <c r="M162" s="2" t="s">
        <v>39</v>
      </c>
      <c r="N162" s="2" t="s">
        <v>38</v>
      </c>
      <c r="O162" s="2" t="s">
        <v>38</v>
      </c>
      <c r="P162" s="2" t="s">
        <v>38</v>
      </c>
      <c r="Q162" s="2" t="s">
        <v>1259</v>
      </c>
      <c r="R162" s="2" t="s">
        <v>1367</v>
      </c>
      <c r="S162" s="2" t="s">
        <v>915</v>
      </c>
      <c r="T162" s="2" t="s">
        <v>1383</v>
      </c>
      <c r="U162" s="2" t="s">
        <v>891</v>
      </c>
      <c r="V162" s="2" t="s">
        <v>1390</v>
      </c>
      <c r="W162" s="2" t="s">
        <v>38</v>
      </c>
      <c r="X162" s="3">
        <v>41069</v>
      </c>
      <c r="Y162" s="2" t="s">
        <v>1391</v>
      </c>
      <c r="Z162" s="35">
        <v>234</v>
      </c>
      <c r="AA162" s="2" t="s">
        <v>1323</v>
      </c>
      <c r="AB162" s="2" t="s">
        <v>1331</v>
      </c>
      <c r="AC162" s="12">
        <f t="shared" si="12"/>
        <v>2012</v>
      </c>
      <c r="AD162" s="12">
        <f t="shared" si="13"/>
        <v>6</v>
      </c>
      <c r="AE162" s="12">
        <f t="shared" si="14"/>
        <v>9</v>
      </c>
      <c r="AF162" s="16">
        <f t="shared" si="15"/>
        <v>20.5</v>
      </c>
      <c r="AG162" s="16" t="str">
        <f t="shared" si="16"/>
        <v/>
      </c>
      <c r="AH162" s="16">
        <f t="shared" si="17"/>
        <v>23.4</v>
      </c>
    </row>
    <row r="163" spans="1:34" x14ac:dyDescent="0.35">
      <c r="A163" s="2" t="s">
        <v>1395</v>
      </c>
      <c r="B163" s="2" t="s">
        <v>29</v>
      </c>
      <c r="C163" s="2" t="s">
        <v>49</v>
      </c>
      <c r="D163" s="2" t="s">
        <v>187</v>
      </c>
      <c r="E163" s="2" t="s">
        <v>579</v>
      </c>
      <c r="F163" s="2" t="s">
        <v>275</v>
      </c>
      <c r="G163" s="2" t="s">
        <v>34</v>
      </c>
      <c r="H163" s="2" t="s">
        <v>153</v>
      </c>
      <c r="I163" s="2" t="s">
        <v>37</v>
      </c>
      <c r="J163" s="2" t="s">
        <v>306</v>
      </c>
      <c r="K163" s="2" t="s">
        <v>38</v>
      </c>
      <c r="L163" s="2" t="s">
        <v>38</v>
      </c>
      <c r="M163" s="2" t="s">
        <v>39</v>
      </c>
      <c r="N163" s="2" t="s">
        <v>38</v>
      </c>
      <c r="O163" s="2" t="s">
        <v>38</v>
      </c>
      <c r="P163" s="2" t="s">
        <v>38</v>
      </c>
      <c r="Q163" s="2" t="s">
        <v>1400</v>
      </c>
      <c r="R163" s="2" t="s">
        <v>41</v>
      </c>
      <c r="S163" s="2" t="s">
        <v>1401</v>
      </c>
      <c r="T163" s="2" t="s">
        <v>1402</v>
      </c>
      <c r="U163" s="2" t="s">
        <v>253</v>
      </c>
      <c r="V163" s="2" t="s">
        <v>1053</v>
      </c>
      <c r="W163" s="2" t="s">
        <v>38</v>
      </c>
      <c r="X163" s="3">
        <v>41070</v>
      </c>
      <c r="Y163" s="2" t="s">
        <v>1403</v>
      </c>
      <c r="Z163" s="5">
        <v>235</v>
      </c>
      <c r="AA163" s="2" t="s">
        <v>1323</v>
      </c>
      <c r="AB163" s="2" t="s">
        <v>1331</v>
      </c>
      <c r="AC163" s="12">
        <f t="shared" si="12"/>
        <v>2012</v>
      </c>
      <c r="AD163" s="12">
        <f t="shared" si="13"/>
        <v>6</v>
      </c>
      <c r="AE163" s="12">
        <f t="shared" si="14"/>
        <v>10</v>
      </c>
      <c r="AF163" s="16">
        <f t="shared" si="15"/>
        <v>20.100000000000001</v>
      </c>
      <c r="AG163" s="16" t="str">
        <f t="shared" si="16"/>
        <v/>
      </c>
      <c r="AH163" s="16">
        <f t="shared" si="17"/>
        <v>23.5</v>
      </c>
    </row>
    <row r="164" spans="1:34" x14ac:dyDescent="0.35">
      <c r="A164" s="2" t="s">
        <v>1404</v>
      </c>
      <c r="B164" s="2" t="s">
        <v>29</v>
      </c>
      <c r="C164" s="2" t="s">
        <v>49</v>
      </c>
      <c r="D164" s="2" t="s">
        <v>200</v>
      </c>
      <c r="E164" s="2" t="s">
        <v>579</v>
      </c>
      <c r="F164" s="2" t="s">
        <v>951</v>
      </c>
      <c r="G164" s="2" t="s">
        <v>34</v>
      </c>
      <c r="H164" s="2" t="s">
        <v>1405</v>
      </c>
      <c r="I164" s="2" t="s">
        <v>37</v>
      </c>
      <c r="J164" s="2" t="s">
        <v>714</v>
      </c>
      <c r="K164" s="2" t="s">
        <v>38</v>
      </c>
      <c r="L164" s="2" t="s">
        <v>38</v>
      </c>
      <c r="M164" s="2" t="s">
        <v>39</v>
      </c>
      <c r="N164" s="2" t="s">
        <v>38</v>
      </c>
      <c r="O164" s="2" t="s">
        <v>38</v>
      </c>
      <c r="P164" s="2" t="s">
        <v>38</v>
      </c>
      <c r="Q164" s="2" t="s">
        <v>1046</v>
      </c>
      <c r="R164" s="2" t="s">
        <v>1367</v>
      </c>
      <c r="S164" s="2" t="s">
        <v>1081</v>
      </c>
      <c r="T164" s="2" t="s">
        <v>1406</v>
      </c>
      <c r="U164" s="2" t="s">
        <v>205</v>
      </c>
      <c r="V164" s="2" t="s">
        <v>1291</v>
      </c>
      <c r="W164" s="2" t="s">
        <v>38</v>
      </c>
      <c r="X164" s="3">
        <v>41071</v>
      </c>
      <c r="Y164" s="2" t="s">
        <v>1407</v>
      </c>
      <c r="Z164" s="35">
        <v>218</v>
      </c>
      <c r="AA164" s="2" t="s">
        <v>1323</v>
      </c>
      <c r="AB164" s="2" t="s">
        <v>1331</v>
      </c>
      <c r="AC164" s="12">
        <f t="shared" si="12"/>
        <v>2012</v>
      </c>
      <c r="AD164" s="12">
        <f t="shared" si="13"/>
        <v>6</v>
      </c>
      <c r="AE164" s="12">
        <f t="shared" si="14"/>
        <v>11</v>
      </c>
      <c r="AF164" s="16">
        <f t="shared" si="15"/>
        <v>20.3</v>
      </c>
      <c r="AG164" s="16" t="str">
        <f t="shared" si="16"/>
        <v/>
      </c>
      <c r="AH164" s="16">
        <f t="shared" si="17"/>
        <v>21.8</v>
      </c>
    </row>
    <row r="165" spans="1:34" x14ac:dyDescent="0.35">
      <c r="A165" s="2" t="s">
        <v>1412</v>
      </c>
      <c r="B165" s="2" t="s">
        <v>29</v>
      </c>
      <c r="C165" s="2" t="s">
        <v>49</v>
      </c>
      <c r="D165" s="2" t="s">
        <v>187</v>
      </c>
      <c r="E165" s="2" t="s">
        <v>579</v>
      </c>
      <c r="F165" s="2" t="s">
        <v>1413</v>
      </c>
      <c r="G165" s="2" t="s">
        <v>34</v>
      </c>
      <c r="H165" s="2" t="s">
        <v>263</v>
      </c>
      <c r="I165" s="2" t="s">
        <v>37</v>
      </c>
      <c r="J165" s="2" t="s">
        <v>50</v>
      </c>
      <c r="K165" s="2" t="s">
        <v>38</v>
      </c>
      <c r="L165" s="2" t="s">
        <v>38</v>
      </c>
      <c r="M165" s="2" t="s">
        <v>1414</v>
      </c>
      <c r="N165" s="2" t="s">
        <v>38</v>
      </c>
      <c r="O165" s="2" t="s">
        <v>38</v>
      </c>
      <c r="P165" s="2" t="s">
        <v>38</v>
      </c>
      <c r="Q165" s="2" t="s">
        <v>1415</v>
      </c>
      <c r="R165" s="2" t="s">
        <v>41</v>
      </c>
      <c r="S165" s="2" t="s">
        <v>1416</v>
      </c>
      <c r="T165" s="2" t="s">
        <v>1343</v>
      </c>
      <c r="U165" s="2" t="s">
        <v>253</v>
      </c>
      <c r="V165" s="2" t="s">
        <v>1358</v>
      </c>
      <c r="W165" s="2" t="s">
        <v>38</v>
      </c>
      <c r="X165" s="3">
        <v>41072</v>
      </c>
      <c r="Y165" s="2" t="s">
        <v>1417</v>
      </c>
      <c r="Z165" s="5">
        <v>211</v>
      </c>
      <c r="AA165" s="2" t="s">
        <v>1323</v>
      </c>
      <c r="AB165" s="2" t="s">
        <v>1331</v>
      </c>
      <c r="AC165" s="12">
        <f t="shared" si="12"/>
        <v>2012</v>
      </c>
      <c r="AD165" s="12">
        <f t="shared" si="13"/>
        <v>6</v>
      </c>
      <c r="AE165" s="12">
        <f t="shared" si="14"/>
        <v>12</v>
      </c>
      <c r="AF165" s="16">
        <f t="shared" si="15"/>
        <v>20.399999999999999</v>
      </c>
      <c r="AG165" s="16" t="str">
        <f t="shared" si="16"/>
        <v/>
      </c>
      <c r="AH165" s="16">
        <f t="shared" si="17"/>
        <v>21.1</v>
      </c>
    </row>
    <row r="166" spans="1:34" x14ac:dyDescent="0.35">
      <c r="A166" s="2" t="s">
        <v>1420</v>
      </c>
      <c r="B166" s="2" t="s">
        <v>29</v>
      </c>
      <c r="C166" s="2" t="s">
        <v>49</v>
      </c>
      <c r="D166" s="2" t="s">
        <v>31</v>
      </c>
      <c r="E166" s="2" t="s">
        <v>579</v>
      </c>
      <c r="F166" s="2" t="s">
        <v>658</v>
      </c>
      <c r="G166" s="2" t="s">
        <v>34</v>
      </c>
      <c r="H166" s="2" t="s">
        <v>428</v>
      </c>
      <c r="I166" s="2" t="s">
        <v>37</v>
      </c>
      <c r="J166" s="2" t="s">
        <v>306</v>
      </c>
      <c r="K166" s="2" t="s">
        <v>38</v>
      </c>
      <c r="L166" s="2" t="s">
        <v>38</v>
      </c>
      <c r="M166" s="2" t="s">
        <v>39</v>
      </c>
      <c r="N166" s="2" t="s">
        <v>38</v>
      </c>
      <c r="O166" s="2" t="s">
        <v>38</v>
      </c>
      <c r="P166" s="2" t="s">
        <v>38</v>
      </c>
      <c r="Q166" s="2" t="s">
        <v>1425</v>
      </c>
      <c r="R166" s="2" t="s">
        <v>41</v>
      </c>
      <c r="S166" s="2" t="s">
        <v>975</v>
      </c>
      <c r="T166" s="2" t="s">
        <v>1329</v>
      </c>
      <c r="U166" s="2" t="s">
        <v>44</v>
      </c>
      <c r="V166" s="2" t="s">
        <v>1301</v>
      </c>
      <c r="W166" s="2" t="s">
        <v>38</v>
      </c>
      <c r="X166" s="3">
        <v>41073</v>
      </c>
      <c r="Y166" s="2" t="s">
        <v>1426</v>
      </c>
      <c r="Z166" s="5">
        <v>225</v>
      </c>
      <c r="AA166" s="2" t="s">
        <v>1323</v>
      </c>
      <c r="AB166" s="2" t="s">
        <v>1331</v>
      </c>
      <c r="AC166" s="12">
        <f t="shared" si="12"/>
        <v>2012</v>
      </c>
      <c r="AD166" s="12">
        <f t="shared" si="13"/>
        <v>6</v>
      </c>
      <c r="AE166" s="12">
        <f t="shared" si="14"/>
        <v>13</v>
      </c>
      <c r="AF166" s="16">
        <f t="shared" si="15"/>
        <v>20.2</v>
      </c>
      <c r="AG166" s="16" t="str">
        <f t="shared" si="16"/>
        <v/>
      </c>
      <c r="AH166" s="16">
        <f t="shared" si="17"/>
        <v>22.5</v>
      </c>
    </row>
    <row r="167" spans="1:34" x14ac:dyDescent="0.35">
      <c r="A167" s="2" t="s">
        <v>1427</v>
      </c>
      <c r="B167" s="2" t="s">
        <v>29</v>
      </c>
      <c r="C167" s="2" t="s">
        <v>49</v>
      </c>
      <c r="D167" s="2" t="s">
        <v>31</v>
      </c>
      <c r="E167" s="2" t="s">
        <v>579</v>
      </c>
      <c r="F167" s="2" t="s">
        <v>620</v>
      </c>
      <c r="G167" s="2" t="s">
        <v>34</v>
      </c>
      <c r="H167" s="2" t="s">
        <v>428</v>
      </c>
      <c r="I167" s="2" t="s">
        <v>37</v>
      </c>
      <c r="J167" s="2" t="s">
        <v>306</v>
      </c>
      <c r="K167" s="2" t="s">
        <v>38</v>
      </c>
      <c r="L167" s="2" t="s">
        <v>38</v>
      </c>
      <c r="M167" s="2" t="s">
        <v>39</v>
      </c>
      <c r="N167" s="2" t="s">
        <v>38</v>
      </c>
      <c r="O167" s="2" t="s">
        <v>38</v>
      </c>
      <c r="P167" s="2" t="s">
        <v>38</v>
      </c>
      <c r="Q167" s="2" t="s">
        <v>1428</v>
      </c>
      <c r="R167" s="2" t="s">
        <v>41</v>
      </c>
      <c r="S167" s="2" t="s">
        <v>1280</v>
      </c>
      <c r="T167" s="2" t="s">
        <v>903</v>
      </c>
      <c r="U167" s="2" t="s">
        <v>44</v>
      </c>
      <c r="V167" s="2" t="s">
        <v>1301</v>
      </c>
      <c r="W167" s="2" t="s">
        <v>38</v>
      </c>
      <c r="X167" s="3">
        <v>41074</v>
      </c>
      <c r="Y167" s="2" t="s">
        <v>1429</v>
      </c>
      <c r="Z167" s="35">
        <v>232</v>
      </c>
      <c r="AA167" s="2" t="s">
        <v>1323</v>
      </c>
      <c r="AB167" s="2" t="s">
        <v>1331</v>
      </c>
      <c r="AC167" s="12">
        <f t="shared" si="12"/>
        <v>2012</v>
      </c>
      <c r="AD167" s="12">
        <f t="shared" si="13"/>
        <v>6</v>
      </c>
      <c r="AE167" s="12">
        <f t="shared" si="14"/>
        <v>14</v>
      </c>
      <c r="AF167" s="16">
        <f t="shared" si="15"/>
        <v>20.2</v>
      </c>
      <c r="AG167" s="16" t="str">
        <f t="shared" si="16"/>
        <v/>
      </c>
      <c r="AH167" s="16">
        <f t="shared" si="17"/>
        <v>23.2</v>
      </c>
    </row>
    <row r="168" spans="1:34" x14ac:dyDescent="0.35">
      <c r="A168" s="2" t="s">
        <v>1434</v>
      </c>
      <c r="B168" s="2" t="s">
        <v>29</v>
      </c>
      <c r="C168" s="2" t="s">
        <v>49</v>
      </c>
      <c r="D168" s="2" t="s">
        <v>31</v>
      </c>
      <c r="E168" s="2" t="s">
        <v>50</v>
      </c>
      <c r="F168" s="2" t="s">
        <v>1435</v>
      </c>
      <c r="G168" s="2" t="s">
        <v>34</v>
      </c>
      <c r="H168" s="2" t="s">
        <v>113</v>
      </c>
      <c r="I168" s="2" t="s">
        <v>37</v>
      </c>
      <c r="J168" s="2" t="s">
        <v>200</v>
      </c>
      <c r="K168" s="2" t="s">
        <v>38</v>
      </c>
      <c r="L168" s="2" t="s">
        <v>38</v>
      </c>
      <c r="M168" s="2" t="s">
        <v>39</v>
      </c>
      <c r="N168" s="2" t="s">
        <v>38</v>
      </c>
      <c r="O168" s="2" t="s">
        <v>38</v>
      </c>
      <c r="P168" s="2" t="s">
        <v>38</v>
      </c>
      <c r="Q168" s="2" t="s">
        <v>1436</v>
      </c>
      <c r="R168" s="2" t="s">
        <v>41</v>
      </c>
      <c r="S168" s="2" t="s">
        <v>488</v>
      </c>
      <c r="T168" s="2" t="s">
        <v>1437</v>
      </c>
      <c r="U168" s="2" t="s">
        <v>44</v>
      </c>
      <c r="V168" s="2" t="s">
        <v>60</v>
      </c>
      <c r="W168" s="2" t="s">
        <v>38</v>
      </c>
      <c r="X168" s="3">
        <v>41075</v>
      </c>
      <c r="Y168" s="2" t="s">
        <v>1438</v>
      </c>
      <c r="Z168" s="35">
        <v>247</v>
      </c>
      <c r="AA168" s="2" t="s">
        <v>1323</v>
      </c>
      <c r="AB168" s="2" t="s">
        <v>1331</v>
      </c>
      <c r="AC168" s="12">
        <f t="shared" si="12"/>
        <v>2012</v>
      </c>
      <c r="AD168" s="12">
        <f t="shared" si="13"/>
        <v>6</v>
      </c>
      <c r="AE168" s="12">
        <f t="shared" si="14"/>
        <v>15</v>
      </c>
      <c r="AF168" s="16">
        <f t="shared" si="15"/>
        <v>20.6</v>
      </c>
      <c r="AG168" s="16" t="str">
        <f t="shared" si="16"/>
        <v/>
      </c>
      <c r="AH168" s="16">
        <f t="shared" si="17"/>
        <v>24.7</v>
      </c>
    </row>
    <row r="169" spans="1:34" x14ac:dyDescent="0.35">
      <c r="A169" s="2" t="s">
        <v>1445</v>
      </c>
      <c r="B169" s="2" t="s">
        <v>29</v>
      </c>
      <c r="C169" s="2" t="s">
        <v>49</v>
      </c>
      <c r="D169" s="2" t="s">
        <v>31</v>
      </c>
      <c r="E169" s="2" t="s">
        <v>50</v>
      </c>
      <c r="F169" s="2" t="s">
        <v>680</v>
      </c>
      <c r="G169" s="2" t="s">
        <v>34</v>
      </c>
      <c r="H169" s="2" t="s">
        <v>451</v>
      </c>
      <c r="I169" s="2" t="s">
        <v>37</v>
      </c>
      <c r="J169" s="2" t="s">
        <v>214</v>
      </c>
      <c r="K169" s="2" t="s">
        <v>38</v>
      </c>
      <c r="L169" s="2" t="s">
        <v>38</v>
      </c>
      <c r="M169" s="2" t="s">
        <v>39</v>
      </c>
      <c r="N169" s="2" t="s">
        <v>38</v>
      </c>
      <c r="O169" s="2" t="s">
        <v>38</v>
      </c>
      <c r="P169" s="2" t="s">
        <v>38</v>
      </c>
      <c r="Q169" s="2" t="s">
        <v>1450</v>
      </c>
      <c r="R169" s="2" t="s">
        <v>1367</v>
      </c>
      <c r="S169" s="2" t="s">
        <v>1451</v>
      </c>
      <c r="T169" s="2" t="s">
        <v>760</v>
      </c>
      <c r="U169" s="2" t="s">
        <v>1281</v>
      </c>
      <c r="V169" s="2" t="s">
        <v>1432</v>
      </c>
      <c r="W169" s="2" t="s">
        <v>38</v>
      </c>
      <c r="X169" s="3">
        <v>41076</v>
      </c>
      <c r="Y169" s="2" t="s">
        <v>1452</v>
      </c>
      <c r="Z169" s="5">
        <v>241</v>
      </c>
      <c r="AA169" s="2" t="s">
        <v>1323</v>
      </c>
      <c r="AB169" s="2" t="s">
        <v>1331</v>
      </c>
      <c r="AC169" s="12">
        <f t="shared" si="12"/>
        <v>2012</v>
      </c>
      <c r="AD169" s="12">
        <f t="shared" si="13"/>
        <v>6</v>
      </c>
      <c r="AE169" s="12">
        <f t="shared" si="14"/>
        <v>16</v>
      </c>
      <c r="AF169" s="16">
        <f t="shared" si="15"/>
        <v>20.8</v>
      </c>
      <c r="AG169" s="16" t="str">
        <f t="shared" si="16"/>
        <v/>
      </c>
      <c r="AH169" s="16">
        <f t="shared" si="17"/>
        <v>24.1</v>
      </c>
    </row>
    <row r="170" spans="1:34" x14ac:dyDescent="0.35">
      <c r="A170" s="2" t="s">
        <v>1453</v>
      </c>
      <c r="B170" s="2" t="s">
        <v>29</v>
      </c>
      <c r="C170" s="2" t="s">
        <v>49</v>
      </c>
      <c r="D170" s="2" t="s">
        <v>187</v>
      </c>
      <c r="E170" s="2" t="s">
        <v>714</v>
      </c>
      <c r="F170" s="2" t="s">
        <v>1228</v>
      </c>
      <c r="G170" s="2" t="s">
        <v>1460</v>
      </c>
      <c r="H170" s="2" t="s">
        <v>457</v>
      </c>
      <c r="I170" s="2" t="s">
        <v>37</v>
      </c>
      <c r="J170" s="2" t="s">
        <v>306</v>
      </c>
      <c r="K170" s="2" t="s">
        <v>38</v>
      </c>
      <c r="L170" s="2" t="s">
        <v>38</v>
      </c>
      <c r="M170" s="2" t="s">
        <v>39</v>
      </c>
      <c r="N170" s="2" t="s">
        <v>38</v>
      </c>
      <c r="O170" s="2" t="s">
        <v>38</v>
      </c>
      <c r="P170" s="2" t="s">
        <v>38</v>
      </c>
      <c r="Q170" s="2" t="s">
        <v>1400</v>
      </c>
      <c r="R170" s="2" t="s">
        <v>1029</v>
      </c>
      <c r="S170" s="2" t="s">
        <v>1461</v>
      </c>
      <c r="T170" s="2" t="s">
        <v>1443</v>
      </c>
      <c r="U170" s="2" t="s">
        <v>253</v>
      </c>
      <c r="V170" s="2" t="s">
        <v>1462</v>
      </c>
      <c r="W170" s="2" t="s">
        <v>38</v>
      </c>
      <c r="X170" s="3">
        <v>41077</v>
      </c>
      <c r="Y170" s="2" t="s">
        <v>1463</v>
      </c>
      <c r="Z170" s="35">
        <v>235</v>
      </c>
      <c r="AA170" s="2" t="s">
        <v>1323</v>
      </c>
      <c r="AB170" s="2" t="s">
        <v>1331</v>
      </c>
      <c r="AC170" s="12">
        <f t="shared" si="12"/>
        <v>2012</v>
      </c>
      <c r="AD170" s="12">
        <f t="shared" si="13"/>
        <v>6</v>
      </c>
      <c r="AE170" s="12">
        <f t="shared" si="14"/>
        <v>17</v>
      </c>
      <c r="AF170" s="16">
        <f t="shared" si="15"/>
        <v>22.3</v>
      </c>
      <c r="AG170" s="16" t="str">
        <f t="shared" si="16"/>
        <v/>
      </c>
      <c r="AH170" s="16">
        <f t="shared" si="17"/>
        <v>23.5</v>
      </c>
    </row>
    <row r="171" spans="1:34" x14ac:dyDescent="0.35">
      <c r="A171" s="2" t="s">
        <v>1464</v>
      </c>
      <c r="B171" s="2" t="s">
        <v>29</v>
      </c>
      <c r="C171" s="2" t="s">
        <v>49</v>
      </c>
      <c r="D171" s="2" t="s">
        <v>187</v>
      </c>
      <c r="E171" s="2" t="s">
        <v>714</v>
      </c>
      <c r="F171" s="2" t="s">
        <v>733</v>
      </c>
      <c r="G171" s="2" t="s">
        <v>34</v>
      </c>
      <c r="H171" s="2" t="s">
        <v>379</v>
      </c>
      <c r="I171" s="2" t="s">
        <v>37</v>
      </c>
      <c r="J171" s="2" t="s">
        <v>306</v>
      </c>
      <c r="K171" s="2" t="s">
        <v>38</v>
      </c>
      <c r="L171" s="2" t="s">
        <v>38</v>
      </c>
      <c r="M171" s="2" t="s">
        <v>39</v>
      </c>
      <c r="N171" s="2" t="s">
        <v>38</v>
      </c>
      <c r="O171" s="2" t="s">
        <v>38</v>
      </c>
      <c r="P171" s="2" t="s">
        <v>38</v>
      </c>
      <c r="Q171" s="2" t="s">
        <v>1303</v>
      </c>
      <c r="R171" s="2" t="s">
        <v>1467</v>
      </c>
      <c r="S171" s="2" t="s">
        <v>1468</v>
      </c>
      <c r="T171" s="2" t="s">
        <v>1469</v>
      </c>
      <c r="U171" s="2" t="s">
        <v>1165</v>
      </c>
      <c r="V171" s="2" t="s">
        <v>1462</v>
      </c>
      <c r="W171" s="2" t="s">
        <v>38</v>
      </c>
      <c r="X171" s="3">
        <v>41078</v>
      </c>
      <c r="Y171" s="2" t="s">
        <v>1470</v>
      </c>
      <c r="Z171" s="5">
        <v>227</v>
      </c>
      <c r="AA171" s="2" t="s">
        <v>1323</v>
      </c>
      <c r="AB171" s="2" t="s">
        <v>1331</v>
      </c>
      <c r="AC171" s="12">
        <f t="shared" si="12"/>
        <v>2012</v>
      </c>
      <c r="AD171" s="12">
        <f t="shared" si="13"/>
        <v>6</v>
      </c>
      <c r="AE171" s="12">
        <f t="shared" si="14"/>
        <v>18</v>
      </c>
      <c r="AF171" s="16">
        <f t="shared" si="15"/>
        <v>22.3</v>
      </c>
      <c r="AG171" s="16" t="str">
        <f t="shared" si="16"/>
        <v/>
      </c>
      <c r="AH171" s="16">
        <f t="shared" si="17"/>
        <v>22.7</v>
      </c>
    </row>
    <row r="172" spans="1:34" x14ac:dyDescent="0.35">
      <c r="A172" s="2" t="s">
        <v>1471</v>
      </c>
      <c r="B172" s="2" t="s">
        <v>29</v>
      </c>
      <c r="C172" s="2" t="s">
        <v>49</v>
      </c>
      <c r="D172" s="2" t="s">
        <v>187</v>
      </c>
      <c r="E172" s="2" t="s">
        <v>50</v>
      </c>
      <c r="F172" s="2" t="s">
        <v>901</v>
      </c>
      <c r="G172" s="2" t="s">
        <v>34</v>
      </c>
      <c r="H172" s="2" t="s">
        <v>379</v>
      </c>
      <c r="I172" s="2" t="s">
        <v>37</v>
      </c>
      <c r="J172" s="2" t="s">
        <v>214</v>
      </c>
      <c r="K172" s="2" t="s">
        <v>38</v>
      </c>
      <c r="L172" s="2" t="s">
        <v>38</v>
      </c>
      <c r="M172" s="2" t="s">
        <v>39</v>
      </c>
      <c r="N172" s="2" t="s">
        <v>38</v>
      </c>
      <c r="O172" s="2" t="s">
        <v>38</v>
      </c>
      <c r="P172" s="2" t="s">
        <v>38</v>
      </c>
      <c r="Q172" s="2" t="s">
        <v>1475</v>
      </c>
      <c r="R172" s="2" t="s">
        <v>41</v>
      </c>
      <c r="S172" s="2" t="s">
        <v>1476</v>
      </c>
      <c r="T172" s="2" t="s">
        <v>131</v>
      </c>
      <c r="U172" s="2" t="s">
        <v>891</v>
      </c>
      <c r="V172" s="2" t="s">
        <v>1432</v>
      </c>
      <c r="W172" s="2" t="s">
        <v>38</v>
      </c>
      <c r="X172" s="3">
        <v>41079</v>
      </c>
      <c r="Y172" s="2" t="s">
        <v>1477</v>
      </c>
      <c r="Z172" s="5">
        <v>244</v>
      </c>
      <c r="AA172" s="2" t="s">
        <v>1323</v>
      </c>
      <c r="AB172" s="2" t="s">
        <v>1331</v>
      </c>
      <c r="AC172" s="12">
        <f t="shared" si="12"/>
        <v>2012</v>
      </c>
      <c r="AD172" s="12">
        <f t="shared" si="13"/>
        <v>6</v>
      </c>
      <c r="AE172" s="12">
        <f t="shared" si="14"/>
        <v>19</v>
      </c>
      <c r="AF172" s="16">
        <f t="shared" si="15"/>
        <v>20.8</v>
      </c>
      <c r="AG172" s="16" t="str">
        <f t="shared" si="16"/>
        <v/>
      </c>
      <c r="AH172" s="16">
        <f t="shared" si="17"/>
        <v>24.4</v>
      </c>
    </row>
    <row r="173" spans="1:34" x14ac:dyDescent="0.35">
      <c r="A173" s="2" t="s">
        <v>1478</v>
      </c>
      <c r="B173" s="2" t="s">
        <v>29</v>
      </c>
      <c r="C173" s="2" t="s">
        <v>49</v>
      </c>
      <c r="D173" s="2" t="s">
        <v>171</v>
      </c>
      <c r="E173" s="2" t="s">
        <v>50</v>
      </c>
      <c r="F173" s="2" t="s">
        <v>607</v>
      </c>
      <c r="G173" s="2" t="s">
        <v>34</v>
      </c>
      <c r="H173" s="2" t="s">
        <v>127</v>
      </c>
      <c r="I173" s="2" t="s">
        <v>37</v>
      </c>
      <c r="J173" s="2" t="s">
        <v>214</v>
      </c>
      <c r="K173" s="2" t="s">
        <v>38</v>
      </c>
      <c r="L173" s="2" t="s">
        <v>38</v>
      </c>
      <c r="M173" s="2" t="s">
        <v>39</v>
      </c>
      <c r="N173" s="2" t="s">
        <v>38</v>
      </c>
      <c r="O173" s="2" t="s">
        <v>38</v>
      </c>
      <c r="P173" s="2" t="s">
        <v>38</v>
      </c>
      <c r="Q173" s="2" t="s">
        <v>1188</v>
      </c>
      <c r="R173" s="2" t="s">
        <v>41</v>
      </c>
      <c r="S173" s="2" t="s">
        <v>1328</v>
      </c>
      <c r="T173" s="2" t="s">
        <v>1479</v>
      </c>
      <c r="U173" s="2" t="s">
        <v>943</v>
      </c>
      <c r="V173" s="2" t="s">
        <v>1480</v>
      </c>
      <c r="W173" s="2" t="s">
        <v>38</v>
      </c>
      <c r="X173" s="3">
        <v>41080</v>
      </c>
      <c r="Y173" s="2" t="s">
        <v>1481</v>
      </c>
      <c r="Z173" s="35">
        <v>238</v>
      </c>
      <c r="AA173" s="2" t="s">
        <v>1323</v>
      </c>
      <c r="AB173" s="2" t="s">
        <v>1331</v>
      </c>
      <c r="AC173" s="12">
        <f t="shared" si="12"/>
        <v>2012</v>
      </c>
      <c r="AD173" s="12">
        <f t="shared" si="13"/>
        <v>6</v>
      </c>
      <c r="AE173" s="12">
        <f t="shared" si="14"/>
        <v>20</v>
      </c>
      <c r="AF173" s="16">
        <f t="shared" si="15"/>
        <v>21.1</v>
      </c>
      <c r="AG173" s="16" t="str">
        <f t="shared" si="16"/>
        <v/>
      </c>
      <c r="AH173" s="16">
        <f t="shared" si="17"/>
        <v>23.8</v>
      </c>
    </row>
    <row r="174" spans="1:34" x14ac:dyDescent="0.35">
      <c r="A174" s="2" t="s">
        <v>1486</v>
      </c>
      <c r="B174" s="2" t="s">
        <v>29</v>
      </c>
      <c r="C174" s="2" t="s">
        <v>49</v>
      </c>
      <c r="D174" s="2" t="s">
        <v>171</v>
      </c>
      <c r="E174" s="2" t="s">
        <v>579</v>
      </c>
      <c r="F174" s="2" t="s">
        <v>951</v>
      </c>
      <c r="G174" s="2" t="s">
        <v>34</v>
      </c>
      <c r="H174" s="2" t="s">
        <v>246</v>
      </c>
      <c r="I174" s="2" t="s">
        <v>37</v>
      </c>
      <c r="J174" s="2" t="s">
        <v>214</v>
      </c>
      <c r="K174" s="2" t="s">
        <v>38</v>
      </c>
      <c r="L174" s="2" t="s">
        <v>38</v>
      </c>
      <c r="M174" s="2" t="s">
        <v>39</v>
      </c>
      <c r="N174" s="2" t="s">
        <v>38</v>
      </c>
      <c r="O174" s="2" t="s">
        <v>38</v>
      </c>
      <c r="P174" s="2" t="s">
        <v>38</v>
      </c>
      <c r="Q174" s="2" t="s">
        <v>1487</v>
      </c>
      <c r="R174" s="2" t="s">
        <v>41</v>
      </c>
      <c r="S174" s="2" t="s">
        <v>1488</v>
      </c>
      <c r="T174" s="2" t="s">
        <v>1489</v>
      </c>
      <c r="U174" s="2" t="s">
        <v>943</v>
      </c>
      <c r="V174" s="2" t="s">
        <v>1053</v>
      </c>
      <c r="W174" s="2" t="s">
        <v>38</v>
      </c>
      <c r="X174" s="3">
        <v>41081</v>
      </c>
      <c r="Y174" s="2" t="s">
        <v>1490</v>
      </c>
      <c r="Z174" s="5">
        <v>243</v>
      </c>
      <c r="AA174" s="2" t="s">
        <v>1323</v>
      </c>
      <c r="AB174" s="2" t="s">
        <v>1331</v>
      </c>
      <c r="AC174" s="12">
        <f t="shared" si="12"/>
        <v>2012</v>
      </c>
      <c r="AD174" s="12">
        <f t="shared" si="13"/>
        <v>6</v>
      </c>
      <c r="AE174" s="12">
        <f t="shared" si="14"/>
        <v>21</v>
      </c>
      <c r="AF174" s="16">
        <f t="shared" si="15"/>
        <v>20.100000000000001</v>
      </c>
      <c r="AG174" s="16" t="str">
        <f t="shared" si="16"/>
        <v/>
      </c>
      <c r="AH174" s="16">
        <f t="shared" si="17"/>
        <v>24.3</v>
      </c>
    </row>
    <row r="175" spans="1:34" x14ac:dyDescent="0.35">
      <c r="A175" s="2" t="s">
        <v>1493</v>
      </c>
      <c r="B175" s="2" t="s">
        <v>29</v>
      </c>
      <c r="C175" s="2" t="s">
        <v>49</v>
      </c>
      <c r="D175" s="2" t="s">
        <v>171</v>
      </c>
      <c r="E175" s="2" t="s">
        <v>579</v>
      </c>
      <c r="F175" s="2" t="s">
        <v>607</v>
      </c>
      <c r="G175" s="2" t="s">
        <v>34</v>
      </c>
      <c r="H175" s="2" t="s">
        <v>69</v>
      </c>
      <c r="I175" s="2" t="s">
        <v>37</v>
      </c>
      <c r="J175" s="2" t="s">
        <v>306</v>
      </c>
      <c r="K175" s="2" t="s">
        <v>38</v>
      </c>
      <c r="L175" s="2" t="s">
        <v>38</v>
      </c>
      <c r="M175" s="2" t="s">
        <v>39</v>
      </c>
      <c r="N175" s="2" t="s">
        <v>38</v>
      </c>
      <c r="O175" s="2" t="s">
        <v>38</v>
      </c>
      <c r="P175" s="2" t="s">
        <v>38</v>
      </c>
      <c r="Q175" s="2" t="s">
        <v>1259</v>
      </c>
      <c r="R175" s="2" t="s">
        <v>41</v>
      </c>
      <c r="S175" s="2" t="s">
        <v>1494</v>
      </c>
      <c r="T175" s="2" t="s">
        <v>1489</v>
      </c>
      <c r="U175" s="2" t="s">
        <v>943</v>
      </c>
      <c r="V175" s="2" t="s">
        <v>1053</v>
      </c>
      <c r="W175" s="2" t="s">
        <v>38</v>
      </c>
      <c r="X175" s="3">
        <v>41082</v>
      </c>
      <c r="Y175" s="2" t="s">
        <v>1495</v>
      </c>
      <c r="Z175" s="35">
        <v>234</v>
      </c>
      <c r="AA175" s="2" t="s">
        <v>1323</v>
      </c>
      <c r="AB175" s="2" t="s">
        <v>1331</v>
      </c>
      <c r="AC175" s="12">
        <f t="shared" si="12"/>
        <v>2012</v>
      </c>
      <c r="AD175" s="12">
        <f t="shared" si="13"/>
        <v>6</v>
      </c>
      <c r="AE175" s="12">
        <f t="shared" si="14"/>
        <v>22</v>
      </c>
      <c r="AF175" s="16">
        <f t="shared" si="15"/>
        <v>20.100000000000001</v>
      </c>
      <c r="AG175" s="16" t="str">
        <f t="shared" si="16"/>
        <v/>
      </c>
      <c r="AH175" s="16">
        <f t="shared" si="17"/>
        <v>23.4</v>
      </c>
    </row>
    <row r="176" spans="1:34" x14ac:dyDescent="0.35">
      <c r="A176" s="2" t="s">
        <v>1498</v>
      </c>
      <c r="B176" s="2" t="s">
        <v>29</v>
      </c>
      <c r="C176" s="2" t="s">
        <v>49</v>
      </c>
      <c r="D176" s="2" t="s">
        <v>171</v>
      </c>
      <c r="E176" s="2" t="s">
        <v>579</v>
      </c>
      <c r="F176" s="2" t="s">
        <v>826</v>
      </c>
      <c r="G176" s="2" t="s">
        <v>34</v>
      </c>
      <c r="H176" s="2" t="s">
        <v>451</v>
      </c>
      <c r="I176" s="2" t="s">
        <v>37</v>
      </c>
      <c r="J176" s="2" t="s">
        <v>306</v>
      </c>
      <c r="K176" s="2" t="s">
        <v>38</v>
      </c>
      <c r="L176" s="2" t="s">
        <v>38</v>
      </c>
      <c r="M176" s="2" t="s">
        <v>39</v>
      </c>
      <c r="N176" s="2" t="s">
        <v>38</v>
      </c>
      <c r="O176" s="2" t="s">
        <v>38</v>
      </c>
      <c r="P176" s="2" t="s">
        <v>38</v>
      </c>
      <c r="Q176" s="2" t="s">
        <v>1400</v>
      </c>
      <c r="R176" s="2" t="s">
        <v>41</v>
      </c>
      <c r="S176" s="2" t="s">
        <v>1499</v>
      </c>
      <c r="T176" s="2" t="s">
        <v>1443</v>
      </c>
      <c r="U176" s="2" t="s">
        <v>381</v>
      </c>
      <c r="V176" s="2" t="s">
        <v>1291</v>
      </c>
      <c r="W176" s="2" t="s">
        <v>38</v>
      </c>
      <c r="X176" s="3">
        <v>41083</v>
      </c>
      <c r="Y176" s="2" t="s">
        <v>1500</v>
      </c>
      <c r="Z176" s="35">
        <v>235</v>
      </c>
      <c r="AA176" s="2" t="s">
        <v>1323</v>
      </c>
      <c r="AB176" s="2" t="s">
        <v>1331</v>
      </c>
      <c r="AC176" s="12">
        <f t="shared" si="12"/>
        <v>2012</v>
      </c>
      <c r="AD176" s="12">
        <f t="shared" si="13"/>
        <v>6</v>
      </c>
      <c r="AE176" s="12">
        <f t="shared" si="14"/>
        <v>23</v>
      </c>
      <c r="AF176" s="16">
        <f t="shared" si="15"/>
        <v>20.3</v>
      </c>
      <c r="AG176" s="16" t="str">
        <f t="shared" si="16"/>
        <v/>
      </c>
      <c r="AH176" s="16">
        <f t="shared" si="17"/>
        <v>23.5</v>
      </c>
    </row>
    <row r="177" spans="1:34" x14ac:dyDescent="0.35">
      <c r="A177" s="2" t="s">
        <v>1504</v>
      </c>
      <c r="B177" s="2" t="s">
        <v>29</v>
      </c>
      <c r="C177" s="2" t="s">
        <v>49</v>
      </c>
      <c r="D177" s="2" t="s">
        <v>200</v>
      </c>
      <c r="E177" s="2" t="s">
        <v>50</v>
      </c>
      <c r="F177" s="2" t="s">
        <v>629</v>
      </c>
      <c r="G177" s="2" t="s">
        <v>1509</v>
      </c>
      <c r="H177" s="2" t="s">
        <v>475</v>
      </c>
      <c r="I177" s="2" t="s">
        <v>37</v>
      </c>
      <c r="J177" s="2" t="s">
        <v>214</v>
      </c>
      <c r="K177" s="2" t="s">
        <v>38</v>
      </c>
      <c r="L177" s="2" t="s">
        <v>38</v>
      </c>
      <c r="M177" s="2" t="s">
        <v>39</v>
      </c>
      <c r="N177" s="2" t="s">
        <v>38</v>
      </c>
      <c r="O177" s="2" t="s">
        <v>38</v>
      </c>
      <c r="P177" s="2" t="s">
        <v>38</v>
      </c>
      <c r="Q177" s="2" t="s">
        <v>1188</v>
      </c>
      <c r="R177" s="2" t="s">
        <v>1029</v>
      </c>
      <c r="S177" s="2" t="s">
        <v>1058</v>
      </c>
      <c r="T177" s="2" t="s">
        <v>1457</v>
      </c>
      <c r="U177" s="2" t="s">
        <v>899</v>
      </c>
      <c r="V177" s="2" t="s">
        <v>1510</v>
      </c>
      <c r="W177" s="2" t="s">
        <v>38</v>
      </c>
      <c r="X177" s="3">
        <v>41084</v>
      </c>
      <c r="Y177" s="2" t="s">
        <v>1511</v>
      </c>
      <c r="Z177" s="5">
        <v>238</v>
      </c>
      <c r="AA177" s="2" t="s">
        <v>1323</v>
      </c>
      <c r="AB177" s="2" t="s">
        <v>1331</v>
      </c>
      <c r="AC177" s="12">
        <f t="shared" si="12"/>
        <v>2012</v>
      </c>
      <c r="AD177" s="12">
        <f t="shared" si="13"/>
        <v>6</v>
      </c>
      <c r="AE177" s="12">
        <f t="shared" si="14"/>
        <v>24</v>
      </c>
      <c r="AF177" s="16">
        <f t="shared" si="15"/>
        <v>21.4</v>
      </c>
      <c r="AG177" s="16" t="str">
        <f t="shared" si="16"/>
        <v/>
      </c>
      <c r="AH177" s="16">
        <f t="shared" si="17"/>
        <v>23.8</v>
      </c>
    </row>
    <row r="178" spans="1:34" x14ac:dyDescent="0.35">
      <c r="A178" s="2" t="s">
        <v>1512</v>
      </c>
      <c r="B178" s="2" t="s">
        <v>29</v>
      </c>
      <c r="C178" s="2" t="s">
        <v>49</v>
      </c>
      <c r="D178" s="2" t="s">
        <v>200</v>
      </c>
      <c r="E178" s="2" t="s">
        <v>306</v>
      </c>
      <c r="F178" s="2" t="s">
        <v>790</v>
      </c>
      <c r="G178" s="2" t="s">
        <v>1516</v>
      </c>
      <c r="H178" s="2" t="s">
        <v>121</v>
      </c>
      <c r="I178" s="2" t="s">
        <v>37</v>
      </c>
      <c r="J178" s="2" t="s">
        <v>306</v>
      </c>
      <c r="K178" s="2" t="s">
        <v>38</v>
      </c>
      <c r="L178" s="2" t="s">
        <v>38</v>
      </c>
      <c r="M178" s="2" t="s">
        <v>39</v>
      </c>
      <c r="N178" s="2" t="s">
        <v>38</v>
      </c>
      <c r="O178" s="2" t="s">
        <v>38</v>
      </c>
      <c r="P178" s="2" t="s">
        <v>38</v>
      </c>
      <c r="Q178" s="2" t="s">
        <v>1267</v>
      </c>
      <c r="R178" s="2" t="s">
        <v>1029</v>
      </c>
      <c r="S178" s="2" t="s">
        <v>1368</v>
      </c>
      <c r="T178" s="2" t="s">
        <v>1457</v>
      </c>
      <c r="U178" s="2" t="s">
        <v>205</v>
      </c>
      <c r="V178" s="2" t="s">
        <v>1517</v>
      </c>
      <c r="W178" s="2" t="s">
        <v>38</v>
      </c>
      <c r="X178" s="3">
        <v>41085</v>
      </c>
      <c r="Y178" s="2" t="s">
        <v>1518</v>
      </c>
      <c r="Z178" s="35">
        <v>229</v>
      </c>
      <c r="AA178" s="2" t="s">
        <v>1323</v>
      </c>
      <c r="AB178" s="2" t="s">
        <v>1331</v>
      </c>
      <c r="AC178" s="12">
        <f t="shared" si="12"/>
        <v>2012</v>
      </c>
      <c r="AD178" s="12">
        <f t="shared" si="13"/>
        <v>6</v>
      </c>
      <c r="AE178" s="12">
        <f t="shared" si="14"/>
        <v>25</v>
      </c>
      <c r="AF178" s="16">
        <f t="shared" si="15"/>
        <v>23</v>
      </c>
      <c r="AG178" s="16" t="str">
        <f t="shared" si="16"/>
        <v/>
      </c>
      <c r="AH178" s="16">
        <f t="shared" si="17"/>
        <v>22.9</v>
      </c>
    </row>
    <row r="179" spans="1:34" x14ac:dyDescent="0.35">
      <c r="A179" s="2" t="s">
        <v>1519</v>
      </c>
      <c r="B179" s="2" t="s">
        <v>29</v>
      </c>
      <c r="C179" s="2" t="s">
        <v>49</v>
      </c>
      <c r="D179" s="2" t="s">
        <v>171</v>
      </c>
      <c r="E179" s="2" t="s">
        <v>714</v>
      </c>
      <c r="F179" s="2" t="s">
        <v>300</v>
      </c>
      <c r="G179" s="2" t="s">
        <v>34</v>
      </c>
      <c r="H179" s="2" t="s">
        <v>87</v>
      </c>
      <c r="I179" s="2" t="s">
        <v>37</v>
      </c>
      <c r="J179" s="2" t="s">
        <v>214</v>
      </c>
      <c r="K179" s="2" t="s">
        <v>38</v>
      </c>
      <c r="L179" s="2" t="s">
        <v>38</v>
      </c>
      <c r="M179" s="2" t="s">
        <v>39</v>
      </c>
      <c r="N179" s="2" t="s">
        <v>38</v>
      </c>
      <c r="O179" s="2" t="s">
        <v>38</v>
      </c>
      <c r="P179" s="2" t="s">
        <v>38</v>
      </c>
      <c r="Q179" s="2" t="s">
        <v>1296</v>
      </c>
      <c r="R179" s="2" t="s">
        <v>1367</v>
      </c>
      <c r="S179" s="2" t="s">
        <v>1523</v>
      </c>
      <c r="T179" s="2" t="s">
        <v>1343</v>
      </c>
      <c r="U179" s="2" t="s">
        <v>175</v>
      </c>
      <c r="V179" s="2" t="s">
        <v>1524</v>
      </c>
      <c r="W179" s="2" t="s">
        <v>38</v>
      </c>
      <c r="X179" s="3">
        <v>41086</v>
      </c>
      <c r="Y179" s="2" t="s">
        <v>1525</v>
      </c>
      <c r="Z179" s="5">
        <v>236</v>
      </c>
      <c r="AA179" s="2" t="s">
        <v>1323</v>
      </c>
      <c r="AB179" s="2" t="s">
        <v>1331</v>
      </c>
      <c r="AC179" s="12">
        <f t="shared" si="12"/>
        <v>2012</v>
      </c>
      <c r="AD179" s="12">
        <f t="shared" si="13"/>
        <v>6</v>
      </c>
      <c r="AE179" s="12">
        <f t="shared" si="14"/>
        <v>26</v>
      </c>
      <c r="AF179" s="16">
        <f t="shared" si="15"/>
        <v>21.7</v>
      </c>
      <c r="AG179" s="16" t="str">
        <f t="shared" si="16"/>
        <v/>
      </c>
      <c r="AH179" s="16">
        <f t="shared" si="17"/>
        <v>23.6</v>
      </c>
    </row>
    <row r="180" spans="1:34" x14ac:dyDescent="0.35">
      <c r="A180" s="2" t="s">
        <v>1526</v>
      </c>
      <c r="B180" s="2" t="s">
        <v>29</v>
      </c>
      <c r="C180" s="2" t="s">
        <v>49</v>
      </c>
      <c r="D180" s="2" t="s">
        <v>200</v>
      </c>
      <c r="E180" s="2" t="s">
        <v>714</v>
      </c>
      <c r="F180" s="2" t="s">
        <v>800</v>
      </c>
      <c r="G180" s="2" t="s">
        <v>1460</v>
      </c>
      <c r="H180" s="2" t="s">
        <v>202</v>
      </c>
      <c r="I180" s="2" t="s">
        <v>37</v>
      </c>
      <c r="J180" s="2" t="s">
        <v>306</v>
      </c>
      <c r="K180" s="2" t="s">
        <v>38</v>
      </c>
      <c r="L180" s="2" t="s">
        <v>38</v>
      </c>
      <c r="M180" s="2" t="s">
        <v>39</v>
      </c>
      <c r="N180" s="2" t="s">
        <v>38</v>
      </c>
      <c r="O180" s="2" t="s">
        <v>38</v>
      </c>
      <c r="P180" s="2" t="s">
        <v>38</v>
      </c>
      <c r="Q180" s="2" t="s">
        <v>1259</v>
      </c>
      <c r="R180" s="2" t="s">
        <v>1029</v>
      </c>
      <c r="S180" s="2" t="s">
        <v>1058</v>
      </c>
      <c r="T180" s="2" t="s">
        <v>1357</v>
      </c>
      <c r="U180" s="2" t="s">
        <v>303</v>
      </c>
      <c r="V180" s="2" t="s">
        <v>1527</v>
      </c>
      <c r="W180" s="2" t="s">
        <v>38</v>
      </c>
      <c r="X180" s="3">
        <v>41087</v>
      </c>
      <c r="Y180" s="2" t="s">
        <v>1528</v>
      </c>
      <c r="Z180" s="5">
        <v>234</v>
      </c>
      <c r="AA180" s="2" t="s">
        <v>1323</v>
      </c>
      <c r="AB180" s="2" t="s">
        <v>1331</v>
      </c>
      <c r="AC180" s="12">
        <f t="shared" si="12"/>
        <v>2012</v>
      </c>
      <c r="AD180" s="12">
        <f t="shared" si="13"/>
        <v>6</v>
      </c>
      <c r="AE180" s="12">
        <f t="shared" si="14"/>
        <v>27</v>
      </c>
      <c r="AF180" s="16">
        <f t="shared" si="15"/>
        <v>22.2</v>
      </c>
      <c r="AG180" s="16" t="str">
        <f t="shared" si="16"/>
        <v/>
      </c>
      <c r="AH180" s="16">
        <f t="shared" si="17"/>
        <v>23.4</v>
      </c>
    </row>
    <row r="181" spans="1:34" x14ac:dyDescent="0.35">
      <c r="A181" s="2" t="s">
        <v>1531</v>
      </c>
      <c r="B181" s="2" t="s">
        <v>29</v>
      </c>
      <c r="C181" s="2" t="s">
        <v>49</v>
      </c>
      <c r="D181" s="2" t="s">
        <v>171</v>
      </c>
      <c r="E181" s="2" t="s">
        <v>50</v>
      </c>
      <c r="F181" s="2" t="s">
        <v>1535</v>
      </c>
      <c r="G181" s="2" t="s">
        <v>34</v>
      </c>
      <c r="H181" s="2" t="s">
        <v>173</v>
      </c>
      <c r="I181" s="2" t="s">
        <v>37</v>
      </c>
      <c r="J181" s="2" t="s">
        <v>306</v>
      </c>
      <c r="K181" s="2" t="s">
        <v>38</v>
      </c>
      <c r="L181" s="2" t="s">
        <v>38</v>
      </c>
      <c r="M181" s="2" t="s">
        <v>39</v>
      </c>
      <c r="N181" s="2" t="s">
        <v>38</v>
      </c>
      <c r="O181" s="2" t="s">
        <v>38</v>
      </c>
      <c r="P181" s="2" t="s">
        <v>38</v>
      </c>
      <c r="Q181" s="2" t="s">
        <v>1536</v>
      </c>
      <c r="R181" s="2" t="s">
        <v>1367</v>
      </c>
      <c r="S181" s="2" t="s">
        <v>1501</v>
      </c>
      <c r="T181" s="2" t="s">
        <v>1457</v>
      </c>
      <c r="U181" s="2" t="s">
        <v>175</v>
      </c>
      <c r="V181" s="2" t="s">
        <v>1364</v>
      </c>
      <c r="W181" s="2" t="s">
        <v>38</v>
      </c>
      <c r="X181" s="3">
        <v>41088</v>
      </c>
      <c r="Y181" s="2" t="s">
        <v>1537</v>
      </c>
      <c r="Z181" s="35">
        <v>230</v>
      </c>
      <c r="AA181" s="2" t="s">
        <v>1323</v>
      </c>
      <c r="AB181" s="2" t="s">
        <v>1331</v>
      </c>
      <c r="AC181" s="12">
        <f t="shared" si="12"/>
        <v>2012</v>
      </c>
      <c r="AD181" s="12">
        <f t="shared" si="13"/>
        <v>6</v>
      </c>
      <c r="AE181" s="12">
        <f t="shared" si="14"/>
        <v>28</v>
      </c>
      <c r="AF181" s="16">
        <f t="shared" si="15"/>
        <v>20.7</v>
      </c>
      <c r="AG181" s="16" t="str">
        <f t="shared" si="16"/>
        <v/>
      </c>
      <c r="AH181" s="16">
        <f t="shared" si="17"/>
        <v>23</v>
      </c>
    </row>
    <row r="182" spans="1:34" x14ac:dyDescent="0.35">
      <c r="A182" s="2" t="s">
        <v>1538</v>
      </c>
      <c r="B182" s="2" t="s">
        <v>29</v>
      </c>
      <c r="C182" s="2" t="s">
        <v>49</v>
      </c>
      <c r="D182" s="2" t="s">
        <v>187</v>
      </c>
      <c r="E182" s="2" t="s">
        <v>50</v>
      </c>
      <c r="F182" s="2" t="s">
        <v>812</v>
      </c>
      <c r="G182" s="2" t="s">
        <v>34</v>
      </c>
      <c r="H182" s="2" t="s">
        <v>202</v>
      </c>
      <c r="I182" s="2" t="s">
        <v>37</v>
      </c>
      <c r="J182" s="2" t="s">
        <v>306</v>
      </c>
      <c r="K182" s="2" t="s">
        <v>38</v>
      </c>
      <c r="L182" s="2" t="s">
        <v>38</v>
      </c>
      <c r="M182" s="2" t="s">
        <v>1542</v>
      </c>
      <c r="N182" s="2" t="s">
        <v>38</v>
      </c>
      <c r="O182" s="2" t="s">
        <v>38</v>
      </c>
      <c r="P182" s="2" t="s">
        <v>38</v>
      </c>
      <c r="Q182" s="2" t="s">
        <v>1259</v>
      </c>
      <c r="R182" s="2" t="s">
        <v>41</v>
      </c>
      <c r="S182" s="2" t="s">
        <v>1356</v>
      </c>
      <c r="T182" s="2" t="s">
        <v>1543</v>
      </c>
      <c r="U182" s="2" t="s">
        <v>190</v>
      </c>
      <c r="V182" s="2" t="s">
        <v>60</v>
      </c>
      <c r="W182" s="2" t="s">
        <v>38</v>
      </c>
      <c r="X182" s="3">
        <v>41089</v>
      </c>
      <c r="Y182" s="2" t="s">
        <v>1544</v>
      </c>
      <c r="Z182" s="5">
        <v>234</v>
      </c>
      <c r="AA182" s="2" t="s">
        <v>1323</v>
      </c>
      <c r="AB182" s="2" t="s">
        <v>1331</v>
      </c>
      <c r="AC182" s="12">
        <f t="shared" si="12"/>
        <v>2012</v>
      </c>
      <c r="AD182" s="12">
        <f t="shared" si="13"/>
        <v>6</v>
      </c>
      <c r="AE182" s="12">
        <f t="shared" si="14"/>
        <v>29</v>
      </c>
      <c r="AF182" s="16">
        <f t="shared" si="15"/>
        <v>20.6</v>
      </c>
      <c r="AG182" s="16" t="str">
        <f t="shared" si="16"/>
        <v/>
      </c>
      <c r="AH182" s="16">
        <f t="shared" si="17"/>
        <v>23.4</v>
      </c>
    </row>
    <row r="183" spans="1:34" x14ac:dyDescent="0.35">
      <c r="A183" s="2" t="s">
        <v>1545</v>
      </c>
      <c r="B183" s="2" t="s">
        <v>29</v>
      </c>
      <c r="C183" s="2" t="s">
        <v>49</v>
      </c>
      <c r="D183" s="2" t="s">
        <v>171</v>
      </c>
      <c r="E183" s="2" t="s">
        <v>596</v>
      </c>
      <c r="F183" s="2" t="s">
        <v>1010</v>
      </c>
      <c r="G183" s="2" t="s">
        <v>34</v>
      </c>
      <c r="H183" s="2" t="s">
        <v>386</v>
      </c>
      <c r="I183" s="2" t="s">
        <v>37</v>
      </c>
      <c r="J183" s="2" t="s">
        <v>306</v>
      </c>
      <c r="K183" s="2" t="s">
        <v>38</v>
      </c>
      <c r="L183" s="2" t="s">
        <v>38</v>
      </c>
      <c r="M183" s="2" t="s">
        <v>39</v>
      </c>
      <c r="N183" s="2" t="s">
        <v>38</v>
      </c>
      <c r="O183" s="2" t="s">
        <v>38</v>
      </c>
      <c r="P183" s="2" t="s">
        <v>38</v>
      </c>
      <c r="Q183" s="2" t="s">
        <v>1303</v>
      </c>
      <c r="R183" s="2" t="s">
        <v>41</v>
      </c>
      <c r="S183" s="2" t="s">
        <v>1551</v>
      </c>
      <c r="T183" s="2" t="s">
        <v>1552</v>
      </c>
      <c r="U183" s="2" t="s">
        <v>381</v>
      </c>
      <c r="V183" s="2" t="s">
        <v>992</v>
      </c>
      <c r="W183" s="2" t="s">
        <v>38</v>
      </c>
      <c r="X183" s="3">
        <v>41090</v>
      </c>
      <c r="Y183" s="2" t="s">
        <v>1553</v>
      </c>
      <c r="Z183" s="35">
        <v>227</v>
      </c>
      <c r="AA183" s="2" t="s">
        <v>1323</v>
      </c>
      <c r="AB183" s="2" t="s">
        <v>1331</v>
      </c>
      <c r="AC183" s="12">
        <f t="shared" si="12"/>
        <v>2012</v>
      </c>
      <c r="AD183" s="12">
        <f t="shared" si="13"/>
        <v>6</v>
      </c>
      <c r="AE183" s="12">
        <f t="shared" si="14"/>
        <v>30</v>
      </c>
      <c r="AF183" s="16">
        <f t="shared" si="15"/>
        <v>18.7</v>
      </c>
      <c r="AG183" s="16" t="str">
        <f t="shared" si="16"/>
        <v/>
      </c>
      <c r="AH183" s="16">
        <f t="shared" si="17"/>
        <v>22.7</v>
      </c>
    </row>
    <row r="184" spans="1:34" x14ac:dyDescent="0.35">
      <c r="A184" s="2" t="s">
        <v>1554</v>
      </c>
      <c r="B184" s="2" t="s">
        <v>29</v>
      </c>
      <c r="C184" s="2" t="s">
        <v>49</v>
      </c>
      <c r="D184" s="2" t="s">
        <v>187</v>
      </c>
      <c r="E184" s="2" t="s">
        <v>579</v>
      </c>
      <c r="F184" s="2" t="s">
        <v>1128</v>
      </c>
      <c r="G184" s="2" t="s">
        <v>34</v>
      </c>
      <c r="H184" s="2" t="s">
        <v>1560</v>
      </c>
      <c r="I184" s="2" t="s">
        <v>37</v>
      </c>
      <c r="J184" s="2" t="s">
        <v>214</v>
      </c>
      <c r="K184" s="2" t="s">
        <v>38</v>
      </c>
      <c r="L184" s="2" t="s">
        <v>38</v>
      </c>
      <c r="M184" s="2" t="s">
        <v>39</v>
      </c>
      <c r="N184" s="2" t="s">
        <v>38</v>
      </c>
      <c r="O184" s="2" t="s">
        <v>38</v>
      </c>
      <c r="P184" s="2" t="s">
        <v>38</v>
      </c>
      <c r="Q184" s="2" t="s">
        <v>1296</v>
      </c>
      <c r="R184" s="2" t="s">
        <v>41</v>
      </c>
      <c r="S184" s="2" t="s">
        <v>1561</v>
      </c>
      <c r="T184" s="2" t="s">
        <v>43</v>
      </c>
      <c r="U184" s="2" t="s">
        <v>346</v>
      </c>
      <c r="V184" s="2" t="s">
        <v>581</v>
      </c>
      <c r="W184" s="2" t="s">
        <v>38</v>
      </c>
      <c r="X184" s="3">
        <v>41091</v>
      </c>
      <c r="Y184" s="2" t="s">
        <v>1562</v>
      </c>
      <c r="Z184" s="35">
        <v>236</v>
      </c>
      <c r="AA184" s="2" t="s">
        <v>1323</v>
      </c>
      <c r="AB184" s="2" t="s">
        <v>1550</v>
      </c>
      <c r="AC184" s="12">
        <f t="shared" si="12"/>
        <v>2012</v>
      </c>
      <c r="AD184" s="12">
        <f t="shared" si="13"/>
        <v>7</v>
      </c>
      <c r="AE184" s="12">
        <f t="shared" si="14"/>
        <v>1</v>
      </c>
      <c r="AF184" s="16">
        <f t="shared" si="15"/>
        <v>19.600000000000001</v>
      </c>
      <c r="AG184" s="16" t="str">
        <f t="shared" si="16"/>
        <v/>
      </c>
      <c r="AH184" s="16">
        <f t="shared" si="17"/>
        <v>23.6</v>
      </c>
    </row>
    <row r="185" spans="1:34" x14ac:dyDescent="0.35">
      <c r="A185" s="2" t="s">
        <v>1563</v>
      </c>
      <c r="B185" s="2" t="s">
        <v>29</v>
      </c>
      <c r="C185" s="2" t="s">
        <v>49</v>
      </c>
      <c r="D185" s="2" t="s">
        <v>187</v>
      </c>
      <c r="E185" s="2" t="s">
        <v>714</v>
      </c>
      <c r="F185" s="2" t="s">
        <v>1360</v>
      </c>
      <c r="G185" s="2" t="s">
        <v>34</v>
      </c>
      <c r="H185" s="2" t="s">
        <v>1564</v>
      </c>
      <c r="I185" s="2" t="s">
        <v>37</v>
      </c>
      <c r="J185" s="2" t="s">
        <v>714</v>
      </c>
      <c r="K185" s="2" t="s">
        <v>38</v>
      </c>
      <c r="L185" s="2" t="s">
        <v>38</v>
      </c>
      <c r="M185" s="2" t="s">
        <v>39</v>
      </c>
      <c r="N185" s="2" t="s">
        <v>38</v>
      </c>
      <c r="O185" s="2" t="s">
        <v>38</v>
      </c>
      <c r="P185" s="2" t="s">
        <v>38</v>
      </c>
      <c r="Q185" s="2" t="s">
        <v>1565</v>
      </c>
      <c r="R185" s="2" t="s">
        <v>1367</v>
      </c>
      <c r="S185" s="2" t="s">
        <v>58</v>
      </c>
      <c r="T185" s="2" t="s">
        <v>1566</v>
      </c>
      <c r="U185" s="2" t="s">
        <v>346</v>
      </c>
      <c r="V185" s="2" t="s">
        <v>716</v>
      </c>
      <c r="W185" s="2" t="s">
        <v>38</v>
      </c>
      <c r="X185" s="3">
        <v>41092</v>
      </c>
      <c r="Y185" s="2" t="s">
        <v>1567</v>
      </c>
      <c r="Z185" s="5">
        <v>224</v>
      </c>
      <c r="AA185" s="2" t="s">
        <v>1323</v>
      </c>
      <c r="AB185" s="2" t="s">
        <v>1550</v>
      </c>
      <c r="AC185" s="12">
        <f t="shared" si="12"/>
        <v>2012</v>
      </c>
      <c r="AD185" s="12">
        <f t="shared" si="13"/>
        <v>7</v>
      </c>
      <c r="AE185" s="12">
        <f t="shared" si="14"/>
        <v>2</v>
      </c>
      <c r="AF185" s="16">
        <f t="shared" si="15"/>
        <v>22.4</v>
      </c>
      <c r="AG185" s="16" t="str">
        <f t="shared" si="16"/>
        <v/>
      </c>
      <c r="AH185" s="16">
        <f t="shared" si="17"/>
        <v>22.4</v>
      </c>
    </row>
    <row r="186" spans="1:34" x14ac:dyDescent="0.35">
      <c r="A186" s="2" t="s">
        <v>1572</v>
      </c>
      <c r="B186" s="2" t="s">
        <v>29</v>
      </c>
      <c r="C186" s="2" t="s">
        <v>49</v>
      </c>
      <c r="D186" s="2" t="s">
        <v>187</v>
      </c>
      <c r="E186" s="2" t="s">
        <v>50</v>
      </c>
      <c r="F186" s="2" t="s">
        <v>1573</v>
      </c>
      <c r="G186" s="2" t="s">
        <v>34</v>
      </c>
      <c r="H186" s="2" t="s">
        <v>173</v>
      </c>
      <c r="I186" s="2" t="s">
        <v>37</v>
      </c>
      <c r="J186" s="2" t="s">
        <v>306</v>
      </c>
      <c r="K186" s="2" t="s">
        <v>38</v>
      </c>
      <c r="L186" s="2" t="s">
        <v>38</v>
      </c>
      <c r="M186" s="2" t="s">
        <v>39</v>
      </c>
      <c r="N186" s="2" t="s">
        <v>38</v>
      </c>
      <c r="O186" s="2" t="s">
        <v>38</v>
      </c>
      <c r="P186" s="2" t="s">
        <v>38</v>
      </c>
      <c r="Q186" s="2" t="s">
        <v>1428</v>
      </c>
      <c r="R186" s="2" t="s">
        <v>41</v>
      </c>
      <c r="S186" s="2" t="s">
        <v>1058</v>
      </c>
      <c r="T186" s="2" t="s">
        <v>1566</v>
      </c>
      <c r="U186" s="2" t="s">
        <v>1165</v>
      </c>
      <c r="V186" s="2" t="s">
        <v>1510</v>
      </c>
      <c r="W186" s="2" t="s">
        <v>38</v>
      </c>
      <c r="X186" s="3">
        <v>41093</v>
      </c>
      <c r="Y186" s="2" t="s">
        <v>1574</v>
      </c>
      <c r="Z186" s="35">
        <v>232</v>
      </c>
      <c r="AA186" s="2" t="s">
        <v>1323</v>
      </c>
      <c r="AB186" s="2" t="s">
        <v>1550</v>
      </c>
      <c r="AC186" s="12">
        <f t="shared" si="12"/>
        <v>2012</v>
      </c>
      <c r="AD186" s="12">
        <f t="shared" si="13"/>
        <v>7</v>
      </c>
      <c r="AE186" s="12">
        <f t="shared" si="14"/>
        <v>3</v>
      </c>
      <c r="AF186" s="16">
        <f t="shared" si="15"/>
        <v>21.4</v>
      </c>
      <c r="AG186" s="16" t="str">
        <f t="shared" si="16"/>
        <v/>
      </c>
      <c r="AH186" s="16">
        <f t="shared" si="17"/>
        <v>23.2</v>
      </c>
    </row>
    <row r="187" spans="1:34" x14ac:dyDescent="0.35">
      <c r="A187" s="2" t="s">
        <v>1577</v>
      </c>
      <c r="B187" s="2" t="s">
        <v>29</v>
      </c>
      <c r="C187" s="2" t="s">
        <v>49</v>
      </c>
      <c r="D187" s="2" t="s">
        <v>214</v>
      </c>
      <c r="E187" s="2" t="s">
        <v>306</v>
      </c>
      <c r="F187" s="2" t="s">
        <v>1578</v>
      </c>
      <c r="G187" s="2" t="s">
        <v>1579</v>
      </c>
      <c r="H187" s="2" t="s">
        <v>79</v>
      </c>
      <c r="I187" s="2" t="s">
        <v>37</v>
      </c>
      <c r="J187" s="2" t="s">
        <v>306</v>
      </c>
      <c r="K187" s="2" t="s">
        <v>38</v>
      </c>
      <c r="L187" s="2" t="s">
        <v>38</v>
      </c>
      <c r="M187" s="2" t="s">
        <v>1532</v>
      </c>
      <c r="N187" s="2" t="s">
        <v>38</v>
      </c>
      <c r="O187" s="2" t="s">
        <v>38</v>
      </c>
      <c r="P187" s="2" t="s">
        <v>38</v>
      </c>
      <c r="Q187" s="2" t="s">
        <v>1580</v>
      </c>
      <c r="R187" s="2" t="s">
        <v>1029</v>
      </c>
      <c r="S187" s="2" t="s">
        <v>1058</v>
      </c>
      <c r="T187" s="2" t="s">
        <v>1457</v>
      </c>
      <c r="U187" s="2" t="s">
        <v>796</v>
      </c>
      <c r="V187" s="2" t="s">
        <v>1458</v>
      </c>
      <c r="W187" s="2" t="s">
        <v>38</v>
      </c>
      <c r="X187" s="3">
        <v>41094</v>
      </c>
      <c r="Y187" s="2" t="s">
        <v>1581</v>
      </c>
      <c r="Z187" s="5">
        <v>231</v>
      </c>
      <c r="AA187" s="2" t="s">
        <v>1323</v>
      </c>
      <c r="AB187" s="2" t="s">
        <v>1550</v>
      </c>
      <c r="AC187" s="12">
        <f t="shared" si="12"/>
        <v>2012</v>
      </c>
      <c r="AD187" s="12">
        <f t="shared" si="13"/>
        <v>7</v>
      </c>
      <c r="AE187" s="12">
        <f t="shared" si="14"/>
        <v>4</v>
      </c>
      <c r="AF187" s="16">
        <f t="shared" si="15"/>
        <v>22.6</v>
      </c>
      <c r="AG187" s="16" t="str">
        <f t="shared" si="16"/>
        <v/>
      </c>
      <c r="AH187" s="16">
        <f t="shared" si="17"/>
        <v>23.1</v>
      </c>
    </row>
    <row r="188" spans="1:34" x14ac:dyDescent="0.35">
      <c r="A188" s="2" t="s">
        <v>1585</v>
      </c>
      <c r="B188" s="2" t="s">
        <v>29</v>
      </c>
      <c r="C188" s="2" t="s">
        <v>49</v>
      </c>
      <c r="D188" s="2" t="s">
        <v>200</v>
      </c>
      <c r="E188" s="2" t="s">
        <v>50</v>
      </c>
      <c r="F188" s="2" t="s">
        <v>1172</v>
      </c>
      <c r="G188" s="2" t="s">
        <v>1509</v>
      </c>
      <c r="H188" s="2" t="s">
        <v>1586</v>
      </c>
      <c r="I188" s="2" t="s">
        <v>37</v>
      </c>
      <c r="J188" s="2" t="s">
        <v>714</v>
      </c>
      <c r="K188" s="2" t="s">
        <v>38</v>
      </c>
      <c r="L188" s="2" t="s">
        <v>38</v>
      </c>
      <c r="M188" s="2" t="s">
        <v>1542</v>
      </c>
      <c r="N188" s="2" t="s">
        <v>38</v>
      </c>
      <c r="O188" s="2" t="s">
        <v>38</v>
      </c>
      <c r="P188" s="2" t="s">
        <v>38</v>
      </c>
      <c r="Q188" s="2" t="s">
        <v>1220</v>
      </c>
      <c r="R188" s="2" t="s">
        <v>1029</v>
      </c>
      <c r="S188" s="2" t="s">
        <v>1506</v>
      </c>
      <c r="T188" s="2" t="s">
        <v>1543</v>
      </c>
      <c r="U188" s="2" t="s">
        <v>899</v>
      </c>
      <c r="V188" s="2" t="s">
        <v>1398</v>
      </c>
      <c r="W188" s="2" t="s">
        <v>38</v>
      </c>
      <c r="X188" s="3">
        <v>41095</v>
      </c>
      <c r="Y188" s="2" t="s">
        <v>1587</v>
      </c>
      <c r="Z188" s="35">
        <v>219</v>
      </c>
      <c r="AA188" s="2" t="s">
        <v>1323</v>
      </c>
      <c r="AB188" s="2" t="s">
        <v>1550</v>
      </c>
      <c r="AC188" s="12">
        <f t="shared" si="12"/>
        <v>2012</v>
      </c>
      <c r="AD188" s="12">
        <f t="shared" si="13"/>
        <v>7</v>
      </c>
      <c r="AE188" s="12">
        <f t="shared" si="14"/>
        <v>5</v>
      </c>
      <c r="AF188" s="16">
        <f t="shared" si="15"/>
        <v>21.5</v>
      </c>
      <c r="AG188" s="16" t="str">
        <f t="shared" si="16"/>
        <v/>
      </c>
      <c r="AH188" s="16">
        <f t="shared" si="17"/>
        <v>21.9</v>
      </c>
    </row>
    <row r="189" spans="1:34" x14ac:dyDescent="0.35">
      <c r="A189" s="2" t="s">
        <v>1593</v>
      </c>
      <c r="B189" s="2" t="s">
        <v>29</v>
      </c>
      <c r="C189" s="2" t="s">
        <v>49</v>
      </c>
      <c r="D189" s="2" t="s">
        <v>214</v>
      </c>
      <c r="E189" s="2" t="s">
        <v>306</v>
      </c>
      <c r="F189" s="2" t="s">
        <v>733</v>
      </c>
      <c r="G189" s="2" t="s">
        <v>1372</v>
      </c>
      <c r="H189" s="2" t="s">
        <v>209</v>
      </c>
      <c r="I189" s="2" t="s">
        <v>37</v>
      </c>
      <c r="J189" s="2" t="s">
        <v>714</v>
      </c>
      <c r="K189" s="2" t="s">
        <v>38</v>
      </c>
      <c r="L189" s="2" t="s">
        <v>38</v>
      </c>
      <c r="M189" s="2" t="s">
        <v>1532</v>
      </c>
      <c r="N189" s="2" t="s">
        <v>38</v>
      </c>
      <c r="O189" s="2" t="s">
        <v>38</v>
      </c>
      <c r="P189" s="2" t="s">
        <v>38</v>
      </c>
      <c r="Q189" s="2" t="s">
        <v>1262</v>
      </c>
      <c r="R189" s="2" t="s">
        <v>1029</v>
      </c>
      <c r="S189" s="2" t="s">
        <v>1461</v>
      </c>
      <c r="T189" s="2" t="s">
        <v>1594</v>
      </c>
      <c r="U189" s="2" t="s">
        <v>796</v>
      </c>
      <c r="V189" s="2" t="s">
        <v>311</v>
      </c>
      <c r="W189" s="2" t="s">
        <v>38</v>
      </c>
      <c r="X189" s="3">
        <v>41096</v>
      </c>
      <c r="Y189" s="2" t="s">
        <v>1595</v>
      </c>
      <c r="Z189" s="5">
        <v>222</v>
      </c>
      <c r="AA189" s="2" t="s">
        <v>1323</v>
      </c>
      <c r="AB189" s="2" t="s">
        <v>1550</v>
      </c>
      <c r="AC189" s="12">
        <f t="shared" si="12"/>
        <v>2012</v>
      </c>
      <c r="AD189" s="12">
        <f t="shared" si="13"/>
        <v>7</v>
      </c>
      <c r="AE189" s="12">
        <f t="shared" si="14"/>
        <v>6</v>
      </c>
      <c r="AF189" s="16">
        <f t="shared" si="15"/>
        <v>23.4</v>
      </c>
      <c r="AG189" s="16" t="str">
        <f t="shared" si="16"/>
        <v/>
      </c>
      <c r="AH189" s="16">
        <f t="shared" si="17"/>
        <v>22.2</v>
      </c>
    </row>
    <row r="190" spans="1:34" x14ac:dyDescent="0.35">
      <c r="A190" s="2" t="s">
        <v>1602</v>
      </c>
      <c r="B190" s="2" t="s">
        <v>29</v>
      </c>
      <c r="C190" s="2" t="s">
        <v>49</v>
      </c>
      <c r="D190" s="2" t="s">
        <v>187</v>
      </c>
      <c r="E190" s="2" t="s">
        <v>50</v>
      </c>
      <c r="F190" s="2" t="s">
        <v>1232</v>
      </c>
      <c r="G190" s="2" t="s">
        <v>34</v>
      </c>
      <c r="H190" s="2" t="s">
        <v>475</v>
      </c>
      <c r="I190" s="2" t="s">
        <v>37</v>
      </c>
      <c r="J190" s="2" t="s">
        <v>306</v>
      </c>
      <c r="K190" s="2" t="s">
        <v>38</v>
      </c>
      <c r="L190" s="2" t="s">
        <v>38</v>
      </c>
      <c r="M190" s="2" t="s">
        <v>1532</v>
      </c>
      <c r="N190" s="2" t="s">
        <v>38</v>
      </c>
      <c r="O190" s="2" t="s">
        <v>38</v>
      </c>
      <c r="P190" s="2" t="s">
        <v>38</v>
      </c>
      <c r="Q190" s="2" t="s">
        <v>1536</v>
      </c>
      <c r="R190" s="2" t="s">
        <v>1367</v>
      </c>
      <c r="S190" s="2" t="s">
        <v>1556</v>
      </c>
      <c r="T190" s="2" t="s">
        <v>1457</v>
      </c>
      <c r="U190" s="2" t="s">
        <v>253</v>
      </c>
      <c r="V190" s="2" t="s">
        <v>1370</v>
      </c>
      <c r="W190" s="2" t="s">
        <v>38</v>
      </c>
      <c r="X190" s="3">
        <v>41097</v>
      </c>
      <c r="Y190" s="2" t="s">
        <v>1603</v>
      </c>
      <c r="Z190" s="5">
        <v>230</v>
      </c>
      <c r="AA190" s="2" t="s">
        <v>1323</v>
      </c>
      <c r="AB190" s="2" t="s">
        <v>1550</v>
      </c>
      <c r="AC190" s="12">
        <f t="shared" si="12"/>
        <v>2012</v>
      </c>
      <c r="AD190" s="12">
        <f t="shared" si="13"/>
        <v>7</v>
      </c>
      <c r="AE190" s="12">
        <f t="shared" si="14"/>
        <v>7</v>
      </c>
      <c r="AF190" s="16">
        <f t="shared" si="15"/>
        <v>21.3</v>
      </c>
      <c r="AG190" s="16" t="str">
        <f t="shared" si="16"/>
        <v/>
      </c>
      <c r="AH190" s="16">
        <f t="shared" si="17"/>
        <v>23</v>
      </c>
    </row>
    <row r="191" spans="1:34" x14ac:dyDescent="0.35">
      <c r="A191" s="2" t="s">
        <v>1608</v>
      </c>
      <c r="B191" s="2" t="s">
        <v>29</v>
      </c>
      <c r="C191" s="2" t="s">
        <v>49</v>
      </c>
      <c r="D191" s="2" t="s">
        <v>171</v>
      </c>
      <c r="E191" s="2" t="s">
        <v>50</v>
      </c>
      <c r="F191" s="2" t="s">
        <v>1122</v>
      </c>
      <c r="G191" s="2" t="s">
        <v>34</v>
      </c>
      <c r="H191" s="2" t="s">
        <v>153</v>
      </c>
      <c r="I191" s="2" t="s">
        <v>37</v>
      </c>
      <c r="J191" s="2" t="s">
        <v>306</v>
      </c>
      <c r="K191" s="2" t="s">
        <v>38</v>
      </c>
      <c r="L191" s="2" t="s">
        <v>38</v>
      </c>
      <c r="M191" s="2" t="s">
        <v>39</v>
      </c>
      <c r="N191" s="2" t="s">
        <v>38</v>
      </c>
      <c r="O191" s="2" t="s">
        <v>38</v>
      </c>
      <c r="P191" s="2" t="s">
        <v>38</v>
      </c>
      <c r="Q191" s="2" t="s">
        <v>978</v>
      </c>
      <c r="R191" s="2" t="s">
        <v>1367</v>
      </c>
      <c r="S191" s="2" t="s">
        <v>915</v>
      </c>
      <c r="T191" s="2" t="s">
        <v>1613</v>
      </c>
      <c r="U191" s="2" t="s">
        <v>175</v>
      </c>
      <c r="V191" s="2" t="s">
        <v>1480</v>
      </c>
      <c r="W191" s="2" t="s">
        <v>38</v>
      </c>
      <c r="X191" s="3">
        <v>41098</v>
      </c>
      <c r="Y191" s="2" t="s">
        <v>1614</v>
      </c>
      <c r="Z191" s="35">
        <v>233</v>
      </c>
      <c r="AA191" s="2" t="s">
        <v>1323</v>
      </c>
      <c r="AB191" s="2" t="s">
        <v>1550</v>
      </c>
      <c r="AC191" s="12">
        <f t="shared" si="12"/>
        <v>2012</v>
      </c>
      <c r="AD191" s="12">
        <f t="shared" si="13"/>
        <v>7</v>
      </c>
      <c r="AE191" s="12">
        <f t="shared" si="14"/>
        <v>8</v>
      </c>
      <c r="AF191" s="16">
        <f t="shared" si="15"/>
        <v>21.1</v>
      </c>
      <c r="AG191" s="16" t="str">
        <f t="shared" si="16"/>
        <v/>
      </c>
      <c r="AH191" s="16">
        <f t="shared" si="17"/>
        <v>23.3</v>
      </c>
    </row>
    <row r="192" spans="1:34" x14ac:dyDescent="0.35">
      <c r="A192" s="2" t="s">
        <v>1615</v>
      </c>
      <c r="B192" s="2" t="s">
        <v>29</v>
      </c>
      <c r="C192" s="2" t="s">
        <v>49</v>
      </c>
      <c r="D192" s="2" t="s">
        <v>187</v>
      </c>
      <c r="E192" s="2" t="s">
        <v>50</v>
      </c>
      <c r="F192" s="2" t="s">
        <v>1043</v>
      </c>
      <c r="G192" s="2" t="s">
        <v>34</v>
      </c>
      <c r="H192" s="2" t="s">
        <v>240</v>
      </c>
      <c r="I192" s="2" t="s">
        <v>37</v>
      </c>
      <c r="J192" s="2" t="s">
        <v>50</v>
      </c>
      <c r="K192" s="2" t="s">
        <v>38</v>
      </c>
      <c r="L192" s="2" t="s">
        <v>38</v>
      </c>
      <c r="M192" s="2" t="s">
        <v>1542</v>
      </c>
      <c r="N192" s="2" t="s">
        <v>38</v>
      </c>
      <c r="O192" s="2" t="s">
        <v>38</v>
      </c>
      <c r="P192" s="2" t="s">
        <v>38</v>
      </c>
      <c r="Q192" s="2" t="s">
        <v>1617</v>
      </c>
      <c r="R192" s="2" t="s">
        <v>1367</v>
      </c>
      <c r="S192" s="2" t="s">
        <v>1058</v>
      </c>
      <c r="T192" s="2" t="s">
        <v>1618</v>
      </c>
      <c r="U192" s="2" t="s">
        <v>346</v>
      </c>
      <c r="V192" s="2" t="s">
        <v>761</v>
      </c>
      <c r="W192" s="2" t="s">
        <v>38</v>
      </c>
      <c r="X192" s="3">
        <v>41099</v>
      </c>
      <c r="Y192" s="2" t="s">
        <v>1619</v>
      </c>
      <c r="Z192" s="35">
        <v>212</v>
      </c>
      <c r="AA192" s="2" t="s">
        <v>1323</v>
      </c>
      <c r="AB192" s="2" t="s">
        <v>1550</v>
      </c>
      <c r="AC192" s="12">
        <f t="shared" si="12"/>
        <v>2012</v>
      </c>
      <c r="AD192" s="12">
        <f t="shared" si="13"/>
        <v>7</v>
      </c>
      <c r="AE192" s="12">
        <f t="shared" si="14"/>
        <v>9</v>
      </c>
      <c r="AF192" s="16">
        <f t="shared" si="15"/>
        <v>21.2</v>
      </c>
      <c r="AG192" s="16" t="str">
        <f t="shared" si="16"/>
        <v/>
      </c>
      <c r="AH192" s="16">
        <f t="shared" si="17"/>
        <v>21.2</v>
      </c>
    </row>
    <row r="193" spans="1:34" x14ac:dyDescent="0.35">
      <c r="A193" s="2" t="s">
        <v>1620</v>
      </c>
      <c r="B193" s="2" t="s">
        <v>29</v>
      </c>
      <c r="C193" s="2" t="s">
        <v>49</v>
      </c>
      <c r="D193" s="2" t="s">
        <v>200</v>
      </c>
      <c r="E193" s="2" t="s">
        <v>50</v>
      </c>
      <c r="F193" s="2" t="s">
        <v>733</v>
      </c>
      <c r="G193" s="2" t="s">
        <v>34</v>
      </c>
      <c r="H193" s="2" t="s">
        <v>209</v>
      </c>
      <c r="I193" s="2" t="s">
        <v>37</v>
      </c>
      <c r="J193" s="2" t="s">
        <v>714</v>
      </c>
      <c r="K193" s="2" t="s">
        <v>38</v>
      </c>
      <c r="L193" s="2" t="s">
        <v>38</v>
      </c>
      <c r="M193" s="2" t="s">
        <v>1532</v>
      </c>
      <c r="N193" s="2" t="s">
        <v>38</v>
      </c>
      <c r="O193" s="2" t="s">
        <v>38</v>
      </c>
      <c r="P193" s="2" t="s">
        <v>38</v>
      </c>
      <c r="Q193" s="2" t="s">
        <v>926</v>
      </c>
      <c r="R193" s="2" t="s">
        <v>1367</v>
      </c>
      <c r="S193" s="2" t="s">
        <v>1499</v>
      </c>
      <c r="T193" s="2" t="s">
        <v>1479</v>
      </c>
      <c r="U193" s="2" t="s">
        <v>205</v>
      </c>
      <c r="V193" s="2" t="s">
        <v>761</v>
      </c>
      <c r="W193" s="2" t="s">
        <v>38</v>
      </c>
      <c r="X193" s="3">
        <v>41100</v>
      </c>
      <c r="Y193" s="2" t="s">
        <v>1621</v>
      </c>
      <c r="Z193" s="5">
        <v>223</v>
      </c>
      <c r="AA193" s="2" t="s">
        <v>1323</v>
      </c>
      <c r="AB193" s="2" t="s">
        <v>1550</v>
      </c>
      <c r="AC193" s="12">
        <f t="shared" si="12"/>
        <v>2012</v>
      </c>
      <c r="AD193" s="12">
        <f t="shared" si="13"/>
        <v>7</v>
      </c>
      <c r="AE193" s="12">
        <f t="shared" si="14"/>
        <v>10</v>
      </c>
      <c r="AF193" s="16">
        <f t="shared" si="15"/>
        <v>21.2</v>
      </c>
      <c r="AG193" s="16" t="str">
        <f t="shared" si="16"/>
        <v/>
      </c>
      <c r="AH193" s="16">
        <f t="shared" si="17"/>
        <v>22.3</v>
      </c>
    </row>
    <row r="194" spans="1:34" x14ac:dyDescent="0.35">
      <c r="A194" s="2" t="s">
        <v>1623</v>
      </c>
      <c r="B194" s="2" t="s">
        <v>29</v>
      </c>
      <c r="C194" s="2" t="s">
        <v>49</v>
      </c>
      <c r="D194" s="2" t="s">
        <v>187</v>
      </c>
      <c r="E194" s="2" t="s">
        <v>579</v>
      </c>
      <c r="F194" s="2" t="s">
        <v>1154</v>
      </c>
      <c r="G194" s="2" t="s">
        <v>34</v>
      </c>
      <c r="H194" s="2" t="s">
        <v>379</v>
      </c>
      <c r="I194" s="2" t="s">
        <v>37</v>
      </c>
      <c r="J194" s="2" t="s">
        <v>306</v>
      </c>
      <c r="K194" s="2" t="s">
        <v>38</v>
      </c>
      <c r="L194" s="2" t="s">
        <v>38</v>
      </c>
      <c r="M194" s="2" t="s">
        <v>1532</v>
      </c>
      <c r="N194" s="2" t="s">
        <v>38</v>
      </c>
      <c r="O194" s="2" t="s">
        <v>38</v>
      </c>
      <c r="P194" s="2" t="s">
        <v>38</v>
      </c>
      <c r="Q194" s="2" t="s">
        <v>1580</v>
      </c>
      <c r="R194" s="2" t="s">
        <v>41</v>
      </c>
      <c r="S194" s="2" t="s">
        <v>1556</v>
      </c>
      <c r="T194" s="2" t="s">
        <v>1457</v>
      </c>
      <c r="U194" s="2" t="s">
        <v>253</v>
      </c>
      <c r="V194" s="2" t="s">
        <v>1358</v>
      </c>
      <c r="W194" s="2" t="s">
        <v>38</v>
      </c>
      <c r="X194" s="3">
        <v>41101</v>
      </c>
      <c r="Y194" s="2" t="s">
        <v>1624</v>
      </c>
      <c r="Z194" s="5">
        <v>231</v>
      </c>
      <c r="AA194" s="2" t="s">
        <v>1323</v>
      </c>
      <c r="AB194" s="2" t="s">
        <v>1550</v>
      </c>
      <c r="AC194" s="12">
        <f t="shared" ref="AC194:AC257" si="18">YEAR(X194)</f>
        <v>2012</v>
      </c>
      <c r="AD194" s="12">
        <f t="shared" ref="AD194:AD257" si="19">MONTH(X194)</f>
        <v>7</v>
      </c>
      <c r="AE194" s="12">
        <f t="shared" ref="AE194:AE257" si="20">DAY(X194)</f>
        <v>11</v>
      </c>
      <c r="AF194" s="16">
        <f t="shared" ref="AF194:AF257" si="21">IF(LEN(V194)&gt;0,V194/10,"")</f>
        <v>20.399999999999999</v>
      </c>
      <c r="AG194" s="16" t="str">
        <f t="shared" ref="AG194:AG257" si="22">IF(LEN(P194)&gt;0,P194/10,"")</f>
        <v/>
      </c>
      <c r="AH194" s="16">
        <f t="shared" ref="AH194:AH257" si="23">IF(LEN(Q194)&gt;0,Q194/10,"")</f>
        <v>23.1</v>
      </c>
    </row>
    <row r="195" spans="1:34" x14ac:dyDescent="0.35">
      <c r="A195" s="2" t="s">
        <v>1627</v>
      </c>
      <c r="B195" s="2" t="s">
        <v>29</v>
      </c>
      <c r="C195" s="2" t="s">
        <v>49</v>
      </c>
      <c r="D195" s="2" t="s">
        <v>214</v>
      </c>
      <c r="E195" s="2" t="s">
        <v>579</v>
      </c>
      <c r="F195" s="2" t="s">
        <v>812</v>
      </c>
      <c r="G195" s="2" t="s">
        <v>34</v>
      </c>
      <c r="H195" s="2" t="s">
        <v>69</v>
      </c>
      <c r="I195" s="2" t="s">
        <v>37</v>
      </c>
      <c r="J195" s="2" t="s">
        <v>306</v>
      </c>
      <c r="K195" s="2" t="s">
        <v>38</v>
      </c>
      <c r="L195" s="2" t="s">
        <v>38</v>
      </c>
      <c r="M195" s="2" t="s">
        <v>1532</v>
      </c>
      <c r="N195" s="2" t="s">
        <v>38</v>
      </c>
      <c r="O195" s="2" t="s">
        <v>38</v>
      </c>
      <c r="P195" s="2" t="s">
        <v>38</v>
      </c>
      <c r="Q195" s="2" t="s">
        <v>1303</v>
      </c>
      <c r="R195" s="2" t="s">
        <v>1367</v>
      </c>
      <c r="S195" s="2" t="s">
        <v>1506</v>
      </c>
      <c r="T195" s="2" t="s">
        <v>1457</v>
      </c>
      <c r="U195" s="2" t="s">
        <v>219</v>
      </c>
      <c r="V195" s="2" t="s">
        <v>1301</v>
      </c>
      <c r="W195" s="2" t="s">
        <v>38</v>
      </c>
      <c r="X195" s="3">
        <v>41102</v>
      </c>
      <c r="Y195" s="2" t="s">
        <v>1629</v>
      </c>
      <c r="Z195" s="35">
        <v>227</v>
      </c>
      <c r="AA195" s="2" t="s">
        <v>1323</v>
      </c>
      <c r="AB195" s="2" t="s">
        <v>1550</v>
      </c>
      <c r="AC195" s="12">
        <f t="shared" si="18"/>
        <v>2012</v>
      </c>
      <c r="AD195" s="12">
        <f t="shared" si="19"/>
        <v>7</v>
      </c>
      <c r="AE195" s="12">
        <f t="shared" si="20"/>
        <v>12</v>
      </c>
      <c r="AF195" s="16">
        <f t="shared" si="21"/>
        <v>20.2</v>
      </c>
      <c r="AG195" s="16" t="str">
        <f t="shared" si="22"/>
        <v/>
      </c>
      <c r="AH195" s="16">
        <f t="shared" si="23"/>
        <v>22.7</v>
      </c>
    </row>
    <row r="196" spans="1:34" x14ac:dyDescent="0.35">
      <c r="A196" s="2" t="s">
        <v>1630</v>
      </c>
      <c r="B196" s="2" t="s">
        <v>29</v>
      </c>
      <c r="C196" s="2" t="s">
        <v>49</v>
      </c>
      <c r="D196" s="2" t="s">
        <v>187</v>
      </c>
      <c r="E196" s="2" t="s">
        <v>50</v>
      </c>
      <c r="F196" s="2" t="s">
        <v>300</v>
      </c>
      <c r="G196" s="2" t="s">
        <v>34</v>
      </c>
      <c r="H196" s="2" t="s">
        <v>69</v>
      </c>
      <c r="I196" s="2" t="s">
        <v>37</v>
      </c>
      <c r="J196" s="2" t="s">
        <v>714</v>
      </c>
      <c r="K196" s="2" t="s">
        <v>38</v>
      </c>
      <c r="L196" s="2" t="s">
        <v>38</v>
      </c>
      <c r="M196" s="2" t="s">
        <v>1542</v>
      </c>
      <c r="N196" s="2" t="s">
        <v>38</v>
      </c>
      <c r="O196" s="2" t="s">
        <v>38</v>
      </c>
      <c r="P196" s="2" t="s">
        <v>38</v>
      </c>
      <c r="Q196" s="2" t="s">
        <v>926</v>
      </c>
      <c r="R196" s="2" t="s">
        <v>1367</v>
      </c>
      <c r="S196" s="2" t="s">
        <v>1556</v>
      </c>
      <c r="T196" s="2" t="s">
        <v>1633</v>
      </c>
      <c r="U196" s="2" t="s">
        <v>1634</v>
      </c>
      <c r="V196" s="2" t="s">
        <v>1611</v>
      </c>
      <c r="W196" s="2" t="s">
        <v>38</v>
      </c>
      <c r="X196" s="3">
        <v>41103</v>
      </c>
      <c r="Y196" s="2" t="s">
        <v>1635</v>
      </c>
      <c r="Z196" s="5">
        <v>223</v>
      </c>
      <c r="AA196" s="2" t="s">
        <v>1323</v>
      </c>
      <c r="AB196" s="2" t="s">
        <v>1550</v>
      </c>
      <c r="AC196" s="12">
        <f t="shared" si="18"/>
        <v>2012</v>
      </c>
      <c r="AD196" s="12">
        <f t="shared" si="19"/>
        <v>7</v>
      </c>
      <c r="AE196" s="12">
        <f t="shared" si="20"/>
        <v>13</v>
      </c>
      <c r="AF196" s="16">
        <f t="shared" si="21"/>
        <v>20.9</v>
      </c>
      <c r="AG196" s="16" t="str">
        <f t="shared" si="22"/>
        <v/>
      </c>
      <c r="AH196" s="16">
        <f t="shared" si="23"/>
        <v>22.3</v>
      </c>
    </row>
    <row r="197" spans="1:34" x14ac:dyDescent="0.35">
      <c r="A197" s="2" t="s">
        <v>1636</v>
      </c>
      <c r="B197" s="2" t="s">
        <v>29</v>
      </c>
      <c r="C197" s="2" t="s">
        <v>49</v>
      </c>
      <c r="D197" s="2" t="s">
        <v>200</v>
      </c>
      <c r="E197" s="2" t="s">
        <v>579</v>
      </c>
      <c r="F197" s="2" t="s">
        <v>849</v>
      </c>
      <c r="G197" s="2" t="s">
        <v>34</v>
      </c>
      <c r="H197" s="2" t="s">
        <v>475</v>
      </c>
      <c r="I197" s="2" t="s">
        <v>37</v>
      </c>
      <c r="J197" s="2" t="s">
        <v>306</v>
      </c>
      <c r="K197" s="2" t="s">
        <v>38</v>
      </c>
      <c r="L197" s="2" t="s">
        <v>38</v>
      </c>
      <c r="M197" s="2" t="s">
        <v>1532</v>
      </c>
      <c r="N197" s="2" t="s">
        <v>38</v>
      </c>
      <c r="O197" s="2" t="s">
        <v>38</v>
      </c>
      <c r="P197" s="2" t="s">
        <v>38</v>
      </c>
      <c r="Q197" s="2" t="s">
        <v>1639</v>
      </c>
      <c r="R197" s="2" t="s">
        <v>1367</v>
      </c>
      <c r="S197" s="2" t="s">
        <v>1200</v>
      </c>
      <c r="T197" s="2" t="s">
        <v>1594</v>
      </c>
      <c r="U197" s="2" t="s">
        <v>205</v>
      </c>
      <c r="V197" s="2" t="s">
        <v>1291</v>
      </c>
      <c r="W197" s="2" t="s">
        <v>38</v>
      </c>
      <c r="X197" s="3">
        <v>41104</v>
      </c>
      <c r="Y197" s="2" t="s">
        <v>1640</v>
      </c>
      <c r="Z197" s="35">
        <v>226</v>
      </c>
      <c r="AA197" s="2" t="s">
        <v>1323</v>
      </c>
      <c r="AB197" s="2" t="s">
        <v>1550</v>
      </c>
      <c r="AC197" s="12">
        <f t="shared" si="18"/>
        <v>2012</v>
      </c>
      <c r="AD197" s="12">
        <f t="shared" si="19"/>
        <v>7</v>
      </c>
      <c r="AE197" s="12">
        <f t="shared" si="20"/>
        <v>14</v>
      </c>
      <c r="AF197" s="16">
        <f t="shared" si="21"/>
        <v>20.3</v>
      </c>
      <c r="AG197" s="16" t="str">
        <f t="shared" si="22"/>
        <v/>
      </c>
      <c r="AH197" s="16">
        <f t="shared" si="23"/>
        <v>22.6</v>
      </c>
    </row>
    <row r="198" spans="1:34" x14ac:dyDescent="0.35">
      <c r="A198" s="2" t="s">
        <v>1641</v>
      </c>
      <c r="B198" s="2" t="s">
        <v>29</v>
      </c>
      <c r="C198" s="2" t="s">
        <v>49</v>
      </c>
      <c r="D198" s="2" t="s">
        <v>200</v>
      </c>
      <c r="E198" s="2" t="s">
        <v>50</v>
      </c>
      <c r="F198" s="2" t="s">
        <v>696</v>
      </c>
      <c r="G198" s="2" t="s">
        <v>1642</v>
      </c>
      <c r="H198" s="2" t="s">
        <v>202</v>
      </c>
      <c r="I198" s="2" t="s">
        <v>37</v>
      </c>
      <c r="J198" s="2" t="s">
        <v>306</v>
      </c>
      <c r="K198" s="2" t="s">
        <v>38</v>
      </c>
      <c r="L198" s="2" t="s">
        <v>38</v>
      </c>
      <c r="M198" s="2" t="s">
        <v>1532</v>
      </c>
      <c r="N198" s="2" t="s">
        <v>38</v>
      </c>
      <c r="O198" s="2" t="s">
        <v>38</v>
      </c>
      <c r="P198" s="2" t="s">
        <v>38</v>
      </c>
      <c r="Q198" s="2" t="s">
        <v>1639</v>
      </c>
      <c r="R198" s="2" t="s">
        <v>1456</v>
      </c>
      <c r="S198" s="2" t="s">
        <v>1058</v>
      </c>
      <c r="T198" s="2" t="s">
        <v>1457</v>
      </c>
      <c r="U198" s="2" t="s">
        <v>869</v>
      </c>
      <c r="V198" s="2" t="s">
        <v>1480</v>
      </c>
      <c r="W198" s="2" t="s">
        <v>38</v>
      </c>
      <c r="X198" s="3">
        <v>41105</v>
      </c>
      <c r="Y198" s="2" t="s">
        <v>1643</v>
      </c>
      <c r="Z198" s="5">
        <v>226</v>
      </c>
      <c r="AA198" s="2" t="s">
        <v>1323</v>
      </c>
      <c r="AB198" s="2" t="s">
        <v>1550</v>
      </c>
      <c r="AC198" s="12">
        <f t="shared" si="18"/>
        <v>2012</v>
      </c>
      <c r="AD198" s="12">
        <f t="shared" si="19"/>
        <v>7</v>
      </c>
      <c r="AE198" s="12">
        <f t="shared" si="20"/>
        <v>15</v>
      </c>
      <c r="AF198" s="16">
        <f t="shared" si="21"/>
        <v>21.1</v>
      </c>
      <c r="AG198" s="16" t="str">
        <f t="shared" si="22"/>
        <v/>
      </c>
      <c r="AH198" s="16">
        <f t="shared" si="23"/>
        <v>22.6</v>
      </c>
    </row>
    <row r="199" spans="1:34" x14ac:dyDescent="0.35">
      <c r="A199" s="2" t="s">
        <v>1647</v>
      </c>
      <c r="B199" s="2" t="s">
        <v>29</v>
      </c>
      <c r="C199" s="2" t="s">
        <v>49</v>
      </c>
      <c r="D199" s="2" t="s">
        <v>200</v>
      </c>
      <c r="E199" s="2" t="s">
        <v>50</v>
      </c>
      <c r="F199" s="2" t="s">
        <v>300</v>
      </c>
      <c r="G199" s="2" t="s">
        <v>34</v>
      </c>
      <c r="H199" s="2" t="s">
        <v>308</v>
      </c>
      <c r="I199" s="2" t="s">
        <v>37</v>
      </c>
      <c r="J199" s="2" t="s">
        <v>306</v>
      </c>
      <c r="K199" s="2" t="s">
        <v>38</v>
      </c>
      <c r="L199" s="2" t="s">
        <v>38</v>
      </c>
      <c r="M199" s="2" t="s">
        <v>1532</v>
      </c>
      <c r="N199" s="2" t="s">
        <v>38</v>
      </c>
      <c r="O199" s="2" t="s">
        <v>38</v>
      </c>
      <c r="P199" s="2" t="s">
        <v>38</v>
      </c>
      <c r="Q199" s="2" t="s">
        <v>1639</v>
      </c>
      <c r="R199" s="2" t="s">
        <v>1367</v>
      </c>
      <c r="S199" s="2" t="s">
        <v>1356</v>
      </c>
      <c r="T199" s="2" t="s">
        <v>1651</v>
      </c>
      <c r="U199" s="2" t="s">
        <v>236</v>
      </c>
      <c r="V199" s="2" t="s">
        <v>701</v>
      </c>
      <c r="W199" s="2" t="s">
        <v>38</v>
      </c>
      <c r="X199" s="3">
        <v>41106</v>
      </c>
      <c r="Y199" s="2" t="s">
        <v>1652</v>
      </c>
      <c r="Z199" s="35">
        <v>226</v>
      </c>
      <c r="AA199" s="2" t="s">
        <v>1323</v>
      </c>
      <c r="AB199" s="2" t="s">
        <v>1550</v>
      </c>
      <c r="AC199" s="12">
        <f t="shared" si="18"/>
        <v>2012</v>
      </c>
      <c r="AD199" s="12">
        <f t="shared" si="19"/>
        <v>7</v>
      </c>
      <c r="AE199" s="12">
        <f t="shared" si="20"/>
        <v>16</v>
      </c>
      <c r="AF199" s="16">
        <f t="shared" si="21"/>
        <v>21</v>
      </c>
      <c r="AG199" s="16" t="str">
        <f t="shared" si="22"/>
        <v/>
      </c>
      <c r="AH199" s="16">
        <f t="shared" si="23"/>
        <v>22.6</v>
      </c>
    </row>
    <row r="200" spans="1:34" x14ac:dyDescent="0.35">
      <c r="A200" s="2" t="s">
        <v>1653</v>
      </c>
      <c r="B200" s="2" t="s">
        <v>29</v>
      </c>
      <c r="C200" s="2" t="s">
        <v>49</v>
      </c>
      <c r="D200" s="2" t="s">
        <v>187</v>
      </c>
      <c r="E200" s="2" t="s">
        <v>50</v>
      </c>
      <c r="F200" s="2" t="s">
        <v>33</v>
      </c>
      <c r="G200" s="2" t="s">
        <v>34</v>
      </c>
      <c r="H200" s="2" t="s">
        <v>127</v>
      </c>
      <c r="I200" s="2" t="s">
        <v>37</v>
      </c>
      <c r="J200" s="2" t="s">
        <v>50</v>
      </c>
      <c r="K200" s="2" t="s">
        <v>38</v>
      </c>
      <c r="L200" s="2" t="s">
        <v>38</v>
      </c>
      <c r="M200" s="2" t="s">
        <v>1542</v>
      </c>
      <c r="N200" s="2" t="s">
        <v>38</v>
      </c>
      <c r="O200" s="2" t="s">
        <v>38</v>
      </c>
      <c r="P200" s="2" t="s">
        <v>38</v>
      </c>
      <c r="Q200" s="2" t="s">
        <v>932</v>
      </c>
      <c r="R200" s="2" t="s">
        <v>1367</v>
      </c>
      <c r="S200" s="2" t="s">
        <v>1556</v>
      </c>
      <c r="T200" s="2" t="s">
        <v>1618</v>
      </c>
      <c r="U200" s="2" t="s">
        <v>253</v>
      </c>
      <c r="V200" s="2" t="s">
        <v>1364</v>
      </c>
      <c r="W200" s="2" t="s">
        <v>38</v>
      </c>
      <c r="X200" s="3">
        <v>41107</v>
      </c>
      <c r="Y200" s="2" t="s">
        <v>1654</v>
      </c>
      <c r="Z200" s="35">
        <v>207</v>
      </c>
      <c r="AA200" s="2" t="s">
        <v>1323</v>
      </c>
      <c r="AB200" s="2" t="s">
        <v>1550</v>
      </c>
      <c r="AC200" s="12">
        <f t="shared" si="18"/>
        <v>2012</v>
      </c>
      <c r="AD200" s="12">
        <f t="shared" si="19"/>
        <v>7</v>
      </c>
      <c r="AE200" s="12">
        <f t="shared" si="20"/>
        <v>17</v>
      </c>
      <c r="AF200" s="16">
        <f t="shared" si="21"/>
        <v>20.7</v>
      </c>
      <c r="AG200" s="16" t="str">
        <f t="shared" si="22"/>
        <v/>
      </c>
      <c r="AH200" s="16">
        <f t="shared" si="23"/>
        <v>20.7</v>
      </c>
    </row>
    <row r="201" spans="1:34" x14ac:dyDescent="0.35">
      <c r="A201" s="2" t="s">
        <v>1656</v>
      </c>
      <c r="B201" s="2" t="s">
        <v>29</v>
      </c>
      <c r="C201" s="2" t="s">
        <v>49</v>
      </c>
      <c r="D201" s="2" t="s">
        <v>306</v>
      </c>
      <c r="E201" s="2" t="s">
        <v>714</v>
      </c>
      <c r="F201" s="2" t="s">
        <v>1389</v>
      </c>
      <c r="G201" s="2" t="s">
        <v>1460</v>
      </c>
      <c r="H201" s="2" t="s">
        <v>35</v>
      </c>
      <c r="I201" s="2" t="s">
        <v>37</v>
      </c>
      <c r="J201" s="2" t="s">
        <v>714</v>
      </c>
      <c r="K201" s="2" t="s">
        <v>38</v>
      </c>
      <c r="L201" s="2" t="s">
        <v>38</v>
      </c>
      <c r="M201" s="2" t="s">
        <v>1657</v>
      </c>
      <c r="N201" s="2" t="s">
        <v>38</v>
      </c>
      <c r="O201" s="2" t="s">
        <v>38</v>
      </c>
      <c r="P201" s="2" t="s">
        <v>38</v>
      </c>
      <c r="Q201" s="2" t="s">
        <v>942</v>
      </c>
      <c r="R201" s="2" t="s">
        <v>1456</v>
      </c>
      <c r="S201" s="2" t="s">
        <v>1658</v>
      </c>
      <c r="T201" s="2" t="s">
        <v>1659</v>
      </c>
      <c r="U201" s="2" t="s">
        <v>311</v>
      </c>
      <c r="V201" s="2" t="s">
        <v>1507</v>
      </c>
      <c r="W201" s="2" t="s">
        <v>38</v>
      </c>
      <c r="X201" s="3">
        <v>41108</v>
      </c>
      <c r="Y201" s="2" t="s">
        <v>1660</v>
      </c>
      <c r="Z201" s="5">
        <v>221</v>
      </c>
      <c r="AA201" s="2" t="s">
        <v>1323</v>
      </c>
      <c r="AB201" s="2" t="s">
        <v>1550</v>
      </c>
      <c r="AC201" s="12">
        <f t="shared" si="18"/>
        <v>2012</v>
      </c>
      <c r="AD201" s="12">
        <f t="shared" si="19"/>
        <v>7</v>
      </c>
      <c r="AE201" s="12">
        <f t="shared" si="20"/>
        <v>18</v>
      </c>
      <c r="AF201" s="16">
        <f t="shared" si="21"/>
        <v>22</v>
      </c>
      <c r="AG201" s="16" t="str">
        <f t="shared" si="22"/>
        <v/>
      </c>
      <c r="AH201" s="16">
        <f t="shared" si="23"/>
        <v>22.1</v>
      </c>
    </row>
    <row r="202" spans="1:34" x14ac:dyDescent="0.35">
      <c r="A202" s="2" t="s">
        <v>1664</v>
      </c>
      <c r="B202" s="2" t="s">
        <v>29</v>
      </c>
      <c r="C202" s="2" t="s">
        <v>49</v>
      </c>
      <c r="D202" s="2" t="s">
        <v>214</v>
      </c>
      <c r="E202" s="2" t="s">
        <v>714</v>
      </c>
      <c r="F202" s="2" t="s">
        <v>729</v>
      </c>
      <c r="G202" s="2" t="s">
        <v>1596</v>
      </c>
      <c r="H202" s="2" t="s">
        <v>386</v>
      </c>
      <c r="I202" s="2" t="s">
        <v>37</v>
      </c>
      <c r="J202" s="2" t="s">
        <v>714</v>
      </c>
      <c r="K202" s="2" t="s">
        <v>38</v>
      </c>
      <c r="L202" s="2" t="s">
        <v>38</v>
      </c>
      <c r="M202" s="2" t="s">
        <v>1532</v>
      </c>
      <c r="N202" s="2" t="s">
        <v>38</v>
      </c>
      <c r="O202" s="2" t="s">
        <v>38</v>
      </c>
      <c r="P202" s="2" t="s">
        <v>38</v>
      </c>
      <c r="Q202" s="2" t="s">
        <v>942</v>
      </c>
      <c r="R202" s="2" t="s">
        <v>1456</v>
      </c>
      <c r="S202" s="2" t="s">
        <v>1670</v>
      </c>
      <c r="T202" s="2" t="s">
        <v>1457</v>
      </c>
      <c r="U202" s="2" t="s">
        <v>1671</v>
      </c>
      <c r="V202" s="2" t="s">
        <v>770</v>
      </c>
      <c r="W202" s="2" t="s">
        <v>38</v>
      </c>
      <c r="X202" s="3">
        <v>41109</v>
      </c>
      <c r="Y202" s="2" t="s">
        <v>1672</v>
      </c>
      <c r="Z202" s="5">
        <v>221</v>
      </c>
      <c r="AA202" s="2" t="s">
        <v>1323</v>
      </c>
      <c r="AB202" s="2" t="s">
        <v>1550</v>
      </c>
      <c r="AC202" s="12">
        <f t="shared" si="18"/>
        <v>2012</v>
      </c>
      <c r="AD202" s="12">
        <f t="shared" si="19"/>
        <v>7</v>
      </c>
      <c r="AE202" s="12">
        <f t="shared" si="20"/>
        <v>19</v>
      </c>
      <c r="AF202" s="16">
        <f t="shared" si="21"/>
        <v>21.6</v>
      </c>
      <c r="AG202" s="16" t="str">
        <f t="shared" si="22"/>
        <v/>
      </c>
      <c r="AH202" s="16">
        <f t="shared" si="23"/>
        <v>22.1</v>
      </c>
    </row>
    <row r="203" spans="1:34" x14ac:dyDescent="0.35">
      <c r="A203" s="2" t="s">
        <v>1673</v>
      </c>
      <c r="B203" s="2" t="s">
        <v>29</v>
      </c>
      <c r="C203" s="2" t="s">
        <v>49</v>
      </c>
      <c r="D203" s="2" t="s">
        <v>214</v>
      </c>
      <c r="E203" s="2" t="s">
        <v>714</v>
      </c>
      <c r="F203" s="2" t="s">
        <v>1439</v>
      </c>
      <c r="G203" s="2" t="s">
        <v>1637</v>
      </c>
      <c r="H203" s="2" t="s">
        <v>1564</v>
      </c>
      <c r="I203" s="2" t="s">
        <v>37</v>
      </c>
      <c r="J203" s="2" t="s">
        <v>306</v>
      </c>
      <c r="K203" s="2" t="s">
        <v>38</v>
      </c>
      <c r="L203" s="2" t="s">
        <v>38</v>
      </c>
      <c r="M203" s="2" t="s">
        <v>1532</v>
      </c>
      <c r="N203" s="2" t="s">
        <v>38</v>
      </c>
      <c r="O203" s="2" t="s">
        <v>38</v>
      </c>
      <c r="P203" s="2" t="s">
        <v>38</v>
      </c>
      <c r="Q203" s="2" t="s">
        <v>1303</v>
      </c>
      <c r="R203" s="2" t="s">
        <v>1029</v>
      </c>
      <c r="S203" s="2" t="s">
        <v>1499</v>
      </c>
      <c r="T203" s="2" t="s">
        <v>1606</v>
      </c>
      <c r="U203" s="2" t="s">
        <v>796</v>
      </c>
      <c r="V203" s="2" t="s">
        <v>1462</v>
      </c>
      <c r="W203" s="2" t="s">
        <v>38</v>
      </c>
      <c r="X203" s="3">
        <v>41110</v>
      </c>
      <c r="Y203" s="2" t="s">
        <v>1678</v>
      </c>
      <c r="Z203" s="35">
        <v>227</v>
      </c>
      <c r="AA203" s="2" t="s">
        <v>1323</v>
      </c>
      <c r="AB203" s="2" t="s">
        <v>1550</v>
      </c>
      <c r="AC203" s="12">
        <f t="shared" si="18"/>
        <v>2012</v>
      </c>
      <c r="AD203" s="12">
        <f t="shared" si="19"/>
        <v>7</v>
      </c>
      <c r="AE203" s="12">
        <f t="shared" si="20"/>
        <v>20</v>
      </c>
      <c r="AF203" s="16">
        <f t="shared" si="21"/>
        <v>22.3</v>
      </c>
      <c r="AG203" s="16" t="str">
        <f t="shared" si="22"/>
        <v/>
      </c>
      <c r="AH203" s="16">
        <f t="shared" si="23"/>
        <v>22.7</v>
      </c>
    </row>
    <row r="204" spans="1:34" x14ac:dyDescent="0.35">
      <c r="A204" s="2" t="s">
        <v>1679</v>
      </c>
      <c r="B204" s="2" t="s">
        <v>29</v>
      </c>
      <c r="C204" s="2" t="s">
        <v>49</v>
      </c>
      <c r="D204" s="2" t="s">
        <v>187</v>
      </c>
      <c r="E204" s="2" t="s">
        <v>714</v>
      </c>
      <c r="F204" s="2" t="s">
        <v>1154</v>
      </c>
      <c r="G204" s="2" t="s">
        <v>34</v>
      </c>
      <c r="H204" s="2" t="s">
        <v>127</v>
      </c>
      <c r="I204" s="2" t="s">
        <v>37</v>
      </c>
      <c r="J204" s="2" t="s">
        <v>306</v>
      </c>
      <c r="K204" s="2" t="s">
        <v>38</v>
      </c>
      <c r="L204" s="2" t="s">
        <v>38</v>
      </c>
      <c r="M204" s="2" t="s">
        <v>1542</v>
      </c>
      <c r="N204" s="2" t="s">
        <v>38</v>
      </c>
      <c r="O204" s="2" t="s">
        <v>38</v>
      </c>
      <c r="P204" s="2" t="s">
        <v>38</v>
      </c>
      <c r="Q204" s="2" t="s">
        <v>1536</v>
      </c>
      <c r="R204" s="2" t="s">
        <v>1367</v>
      </c>
      <c r="S204" s="2" t="s">
        <v>1506</v>
      </c>
      <c r="T204" s="2" t="s">
        <v>1618</v>
      </c>
      <c r="U204" s="2" t="s">
        <v>346</v>
      </c>
      <c r="V204" s="2" t="s">
        <v>716</v>
      </c>
      <c r="W204" s="2" t="s">
        <v>38</v>
      </c>
      <c r="X204" s="3">
        <v>41111</v>
      </c>
      <c r="Y204" s="2" t="s">
        <v>1683</v>
      </c>
      <c r="Z204" s="35">
        <v>230</v>
      </c>
      <c r="AA204" s="2" t="s">
        <v>1323</v>
      </c>
      <c r="AB204" s="2" t="s">
        <v>1550</v>
      </c>
      <c r="AC204" s="12">
        <f t="shared" si="18"/>
        <v>2012</v>
      </c>
      <c r="AD204" s="12">
        <f t="shared" si="19"/>
        <v>7</v>
      </c>
      <c r="AE204" s="12">
        <f t="shared" si="20"/>
        <v>21</v>
      </c>
      <c r="AF204" s="16">
        <f t="shared" si="21"/>
        <v>22.4</v>
      </c>
      <c r="AG204" s="16" t="str">
        <f t="shared" si="22"/>
        <v/>
      </c>
      <c r="AH204" s="16">
        <f t="shared" si="23"/>
        <v>23</v>
      </c>
    </row>
    <row r="205" spans="1:34" x14ac:dyDescent="0.35">
      <c r="A205" s="2" t="s">
        <v>1684</v>
      </c>
      <c r="B205" s="2" t="s">
        <v>29</v>
      </c>
      <c r="C205" s="2" t="s">
        <v>49</v>
      </c>
      <c r="D205" s="2" t="s">
        <v>200</v>
      </c>
      <c r="E205" s="2" t="s">
        <v>50</v>
      </c>
      <c r="F205" s="2" t="s">
        <v>696</v>
      </c>
      <c r="G205" s="2" t="s">
        <v>1460</v>
      </c>
      <c r="H205" s="2" t="s">
        <v>87</v>
      </c>
      <c r="I205" s="2" t="s">
        <v>37</v>
      </c>
      <c r="J205" s="2" t="s">
        <v>306</v>
      </c>
      <c r="K205" s="2" t="s">
        <v>38</v>
      </c>
      <c r="L205" s="2" t="s">
        <v>38</v>
      </c>
      <c r="M205" s="2" t="s">
        <v>1532</v>
      </c>
      <c r="N205" s="2" t="s">
        <v>38</v>
      </c>
      <c r="O205" s="2" t="s">
        <v>38</v>
      </c>
      <c r="P205" s="2" t="s">
        <v>38</v>
      </c>
      <c r="Q205" s="2" t="s">
        <v>1428</v>
      </c>
      <c r="R205" s="2" t="s">
        <v>1456</v>
      </c>
      <c r="S205" s="2" t="s">
        <v>1662</v>
      </c>
      <c r="T205" s="2" t="s">
        <v>1688</v>
      </c>
      <c r="U205" s="2" t="s">
        <v>205</v>
      </c>
      <c r="V205" s="2" t="s">
        <v>1398</v>
      </c>
      <c r="W205" s="2" t="s">
        <v>38</v>
      </c>
      <c r="X205" s="3">
        <v>41112</v>
      </c>
      <c r="Y205" s="2" t="s">
        <v>1689</v>
      </c>
      <c r="Z205" s="5">
        <v>232</v>
      </c>
      <c r="AA205" s="2" t="s">
        <v>1323</v>
      </c>
      <c r="AB205" s="2" t="s">
        <v>1550</v>
      </c>
      <c r="AC205" s="12">
        <f t="shared" si="18"/>
        <v>2012</v>
      </c>
      <c r="AD205" s="12">
        <f t="shared" si="19"/>
        <v>7</v>
      </c>
      <c r="AE205" s="12">
        <f t="shared" si="20"/>
        <v>22</v>
      </c>
      <c r="AF205" s="16">
        <f t="shared" si="21"/>
        <v>21.5</v>
      </c>
      <c r="AG205" s="16" t="str">
        <f t="shared" si="22"/>
        <v/>
      </c>
      <c r="AH205" s="16">
        <f t="shared" si="23"/>
        <v>23.2</v>
      </c>
    </row>
    <row r="206" spans="1:34" x14ac:dyDescent="0.35">
      <c r="A206" s="2" t="s">
        <v>1690</v>
      </c>
      <c r="B206" s="2" t="s">
        <v>29</v>
      </c>
      <c r="C206" s="2" t="s">
        <v>49</v>
      </c>
      <c r="D206" s="2" t="s">
        <v>200</v>
      </c>
      <c r="E206" s="2" t="s">
        <v>50</v>
      </c>
      <c r="F206" s="2" t="s">
        <v>959</v>
      </c>
      <c r="G206" s="2" t="s">
        <v>1516</v>
      </c>
      <c r="H206" s="2" t="s">
        <v>457</v>
      </c>
      <c r="I206" s="2" t="s">
        <v>37</v>
      </c>
      <c r="J206" s="2" t="s">
        <v>306</v>
      </c>
      <c r="K206" s="2" t="s">
        <v>38</v>
      </c>
      <c r="L206" s="2" t="s">
        <v>38</v>
      </c>
      <c r="M206" s="2" t="s">
        <v>1532</v>
      </c>
      <c r="N206" s="2" t="s">
        <v>38</v>
      </c>
      <c r="O206" s="2" t="s">
        <v>38</v>
      </c>
      <c r="P206" s="2" t="s">
        <v>38</v>
      </c>
      <c r="Q206" s="2" t="s">
        <v>1639</v>
      </c>
      <c r="R206" s="2" t="s">
        <v>1029</v>
      </c>
      <c r="S206" s="2" t="s">
        <v>1368</v>
      </c>
      <c r="T206" s="2" t="s">
        <v>1457</v>
      </c>
      <c r="U206" s="2" t="s">
        <v>899</v>
      </c>
      <c r="V206" s="2" t="s">
        <v>1510</v>
      </c>
      <c r="W206" s="2" t="s">
        <v>38</v>
      </c>
      <c r="X206" s="3">
        <v>41113</v>
      </c>
      <c r="Y206" s="2" t="s">
        <v>1694</v>
      </c>
      <c r="Z206" s="35">
        <v>226</v>
      </c>
      <c r="AA206" s="2" t="s">
        <v>1323</v>
      </c>
      <c r="AB206" s="2" t="s">
        <v>1550</v>
      </c>
      <c r="AC206" s="12">
        <f t="shared" si="18"/>
        <v>2012</v>
      </c>
      <c r="AD206" s="12">
        <f t="shared" si="19"/>
        <v>7</v>
      </c>
      <c r="AE206" s="12">
        <f t="shared" si="20"/>
        <v>23</v>
      </c>
      <c r="AF206" s="16">
        <f t="shared" si="21"/>
        <v>21.4</v>
      </c>
      <c r="AG206" s="16" t="str">
        <f t="shared" si="22"/>
        <v/>
      </c>
      <c r="AH206" s="16">
        <f t="shared" si="23"/>
        <v>22.6</v>
      </c>
    </row>
    <row r="207" spans="1:34" x14ac:dyDescent="0.35">
      <c r="A207" s="2" t="s">
        <v>1695</v>
      </c>
      <c r="B207" s="2" t="s">
        <v>29</v>
      </c>
      <c r="C207" s="2" t="s">
        <v>49</v>
      </c>
      <c r="D207" s="2" t="s">
        <v>200</v>
      </c>
      <c r="E207" s="2" t="s">
        <v>714</v>
      </c>
      <c r="F207" s="2" t="s">
        <v>999</v>
      </c>
      <c r="G207" s="2" t="s">
        <v>1460</v>
      </c>
      <c r="H207" s="2" t="s">
        <v>173</v>
      </c>
      <c r="I207" s="2" t="s">
        <v>37</v>
      </c>
      <c r="J207" s="2" t="s">
        <v>306</v>
      </c>
      <c r="K207" s="2" t="s">
        <v>38</v>
      </c>
      <c r="L207" s="2" t="s">
        <v>38</v>
      </c>
      <c r="M207" s="2" t="s">
        <v>1532</v>
      </c>
      <c r="N207" s="2" t="s">
        <v>38</v>
      </c>
      <c r="O207" s="2" t="s">
        <v>38</v>
      </c>
      <c r="P207" s="2" t="s">
        <v>38</v>
      </c>
      <c r="Q207" s="2" t="s">
        <v>1425</v>
      </c>
      <c r="R207" s="2" t="s">
        <v>1029</v>
      </c>
      <c r="S207" s="2" t="s">
        <v>1556</v>
      </c>
      <c r="T207" s="2" t="s">
        <v>1457</v>
      </c>
      <c r="U207" s="2" t="s">
        <v>236</v>
      </c>
      <c r="V207" s="2" t="s">
        <v>1600</v>
      </c>
      <c r="W207" s="2" t="s">
        <v>38</v>
      </c>
      <c r="X207" s="3">
        <v>41114</v>
      </c>
      <c r="Y207" s="2" t="s">
        <v>1698</v>
      </c>
      <c r="Z207" s="5">
        <v>225</v>
      </c>
      <c r="AA207" s="2" t="s">
        <v>1323</v>
      </c>
      <c r="AB207" s="2" t="s">
        <v>1550</v>
      </c>
      <c r="AC207" s="12">
        <f t="shared" si="18"/>
        <v>2012</v>
      </c>
      <c r="AD207" s="12">
        <f t="shared" si="19"/>
        <v>7</v>
      </c>
      <c r="AE207" s="12">
        <f t="shared" si="20"/>
        <v>24</v>
      </c>
      <c r="AF207" s="16">
        <f t="shared" si="21"/>
        <v>21.9</v>
      </c>
      <c r="AG207" s="16" t="str">
        <f t="shared" si="22"/>
        <v/>
      </c>
      <c r="AH207" s="16">
        <f t="shared" si="23"/>
        <v>22.5</v>
      </c>
    </row>
    <row r="208" spans="1:34" x14ac:dyDescent="0.35">
      <c r="A208" s="2" t="s">
        <v>1699</v>
      </c>
      <c r="B208" s="2" t="s">
        <v>29</v>
      </c>
      <c r="C208" s="2" t="s">
        <v>49</v>
      </c>
      <c r="D208" s="2" t="s">
        <v>200</v>
      </c>
      <c r="E208" s="2" t="s">
        <v>50</v>
      </c>
      <c r="F208" s="2" t="s">
        <v>733</v>
      </c>
      <c r="G208" s="2" t="s">
        <v>34</v>
      </c>
      <c r="H208" s="2" t="s">
        <v>127</v>
      </c>
      <c r="I208" s="2" t="s">
        <v>37</v>
      </c>
      <c r="J208" s="2" t="s">
        <v>306</v>
      </c>
      <c r="K208" s="2" t="s">
        <v>38</v>
      </c>
      <c r="L208" s="2" t="s">
        <v>38</v>
      </c>
      <c r="M208" s="2" t="s">
        <v>1605</v>
      </c>
      <c r="N208" s="2" t="s">
        <v>38</v>
      </c>
      <c r="O208" s="2" t="s">
        <v>38</v>
      </c>
      <c r="P208" s="2" t="s">
        <v>38</v>
      </c>
      <c r="Q208" s="2" t="s">
        <v>1580</v>
      </c>
      <c r="R208" s="2" t="s">
        <v>1367</v>
      </c>
      <c r="S208" s="2" t="s">
        <v>1058</v>
      </c>
      <c r="T208" s="2" t="s">
        <v>1606</v>
      </c>
      <c r="U208" s="2" t="s">
        <v>303</v>
      </c>
      <c r="V208" s="2" t="s">
        <v>701</v>
      </c>
      <c r="W208" s="2" t="s">
        <v>38</v>
      </c>
      <c r="X208" s="3">
        <v>41115</v>
      </c>
      <c r="Y208" s="2" t="s">
        <v>1701</v>
      </c>
      <c r="Z208" s="35">
        <v>231</v>
      </c>
      <c r="AA208" s="2" t="s">
        <v>1323</v>
      </c>
      <c r="AB208" s="2" t="s">
        <v>1550</v>
      </c>
      <c r="AC208" s="12">
        <f t="shared" si="18"/>
        <v>2012</v>
      </c>
      <c r="AD208" s="12">
        <f t="shared" si="19"/>
        <v>7</v>
      </c>
      <c r="AE208" s="12">
        <f t="shared" si="20"/>
        <v>25</v>
      </c>
      <c r="AF208" s="16">
        <f t="shared" si="21"/>
        <v>21</v>
      </c>
      <c r="AG208" s="16" t="str">
        <f t="shared" si="22"/>
        <v/>
      </c>
      <c r="AH208" s="16">
        <f t="shared" si="23"/>
        <v>23.1</v>
      </c>
    </row>
    <row r="209" spans="1:34" x14ac:dyDescent="0.35">
      <c r="A209" s="2" t="s">
        <v>1702</v>
      </c>
      <c r="B209" s="2" t="s">
        <v>29</v>
      </c>
      <c r="C209" s="2" t="s">
        <v>49</v>
      </c>
      <c r="D209" s="2" t="s">
        <v>200</v>
      </c>
      <c r="E209" s="2" t="s">
        <v>50</v>
      </c>
      <c r="F209" s="2" t="s">
        <v>1435</v>
      </c>
      <c r="G209" s="2" t="s">
        <v>1703</v>
      </c>
      <c r="H209" s="2" t="s">
        <v>69</v>
      </c>
      <c r="I209" s="2" t="s">
        <v>37</v>
      </c>
      <c r="J209" s="2" t="s">
        <v>306</v>
      </c>
      <c r="K209" s="2" t="s">
        <v>38</v>
      </c>
      <c r="L209" s="2" t="s">
        <v>38</v>
      </c>
      <c r="M209" s="2" t="s">
        <v>1532</v>
      </c>
      <c r="N209" s="2" t="s">
        <v>38</v>
      </c>
      <c r="O209" s="2" t="s">
        <v>38</v>
      </c>
      <c r="P209" s="2" t="s">
        <v>38</v>
      </c>
      <c r="Q209" s="2" t="s">
        <v>1428</v>
      </c>
      <c r="R209" s="2" t="s">
        <v>1456</v>
      </c>
      <c r="S209" s="2" t="s">
        <v>1667</v>
      </c>
      <c r="T209" s="2" t="s">
        <v>1469</v>
      </c>
      <c r="U209" s="2" t="s">
        <v>899</v>
      </c>
      <c r="V209" s="2" t="s">
        <v>1510</v>
      </c>
      <c r="W209" s="2" t="s">
        <v>38</v>
      </c>
      <c r="X209" s="3">
        <v>41116</v>
      </c>
      <c r="Y209" s="2" t="s">
        <v>1704</v>
      </c>
      <c r="Z209" s="5">
        <v>232</v>
      </c>
      <c r="AA209" s="2" t="s">
        <v>1323</v>
      </c>
      <c r="AB209" s="2" t="s">
        <v>1550</v>
      </c>
      <c r="AC209" s="12">
        <f t="shared" si="18"/>
        <v>2012</v>
      </c>
      <c r="AD209" s="12">
        <f t="shared" si="19"/>
        <v>7</v>
      </c>
      <c r="AE209" s="12">
        <f t="shared" si="20"/>
        <v>26</v>
      </c>
      <c r="AF209" s="16">
        <f t="shared" si="21"/>
        <v>21.4</v>
      </c>
      <c r="AG209" s="16" t="str">
        <f t="shared" si="22"/>
        <v/>
      </c>
      <c r="AH209" s="16">
        <f t="shared" si="23"/>
        <v>23.2</v>
      </c>
    </row>
    <row r="210" spans="1:34" x14ac:dyDescent="0.35">
      <c r="A210" s="2" t="s">
        <v>1707</v>
      </c>
      <c r="B210" s="2" t="s">
        <v>29</v>
      </c>
      <c r="C210" s="2" t="s">
        <v>49</v>
      </c>
      <c r="D210" s="2" t="s">
        <v>214</v>
      </c>
      <c r="E210" s="2" t="s">
        <v>50</v>
      </c>
      <c r="F210" s="2" t="s">
        <v>1228</v>
      </c>
      <c r="G210" s="2" t="s">
        <v>1710</v>
      </c>
      <c r="H210" s="2" t="s">
        <v>1564</v>
      </c>
      <c r="I210" s="2" t="s">
        <v>37</v>
      </c>
      <c r="J210" s="2" t="s">
        <v>306</v>
      </c>
      <c r="K210" s="2" t="s">
        <v>38</v>
      </c>
      <c r="L210" s="2" t="s">
        <v>38</v>
      </c>
      <c r="M210" s="2" t="s">
        <v>1532</v>
      </c>
      <c r="N210" s="2" t="s">
        <v>38</v>
      </c>
      <c r="O210" s="2" t="s">
        <v>38</v>
      </c>
      <c r="P210" s="2" t="s">
        <v>38</v>
      </c>
      <c r="Q210" s="2" t="s">
        <v>1580</v>
      </c>
      <c r="R210" s="2" t="s">
        <v>1456</v>
      </c>
      <c r="S210" s="2" t="s">
        <v>1556</v>
      </c>
      <c r="T210" s="2" t="s">
        <v>1457</v>
      </c>
      <c r="U210" s="2" t="s">
        <v>219</v>
      </c>
      <c r="V210" s="2" t="s">
        <v>1398</v>
      </c>
      <c r="W210" s="2" t="s">
        <v>38</v>
      </c>
      <c r="X210" s="3">
        <v>41117</v>
      </c>
      <c r="Y210" s="2" t="s">
        <v>1711</v>
      </c>
      <c r="Z210" s="5">
        <v>231</v>
      </c>
      <c r="AA210" s="2" t="s">
        <v>1323</v>
      </c>
      <c r="AB210" s="2" t="s">
        <v>1550</v>
      </c>
      <c r="AC210" s="12">
        <f t="shared" si="18"/>
        <v>2012</v>
      </c>
      <c r="AD210" s="12">
        <f t="shared" si="19"/>
        <v>7</v>
      </c>
      <c r="AE210" s="12">
        <f t="shared" si="20"/>
        <v>27</v>
      </c>
      <c r="AF210" s="16">
        <f t="shared" si="21"/>
        <v>21.5</v>
      </c>
      <c r="AG210" s="16" t="str">
        <f t="shared" si="22"/>
        <v/>
      </c>
      <c r="AH210" s="16">
        <f t="shared" si="23"/>
        <v>23.1</v>
      </c>
    </row>
    <row r="211" spans="1:34" x14ac:dyDescent="0.35">
      <c r="A211" s="2" t="s">
        <v>1712</v>
      </c>
      <c r="B211" s="2" t="s">
        <v>29</v>
      </c>
      <c r="C211" s="2" t="s">
        <v>49</v>
      </c>
      <c r="D211" s="2" t="s">
        <v>214</v>
      </c>
      <c r="E211" s="2" t="s">
        <v>50</v>
      </c>
      <c r="F211" s="2" t="s">
        <v>1396</v>
      </c>
      <c r="G211" s="2" t="s">
        <v>1713</v>
      </c>
      <c r="H211" s="2" t="s">
        <v>69</v>
      </c>
      <c r="I211" s="2" t="s">
        <v>37</v>
      </c>
      <c r="J211" s="2" t="s">
        <v>714</v>
      </c>
      <c r="K211" s="2" t="s">
        <v>38</v>
      </c>
      <c r="L211" s="2" t="s">
        <v>38</v>
      </c>
      <c r="M211" s="2" t="s">
        <v>1597</v>
      </c>
      <c r="N211" s="2" t="s">
        <v>38</v>
      </c>
      <c r="O211" s="2" t="s">
        <v>38</v>
      </c>
      <c r="P211" s="2" t="s">
        <v>38</v>
      </c>
      <c r="Q211" s="2" t="s">
        <v>1565</v>
      </c>
      <c r="R211" s="2" t="s">
        <v>1029</v>
      </c>
      <c r="S211" s="2" t="s">
        <v>1556</v>
      </c>
      <c r="T211" s="2" t="s">
        <v>1714</v>
      </c>
      <c r="U211" s="2" t="s">
        <v>1671</v>
      </c>
      <c r="V211" s="2" t="s">
        <v>701</v>
      </c>
      <c r="W211" s="2" t="s">
        <v>38</v>
      </c>
      <c r="X211" s="3">
        <v>41118</v>
      </c>
      <c r="Y211" s="2" t="s">
        <v>1715</v>
      </c>
      <c r="Z211" s="35">
        <v>224</v>
      </c>
      <c r="AA211" s="2" t="s">
        <v>1323</v>
      </c>
      <c r="AB211" s="2" t="s">
        <v>1550</v>
      </c>
      <c r="AC211" s="12">
        <f t="shared" si="18"/>
        <v>2012</v>
      </c>
      <c r="AD211" s="12">
        <f t="shared" si="19"/>
        <v>7</v>
      </c>
      <c r="AE211" s="12">
        <f t="shared" si="20"/>
        <v>28</v>
      </c>
      <c r="AF211" s="16">
        <f t="shared" si="21"/>
        <v>21</v>
      </c>
      <c r="AG211" s="16" t="str">
        <f t="shared" si="22"/>
        <v/>
      </c>
      <c r="AH211" s="16">
        <f t="shared" si="23"/>
        <v>22.4</v>
      </c>
    </row>
    <row r="212" spans="1:34" x14ac:dyDescent="0.35">
      <c r="A212" s="2" t="s">
        <v>1717</v>
      </c>
      <c r="B212" s="2" t="s">
        <v>29</v>
      </c>
      <c r="C212" s="2" t="s">
        <v>49</v>
      </c>
      <c r="D212" s="2" t="s">
        <v>200</v>
      </c>
      <c r="E212" s="2" t="s">
        <v>50</v>
      </c>
      <c r="F212" s="2" t="s">
        <v>812</v>
      </c>
      <c r="G212" s="2" t="s">
        <v>1713</v>
      </c>
      <c r="H212" s="2" t="s">
        <v>69</v>
      </c>
      <c r="I212" s="2" t="s">
        <v>37</v>
      </c>
      <c r="J212" s="2" t="s">
        <v>306</v>
      </c>
      <c r="K212" s="2" t="s">
        <v>38</v>
      </c>
      <c r="L212" s="2" t="s">
        <v>38</v>
      </c>
      <c r="M212" s="2" t="s">
        <v>1605</v>
      </c>
      <c r="N212" s="2" t="s">
        <v>38</v>
      </c>
      <c r="O212" s="2" t="s">
        <v>38</v>
      </c>
      <c r="P212" s="2" t="s">
        <v>38</v>
      </c>
      <c r="Q212" s="2" t="s">
        <v>1303</v>
      </c>
      <c r="R212" s="2" t="s">
        <v>1029</v>
      </c>
      <c r="S212" s="2" t="s">
        <v>985</v>
      </c>
      <c r="T212" s="2" t="s">
        <v>1649</v>
      </c>
      <c r="U212" s="2" t="s">
        <v>205</v>
      </c>
      <c r="V212" s="2" t="s">
        <v>1364</v>
      </c>
      <c r="W212" s="2" t="s">
        <v>38</v>
      </c>
      <c r="X212" s="3">
        <v>41119</v>
      </c>
      <c r="Y212" s="2" t="s">
        <v>1720</v>
      </c>
      <c r="Z212" s="35">
        <v>227</v>
      </c>
      <c r="AA212" s="2" t="s">
        <v>1323</v>
      </c>
      <c r="AB212" s="2" t="s">
        <v>1550</v>
      </c>
      <c r="AC212" s="12">
        <f t="shared" si="18"/>
        <v>2012</v>
      </c>
      <c r="AD212" s="12">
        <f t="shared" si="19"/>
        <v>7</v>
      </c>
      <c r="AE212" s="12">
        <f t="shared" si="20"/>
        <v>29</v>
      </c>
      <c r="AF212" s="16">
        <f t="shared" si="21"/>
        <v>20.7</v>
      </c>
      <c r="AG212" s="16" t="str">
        <f t="shared" si="22"/>
        <v/>
      </c>
      <c r="AH212" s="16">
        <f t="shared" si="23"/>
        <v>22.7</v>
      </c>
    </row>
    <row r="213" spans="1:34" x14ac:dyDescent="0.35">
      <c r="A213" s="2" t="s">
        <v>1721</v>
      </c>
      <c r="B213" s="2" t="s">
        <v>29</v>
      </c>
      <c r="C213" s="2" t="s">
        <v>49</v>
      </c>
      <c r="D213" s="2" t="s">
        <v>306</v>
      </c>
      <c r="E213" s="2" t="s">
        <v>714</v>
      </c>
      <c r="F213" s="2" t="s">
        <v>861</v>
      </c>
      <c r="G213" s="2" t="s">
        <v>1724</v>
      </c>
      <c r="H213" s="2" t="s">
        <v>233</v>
      </c>
      <c r="I213" s="2" t="s">
        <v>37</v>
      </c>
      <c r="J213" s="2" t="s">
        <v>306</v>
      </c>
      <c r="K213" s="2" t="s">
        <v>38</v>
      </c>
      <c r="L213" s="2" t="s">
        <v>38</v>
      </c>
      <c r="M213" s="2" t="s">
        <v>1605</v>
      </c>
      <c r="N213" s="2" t="s">
        <v>38</v>
      </c>
      <c r="O213" s="2" t="s">
        <v>38</v>
      </c>
      <c r="P213" s="2" t="s">
        <v>38</v>
      </c>
      <c r="Q213" s="2" t="s">
        <v>1639</v>
      </c>
      <c r="R213" s="2" t="s">
        <v>1456</v>
      </c>
      <c r="S213" s="2" t="s">
        <v>1058</v>
      </c>
      <c r="T213" s="2" t="s">
        <v>1606</v>
      </c>
      <c r="U213" s="2" t="s">
        <v>782</v>
      </c>
      <c r="V213" s="2" t="s">
        <v>1524</v>
      </c>
      <c r="W213" s="2" t="s">
        <v>38</v>
      </c>
      <c r="X213" s="3">
        <v>41120</v>
      </c>
      <c r="Y213" s="2" t="s">
        <v>1725</v>
      </c>
      <c r="Z213" s="5">
        <v>226</v>
      </c>
      <c r="AA213" s="2" t="s">
        <v>1323</v>
      </c>
      <c r="AB213" s="2" t="s">
        <v>1550</v>
      </c>
      <c r="AC213" s="12">
        <f t="shared" si="18"/>
        <v>2012</v>
      </c>
      <c r="AD213" s="12">
        <f t="shared" si="19"/>
        <v>7</v>
      </c>
      <c r="AE213" s="12">
        <f t="shared" si="20"/>
        <v>30</v>
      </c>
      <c r="AF213" s="16">
        <f t="shared" si="21"/>
        <v>21.7</v>
      </c>
      <c r="AG213" s="16" t="str">
        <f t="shared" si="22"/>
        <v/>
      </c>
      <c r="AH213" s="16">
        <f t="shared" si="23"/>
        <v>22.6</v>
      </c>
    </row>
    <row r="214" spans="1:34" x14ac:dyDescent="0.35">
      <c r="A214" s="2" t="s">
        <v>1726</v>
      </c>
      <c r="B214" s="2" t="s">
        <v>29</v>
      </c>
      <c r="C214" s="2" t="s">
        <v>49</v>
      </c>
      <c r="D214" s="2" t="s">
        <v>214</v>
      </c>
      <c r="E214" s="2" t="s">
        <v>50</v>
      </c>
      <c r="F214" s="2" t="s">
        <v>1535</v>
      </c>
      <c r="G214" s="2" t="s">
        <v>1727</v>
      </c>
      <c r="H214" s="2" t="s">
        <v>276</v>
      </c>
      <c r="I214" s="2" t="s">
        <v>37</v>
      </c>
      <c r="J214" s="2" t="s">
        <v>714</v>
      </c>
      <c r="K214" s="2" t="s">
        <v>38</v>
      </c>
      <c r="L214" s="2" t="s">
        <v>38</v>
      </c>
      <c r="M214" s="2" t="s">
        <v>1597</v>
      </c>
      <c r="N214" s="2" t="s">
        <v>38</v>
      </c>
      <c r="O214" s="2" t="s">
        <v>38</v>
      </c>
      <c r="P214" s="2" t="s">
        <v>38</v>
      </c>
      <c r="Q214" s="2" t="s">
        <v>1169</v>
      </c>
      <c r="R214" s="2" t="s">
        <v>1456</v>
      </c>
      <c r="S214" s="2" t="s">
        <v>1662</v>
      </c>
      <c r="T214" s="2" t="s">
        <v>1728</v>
      </c>
      <c r="U214" s="2" t="s">
        <v>1729</v>
      </c>
      <c r="V214" s="2" t="s">
        <v>761</v>
      </c>
      <c r="W214" s="2" t="s">
        <v>38</v>
      </c>
      <c r="X214" s="3">
        <v>41121</v>
      </c>
      <c r="Y214" s="2" t="s">
        <v>1730</v>
      </c>
      <c r="Z214" s="5">
        <v>217</v>
      </c>
      <c r="AA214" s="2" t="s">
        <v>1323</v>
      </c>
      <c r="AB214" s="2" t="s">
        <v>1550</v>
      </c>
      <c r="AC214" s="12">
        <f t="shared" si="18"/>
        <v>2012</v>
      </c>
      <c r="AD214" s="12">
        <f t="shared" si="19"/>
        <v>7</v>
      </c>
      <c r="AE214" s="12">
        <f t="shared" si="20"/>
        <v>31</v>
      </c>
      <c r="AF214" s="16">
        <f t="shared" si="21"/>
        <v>21.2</v>
      </c>
      <c r="AG214" s="16" t="str">
        <f t="shared" si="22"/>
        <v/>
      </c>
      <c r="AH214" s="16">
        <f t="shared" si="23"/>
        <v>21.7</v>
      </c>
    </row>
    <row r="215" spans="1:34" x14ac:dyDescent="0.35">
      <c r="A215" s="2" t="s">
        <v>1734</v>
      </c>
      <c r="B215" s="2" t="s">
        <v>29</v>
      </c>
      <c r="C215" s="2" t="s">
        <v>49</v>
      </c>
      <c r="D215" s="2" t="s">
        <v>306</v>
      </c>
      <c r="E215" s="2" t="s">
        <v>50</v>
      </c>
      <c r="F215" s="2" t="s">
        <v>1114</v>
      </c>
      <c r="G215" s="2" t="s">
        <v>1642</v>
      </c>
      <c r="H215" s="2" t="s">
        <v>144</v>
      </c>
      <c r="I215" s="2" t="s">
        <v>37</v>
      </c>
      <c r="J215" s="2" t="s">
        <v>596</v>
      </c>
      <c r="K215" s="2" t="s">
        <v>38</v>
      </c>
      <c r="L215" s="2" t="s">
        <v>38</v>
      </c>
      <c r="M215" s="2" t="s">
        <v>1597</v>
      </c>
      <c r="N215" s="2" t="s">
        <v>38</v>
      </c>
      <c r="O215" s="2" t="s">
        <v>38</v>
      </c>
      <c r="P215" s="2" t="s">
        <v>38</v>
      </c>
      <c r="Q215" s="2" t="s">
        <v>1735</v>
      </c>
      <c r="R215" s="2" t="s">
        <v>1456</v>
      </c>
      <c r="S215" s="2" t="s">
        <v>1368</v>
      </c>
      <c r="T215" s="2" t="s">
        <v>1457</v>
      </c>
      <c r="U215" s="2" t="s">
        <v>1517</v>
      </c>
      <c r="V215" s="2" t="s">
        <v>1398</v>
      </c>
      <c r="W215" s="2" t="s">
        <v>38</v>
      </c>
      <c r="X215" s="3">
        <v>41122</v>
      </c>
      <c r="Y215" s="2" t="s">
        <v>1736</v>
      </c>
      <c r="Z215" s="35">
        <v>192</v>
      </c>
      <c r="AA215" s="2" t="s">
        <v>672</v>
      </c>
      <c r="AB215" s="2" t="s">
        <v>1733</v>
      </c>
      <c r="AC215" s="12">
        <f t="shared" si="18"/>
        <v>2012</v>
      </c>
      <c r="AD215" s="12">
        <f t="shared" si="19"/>
        <v>8</v>
      </c>
      <c r="AE215" s="12">
        <f t="shared" si="20"/>
        <v>1</v>
      </c>
      <c r="AF215" s="16">
        <f t="shared" si="21"/>
        <v>21.5</v>
      </c>
      <c r="AG215" s="16" t="str">
        <f t="shared" si="22"/>
        <v/>
      </c>
      <c r="AH215" s="16">
        <f t="shared" si="23"/>
        <v>19.2</v>
      </c>
    </row>
    <row r="216" spans="1:34" x14ac:dyDescent="0.35">
      <c r="A216" s="2" t="s">
        <v>1740</v>
      </c>
      <c r="B216" s="2" t="s">
        <v>29</v>
      </c>
      <c r="C216" s="2" t="s">
        <v>49</v>
      </c>
      <c r="D216" s="2" t="s">
        <v>214</v>
      </c>
      <c r="E216" s="2" t="s">
        <v>714</v>
      </c>
      <c r="F216" s="2" t="s">
        <v>33</v>
      </c>
      <c r="G216" s="2" t="s">
        <v>1703</v>
      </c>
      <c r="H216" s="2" t="s">
        <v>379</v>
      </c>
      <c r="I216" s="2" t="s">
        <v>37</v>
      </c>
      <c r="J216" s="2" t="s">
        <v>714</v>
      </c>
      <c r="K216" s="2" t="s">
        <v>38</v>
      </c>
      <c r="L216" s="2" t="s">
        <v>38</v>
      </c>
      <c r="M216" s="2" t="s">
        <v>1597</v>
      </c>
      <c r="N216" s="2" t="s">
        <v>38</v>
      </c>
      <c r="O216" s="2" t="s">
        <v>38</v>
      </c>
      <c r="P216" s="2" t="s">
        <v>38</v>
      </c>
      <c r="Q216" s="2" t="s">
        <v>1164</v>
      </c>
      <c r="R216" s="2" t="s">
        <v>1456</v>
      </c>
      <c r="S216" s="2" t="s">
        <v>1741</v>
      </c>
      <c r="T216" s="2" t="s">
        <v>1742</v>
      </c>
      <c r="U216" s="2" t="s">
        <v>1729</v>
      </c>
      <c r="V216" s="2" t="s">
        <v>1743</v>
      </c>
      <c r="W216" s="2" t="s">
        <v>38</v>
      </c>
      <c r="X216" s="3">
        <v>41123</v>
      </c>
      <c r="Y216" s="2" t="s">
        <v>1744</v>
      </c>
      <c r="Z216" s="5">
        <v>220</v>
      </c>
      <c r="AA216" s="2" t="s">
        <v>672</v>
      </c>
      <c r="AB216" s="2" t="s">
        <v>1733</v>
      </c>
      <c r="AC216" s="12">
        <f t="shared" si="18"/>
        <v>2012</v>
      </c>
      <c r="AD216" s="12">
        <f t="shared" si="19"/>
        <v>8</v>
      </c>
      <c r="AE216" s="12">
        <f t="shared" si="20"/>
        <v>2</v>
      </c>
      <c r="AF216" s="16">
        <f t="shared" si="21"/>
        <v>21.8</v>
      </c>
      <c r="AG216" s="16" t="str">
        <f t="shared" si="22"/>
        <v/>
      </c>
      <c r="AH216" s="16">
        <f t="shared" si="23"/>
        <v>22</v>
      </c>
    </row>
    <row r="217" spans="1:34" x14ac:dyDescent="0.35">
      <c r="A217" s="2" t="s">
        <v>1748</v>
      </c>
      <c r="B217" s="2" t="s">
        <v>29</v>
      </c>
      <c r="C217" s="2" t="s">
        <v>49</v>
      </c>
      <c r="D217" s="2" t="s">
        <v>214</v>
      </c>
      <c r="E217" s="2" t="s">
        <v>50</v>
      </c>
      <c r="F217" s="2" t="s">
        <v>826</v>
      </c>
      <c r="G217" s="2" t="s">
        <v>1460</v>
      </c>
      <c r="H217" s="2" t="s">
        <v>1749</v>
      </c>
      <c r="I217" s="2" t="s">
        <v>37</v>
      </c>
      <c r="J217" s="2" t="s">
        <v>306</v>
      </c>
      <c r="K217" s="2" t="s">
        <v>38</v>
      </c>
      <c r="L217" s="2" t="s">
        <v>38</v>
      </c>
      <c r="M217" s="2" t="s">
        <v>1605</v>
      </c>
      <c r="N217" s="2" t="s">
        <v>38</v>
      </c>
      <c r="O217" s="2" t="s">
        <v>38</v>
      </c>
      <c r="P217" s="2" t="s">
        <v>38</v>
      </c>
      <c r="Q217" s="2" t="s">
        <v>1425</v>
      </c>
      <c r="R217" s="2" t="s">
        <v>1029</v>
      </c>
      <c r="S217" s="2" t="s">
        <v>1501</v>
      </c>
      <c r="T217" s="2" t="s">
        <v>1533</v>
      </c>
      <c r="U217" s="2" t="s">
        <v>219</v>
      </c>
      <c r="V217" s="2" t="s">
        <v>761</v>
      </c>
      <c r="W217" s="2" t="s">
        <v>38</v>
      </c>
      <c r="X217" s="3">
        <v>41124</v>
      </c>
      <c r="Y217" s="2" t="s">
        <v>1750</v>
      </c>
      <c r="Z217" s="35">
        <v>225</v>
      </c>
      <c r="AA217" s="2" t="s">
        <v>672</v>
      </c>
      <c r="AB217" s="2" t="s">
        <v>1733</v>
      </c>
      <c r="AC217" s="12">
        <f t="shared" si="18"/>
        <v>2012</v>
      </c>
      <c r="AD217" s="12">
        <f t="shared" si="19"/>
        <v>8</v>
      </c>
      <c r="AE217" s="12">
        <f t="shared" si="20"/>
        <v>3</v>
      </c>
      <c r="AF217" s="16">
        <f t="shared" si="21"/>
        <v>21.2</v>
      </c>
      <c r="AG217" s="16" t="str">
        <f t="shared" si="22"/>
        <v/>
      </c>
      <c r="AH217" s="16">
        <f t="shared" si="23"/>
        <v>22.5</v>
      </c>
    </row>
    <row r="218" spans="1:34" x14ac:dyDescent="0.35">
      <c r="A218" s="2" t="s">
        <v>1752</v>
      </c>
      <c r="B218" s="2" t="s">
        <v>29</v>
      </c>
      <c r="C218" s="2" t="s">
        <v>49</v>
      </c>
      <c r="D218" s="2" t="s">
        <v>214</v>
      </c>
      <c r="E218" s="2" t="s">
        <v>50</v>
      </c>
      <c r="F218" s="2" t="s">
        <v>1228</v>
      </c>
      <c r="G218" s="2" t="s">
        <v>1372</v>
      </c>
      <c r="H218" s="2" t="s">
        <v>270</v>
      </c>
      <c r="I218" s="2" t="s">
        <v>37</v>
      </c>
      <c r="J218" s="2" t="s">
        <v>714</v>
      </c>
      <c r="K218" s="2" t="s">
        <v>38</v>
      </c>
      <c r="L218" s="2" t="s">
        <v>38</v>
      </c>
      <c r="M218" s="2" t="s">
        <v>1605</v>
      </c>
      <c r="N218" s="2" t="s">
        <v>38</v>
      </c>
      <c r="O218" s="2" t="s">
        <v>38</v>
      </c>
      <c r="P218" s="2" t="s">
        <v>38</v>
      </c>
      <c r="Q218" s="2" t="s">
        <v>1262</v>
      </c>
      <c r="R218" s="2" t="s">
        <v>1456</v>
      </c>
      <c r="S218" s="2" t="s">
        <v>1561</v>
      </c>
      <c r="T218" s="2" t="s">
        <v>1755</v>
      </c>
      <c r="U218" s="2" t="s">
        <v>219</v>
      </c>
      <c r="V218" s="2" t="s">
        <v>1611</v>
      </c>
      <c r="W218" s="2" t="s">
        <v>38</v>
      </c>
      <c r="X218" s="3">
        <v>41125</v>
      </c>
      <c r="Y218" s="2" t="s">
        <v>1756</v>
      </c>
      <c r="Z218" s="35">
        <v>222</v>
      </c>
      <c r="AA218" s="2" t="s">
        <v>672</v>
      </c>
      <c r="AB218" s="2" t="s">
        <v>1733</v>
      </c>
      <c r="AC218" s="12">
        <f t="shared" si="18"/>
        <v>2012</v>
      </c>
      <c r="AD218" s="12">
        <f t="shared" si="19"/>
        <v>8</v>
      </c>
      <c r="AE218" s="12">
        <f t="shared" si="20"/>
        <v>4</v>
      </c>
      <c r="AF218" s="16">
        <f t="shared" si="21"/>
        <v>20.9</v>
      </c>
      <c r="AG218" s="16" t="str">
        <f t="shared" si="22"/>
        <v/>
      </c>
      <c r="AH218" s="16">
        <f t="shared" si="23"/>
        <v>22.2</v>
      </c>
    </row>
    <row r="219" spans="1:34" x14ac:dyDescent="0.35">
      <c r="A219" s="2" t="s">
        <v>1757</v>
      </c>
      <c r="B219" s="2" t="s">
        <v>29</v>
      </c>
      <c r="C219" s="2" t="s">
        <v>49</v>
      </c>
      <c r="D219" s="2" t="s">
        <v>214</v>
      </c>
      <c r="E219" s="2" t="s">
        <v>50</v>
      </c>
      <c r="F219" s="2" t="s">
        <v>1355</v>
      </c>
      <c r="G219" s="2" t="s">
        <v>1642</v>
      </c>
      <c r="H219" s="2" t="s">
        <v>217</v>
      </c>
      <c r="I219" s="2" t="s">
        <v>37</v>
      </c>
      <c r="J219" s="2" t="s">
        <v>714</v>
      </c>
      <c r="K219" s="2" t="s">
        <v>38</v>
      </c>
      <c r="L219" s="2" t="s">
        <v>38</v>
      </c>
      <c r="M219" s="2" t="s">
        <v>1605</v>
      </c>
      <c r="N219" s="2" t="s">
        <v>38</v>
      </c>
      <c r="O219" s="2" t="s">
        <v>38</v>
      </c>
      <c r="P219" s="2" t="s">
        <v>38</v>
      </c>
      <c r="Q219" s="2" t="s">
        <v>1262</v>
      </c>
      <c r="R219" s="2" t="s">
        <v>1456</v>
      </c>
      <c r="S219" s="2" t="s">
        <v>1058</v>
      </c>
      <c r="T219" s="2" t="s">
        <v>1457</v>
      </c>
      <c r="U219" s="2" t="s">
        <v>1759</v>
      </c>
      <c r="V219" s="2" t="s">
        <v>1398</v>
      </c>
      <c r="W219" s="2" t="s">
        <v>38</v>
      </c>
      <c r="X219" s="3">
        <v>41126</v>
      </c>
      <c r="Y219" s="2" t="s">
        <v>1760</v>
      </c>
      <c r="Z219" s="5">
        <v>222</v>
      </c>
      <c r="AA219" s="2" t="s">
        <v>672</v>
      </c>
      <c r="AB219" s="2" t="s">
        <v>1733</v>
      </c>
      <c r="AC219" s="12">
        <f t="shared" si="18"/>
        <v>2012</v>
      </c>
      <c r="AD219" s="12">
        <f t="shared" si="19"/>
        <v>8</v>
      </c>
      <c r="AE219" s="12">
        <f t="shared" si="20"/>
        <v>5</v>
      </c>
      <c r="AF219" s="16">
        <f t="shared" si="21"/>
        <v>21.5</v>
      </c>
      <c r="AG219" s="16" t="str">
        <f t="shared" si="22"/>
        <v/>
      </c>
      <c r="AH219" s="16">
        <f t="shared" si="23"/>
        <v>22.2</v>
      </c>
    </row>
    <row r="220" spans="1:34" x14ac:dyDescent="0.35">
      <c r="A220" s="2" t="s">
        <v>1761</v>
      </c>
      <c r="B220" s="2" t="s">
        <v>29</v>
      </c>
      <c r="C220" s="2" t="s">
        <v>49</v>
      </c>
      <c r="D220" s="2" t="s">
        <v>214</v>
      </c>
      <c r="E220" s="2" t="s">
        <v>714</v>
      </c>
      <c r="F220" s="2" t="s">
        <v>818</v>
      </c>
      <c r="G220" s="2" t="s">
        <v>34</v>
      </c>
      <c r="H220" s="2" t="s">
        <v>428</v>
      </c>
      <c r="I220" s="2" t="s">
        <v>37</v>
      </c>
      <c r="J220" s="2" t="s">
        <v>714</v>
      </c>
      <c r="K220" s="2" t="s">
        <v>38</v>
      </c>
      <c r="L220" s="2" t="s">
        <v>38</v>
      </c>
      <c r="M220" s="2" t="s">
        <v>1605</v>
      </c>
      <c r="N220" s="2" t="s">
        <v>38</v>
      </c>
      <c r="O220" s="2" t="s">
        <v>38</v>
      </c>
      <c r="P220" s="2" t="s">
        <v>38</v>
      </c>
      <c r="Q220" s="2" t="s">
        <v>1262</v>
      </c>
      <c r="R220" s="2" t="s">
        <v>1367</v>
      </c>
      <c r="S220" s="2" t="s">
        <v>1556</v>
      </c>
      <c r="T220" s="2" t="s">
        <v>1649</v>
      </c>
      <c r="U220" s="2" t="s">
        <v>1762</v>
      </c>
      <c r="V220" s="2" t="s">
        <v>1524</v>
      </c>
      <c r="W220" s="2" t="s">
        <v>38</v>
      </c>
      <c r="X220" s="3">
        <v>41127</v>
      </c>
      <c r="Y220" s="2" t="s">
        <v>1763</v>
      </c>
      <c r="Z220" s="5">
        <v>222</v>
      </c>
      <c r="AA220" s="2" t="s">
        <v>672</v>
      </c>
      <c r="AB220" s="2" t="s">
        <v>1733</v>
      </c>
      <c r="AC220" s="12">
        <f t="shared" si="18"/>
        <v>2012</v>
      </c>
      <c r="AD220" s="12">
        <f t="shared" si="19"/>
        <v>8</v>
      </c>
      <c r="AE220" s="12">
        <f t="shared" si="20"/>
        <v>6</v>
      </c>
      <c r="AF220" s="16">
        <f t="shared" si="21"/>
        <v>21.7</v>
      </c>
      <c r="AG220" s="16" t="str">
        <f t="shared" si="22"/>
        <v/>
      </c>
      <c r="AH220" s="16">
        <f t="shared" si="23"/>
        <v>22.2</v>
      </c>
    </row>
    <row r="221" spans="1:34" x14ac:dyDescent="0.35">
      <c r="A221" s="2" t="s">
        <v>1767</v>
      </c>
      <c r="B221" s="2" t="s">
        <v>29</v>
      </c>
      <c r="C221" s="2" t="s">
        <v>49</v>
      </c>
      <c r="D221" s="2" t="s">
        <v>214</v>
      </c>
      <c r="E221" s="2" t="s">
        <v>306</v>
      </c>
      <c r="F221" s="2" t="s">
        <v>696</v>
      </c>
      <c r="G221" s="2" t="s">
        <v>1764</v>
      </c>
      <c r="H221" s="2" t="s">
        <v>137</v>
      </c>
      <c r="I221" s="2" t="s">
        <v>37</v>
      </c>
      <c r="J221" s="2" t="s">
        <v>714</v>
      </c>
      <c r="K221" s="2" t="s">
        <v>38</v>
      </c>
      <c r="L221" s="2" t="s">
        <v>38</v>
      </c>
      <c r="M221" s="2" t="s">
        <v>1532</v>
      </c>
      <c r="N221" s="2" t="s">
        <v>38</v>
      </c>
      <c r="O221" s="2" t="s">
        <v>38</v>
      </c>
      <c r="P221" s="2" t="s">
        <v>38</v>
      </c>
      <c r="Q221" s="2" t="s">
        <v>942</v>
      </c>
      <c r="R221" s="2" t="s">
        <v>1029</v>
      </c>
      <c r="S221" s="2" t="s">
        <v>1523</v>
      </c>
      <c r="T221" s="2" t="s">
        <v>1594</v>
      </c>
      <c r="U221" s="2" t="s">
        <v>796</v>
      </c>
      <c r="V221" s="2" t="s">
        <v>1458</v>
      </c>
      <c r="W221" s="2" t="s">
        <v>38</v>
      </c>
      <c r="X221" s="3">
        <v>41128</v>
      </c>
      <c r="Y221" s="2" t="s">
        <v>1768</v>
      </c>
      <c r="Z221" s="35">
        <v>221</v>
      </c>
      <c r="AA221" s="2" t="s">
        <v>672</v>
      </c>
      <c r="AB221" s="2" t="s">
        <v>1733</v>
      </c>
      <c r="AC221" s="12">
        <f t="shared" si="18"/>
        <v>2012</v>
      </c>
      <c r="AD221" s="12">
        <f t="shared" si="19"/>
        <v>8</v>
      </c>
      <c r="AE221" s="12">
        <f t="shared" si="20"/>
        <v>7</v>
      </c>
      <c r="AF221" s="16">
        <f t="shared" si="21"/>
        <v>22.6</v>
      </c>
      <c r="AG221" s="16" t="str">
        <f t="shared" si="22"/>
        <v/>
      </c>
      <c r="AH221" s="16">
        <f t="shared" si="23"/>
        <v>22.1</v>
      </c>
    </row>
    <row r="222" spans="1:34" x14ac:dyDescent="0.35">
      <c r="A222" s="2" t="s">
        <v>1771</v>
      </c>
      <c r="B222" s="2" t="s">
        <v>29</v>
      </c>
      <c r="C222" s="2" t="s">
        <v>49</v>
      </c>
      <c r="D222" s="2" t="s">
        <v>306</v>
      </c>
      <c r="E222" s="2" t="s">
        <v>306</v>
      </c>
      <c r="F222" s="2" t="s">
        <v>790</v>
      </c>
      <c r="G222" s="2" t="s">
        <v>1637</v>
      </c>
      <c r="H222" s="2" t="s">
        <v>127</v>
      </c>
      <c r="I222" s="2" t="s">
        <v>37</v>
      </c>
      <c r="J222" s="2" t="s">
        <v>714</v>
      </c>
      <c r="K222" s="2" t="s">
        <v>38</v>
      </c>
      <c r="L222" s="2" t="s">
        <v>38</v>
      </c>
      <c r="M222" s="2" t="s">
        <v>1597</v>
      </c>
      <c r="N222" s="2" t="s">
        <v>38</v>
      </c>
      <c r="O222" s="2" t="s">
        <v>38</v>
      </c>
      <c r="P222" s="2" t="s">
        <v>38</v>
      </c>
      <c r="Q222" s="2" t="s">
        <v>926</v>
      </c>
      <c r="R222" s="2" t="s">
        <v>1456</v>
      </c>
      <c r="S222" s="2" t="s">
        <v>1741</v>
      </c>
      <c r="T222" s="2" t="s">
        <v>1773</v>
      </c>
      <c r="U222" s="2" t="s">
        <v>311</v>
      </c>
      <c r="V222" s="2" t="s">
        <v>1774</v>
      </c>
      <c r="W222" s="2" t="s">
        <v>38</v>
      </c>
      <c r="X222" s="3">
        <v>41129</v>
      </c>
      <c r="Y222" s="2" t="s">
        <v>1775</v>
      </c>
      <c r="Z222" s="5">
        <v>223</v>
      </c>
      <c r="AA222" s="2" t="s">
        <v>672</v>
      </c>
      <c r="AB222" s="2" t="s">
        <v>1733</v>
      </c>
      <c r="AC222" s="12">
        <f t="shared" si="18"/>
        <v>2012</v>
      </c>
      <c r="AD222" s="12">
        <f t="shared" si="19"/>
        <v>8</v>
      </c>
      <c r="AE222" s="12">
        <f t="shared" si="20"/>
        <v>8</v>
      </c>
      <c r="AF222" s="16">
        <f t="shared" si="21"/>
        <v>22.5</v>
      </c>
      <c r="AG222" s="16" t="str">
        <f t="shared" si="22"/>
        <v/>
      </c>
      <c r="AH222" s="16">
        <f t="shared" si="23"/>
        <v>22.3</v>
      </c>
    </row>
    <row r="223" spans="1:34" x14ac:dyDescent="0.35">
      <c r="A223" s="2" t="s">
        <v>1776</v>
      </c>
      <c r="B223" s="2" t="s">
        <v>29</v>
      </c>
      <c r="C223" s="2" t="s">
        <v>49</v>
      </c>
      <c r="D223" s="2" t="s">
        <v>214</v>
      </c>
      <c r="E223" s="2" t="s">
        <v>50</v>
      </c>
      <c r="F223" s="2" t="s">
        <v>849</v>
      </c>
      <c r="G223" s="2" t="s">
        <v>1637</v>
      </c>
      <c r="H223" s="2" t="s">
        <v>35</v>
      </c>
      <c r="I223" s="2" t="s">
        <v>37</v>
      </c>
      <c r="J223" s="2" t="s">
        <v>714</v>
      </c>
      <c r="K223" s="2" t="s">
        <v>38</v>
      </c>
      <c r="L223" s="2" t="s">
        <v>38</v>
      </c>
      <c r="M223" s="2" t="s">
        <v>1532</v>
      </c>
      <c r="N223" s="2" t="s">
        <v>38</v>
      </c>
      <c r="O223" s="2" t="s">
        <v>38</v>
      </c>
      <c r="P223" s="2" t="s">
        <v>38</v>
      </c>
      <c r="Q223" s="2" t="s">
        <v>1157</v>
      </c>
      <c r="R223" s="2" t="s">
        <v>1456</v>
      </c>
      <c r="S223" s="2" t="s">
        <v>1058</v>
      </c>
      <c r="T223" s="2" t="s">
        <v>1457</v>
      </c>
      <c r="U223" s="2" t="s">
        <v>796</v>
      </c>
      <c r="V223" s="2" t="s">
        <v>1510</v>
      </c>
      <c r="W223" s="2" t="s">
        <v>38</v>
      </c>
      <c r="X223" s="3">
        <v>41130</v>
      </c>
      <c r="Y223" s="2" t="s">
        <v>1777</v>
      </c>
      <c r="Z223" s="35">
        <v>216</v>
      </c>
      <c r="AA223" s="2" t="s">
        <v>672</v>
      </c>
      <c r="AB223" s="2" t="s">
        <v>1733</v>
      </c>
      <c r="AC223" s="12">
        <f t="shared" si="18"/>
        <v>2012</v>
      </c>
      <c r="AD223" s="12">
        <f t="shared" si="19"/>
        <v>8</v>
      </c>
      <c r="AE223" s="12">
        <f t="shared" si="20"/>
        <v>9</v>
      </c>
      <c r="AF223" s="16">
        <f t="shared" si="21"/>
        <v>21.4</v>
      </c>
      <c r="AG223" s="16" t="str">
        <f t="shared" si="22"/>
        <v/>
      </c>
      <c r="AH223" s="16">
        <f t="shared" si="23"/>
        <v>21.6</v>
      </c>
    </row>
    <row r="224" spans="1:34" x14ac:dyDescent="0.35">
      <c r="A224" s="2" t="s">
        <v>1780</v>
      </c>
      <c r="B224" s="2" t="s">
        <v>29</v>
      </c>
      <c r="C224" s="2" t="s">
        <v>49</v>
      </c>
      <c r="D224" s="2" t="s">
        <v>306</v>
      </c>
      <c r="E224" s="2" t="s">
        <v>714</v>
      </c>
      <c r="F224" s="2" t="s">
        <v>1355</v>
      </c>
      <c r="G224" s="2" t="s">
        <v>1637</v>
      </c>
      <c r="H224" s="2" t="s">
        <v>1781</v>
      </c>
      <c r="I224" s="2" t="s">
        <v>37</v>
      </c>
      <c r="J224" s="2" t="s">
        <v>714</v>
      </c>
      <c r="K224" s="2" t="s">
        <v>38</v>
      </c>
      <c r="L224" s="2" t="s">
        <v>38</v>
      </c>
      <c r="M224" s="2" t="s">
        <v>1532</v>
      </c>
      <c r="N224" s="2" t="s">
        <v>38</v>
      </c>
      <c r="O224" s="2" t="s">
        <v>38</v>
      </c>
      <c r="P224" s="2" t="s">
        <v>38</v>
      </c>
      <c r="Q224" s="2" t="s">
        <v>926</v>
      </c>
      <c r="R224" s="2" t="s">
        <v>1456</v>
      </c>
      <c r="S224" s="2" t="s">
        <v>1058</v>
      </c>
      <c r="T224" s="2" t="s">
        <v>1457</v>
      </c>
      <c r="U224" s="2" t="s">
        <v>782</v>
      </c>
      <c r="V224" s="2" t="s">
        <v>1507</v>
      </c>
      <c r="W224" s="2" t="s">
        <v>38</v>
      </c>
      <c r="X224" s="3">
        <v>41131</v>
      </c>
      <c r="Y224" s="2" t="s">
        <v>1782</v>
      </c>
      <c r="Z224" s="5">
        <v>223</v>
      </c>
      <c r="AA224" s="2" t="s">
        <v>672</v>
      </c>
      <c r="AB224" s="2" t="s">
        <v>1733</v>
      </c>
      <c r="AC224" s="12">
        <f t="shared" si="18"/>
        <v>2012</v>
      </c>
      <c r="AD224" s="12">
        <f t="shared" si="19"/>
        <v>8</v>
      </c>
      <c r="AE224" s="12">
        <f t="shared" si="20"/>
        <v>10</v>
      </c>
      <c r="AF224" s="16">
        <f t="shared" si="21"/>
        <v>22</v>
      </c>
      <c r="AG224" s="16" t="str">
        <f t="shared" si="22"/>
        <v/>
      </c>
      <c r="AH224" s="16">
        <f t="shared" si="23"/>
        <v>22.3</v>
      </c>
    </row>
    <row r="225" spans="1:34" x14ac:dyDescent="0.35">
      <c r="A225" s="2" t="s">
        <v>1785</v>
      </c>
      <c r="B225" s="2" t="s">
        <v>29</v>
      </c>
      <c r="C225" s="2" t="s">
        <v>49</v>
      </c>
      <c r="D225" s="2" t="s">
        <v>306</v>
      </c>
      <c r="E225" s="2" t="s">
        <v>50</v>
      </c>
      <c r="F225" s="2" t="s">
        <v>629</v>
      </c>
      <c r="G225" s="2" t="s">
        <v>34</v>
      </c>
      <c r="H225" s="2" t="s">
        <v>35</v>
      </c>
      <c r="I225" s="2" t="s">
        <v>37</v>
      </c>
      <c r="J225" s="2" t="s">
        <v>50</v>
      </c>
      <c r="K225" s="2" t="s">
        <v>38</v>
      </c>
      <c r="L225" s="2" t="s">
        <v>38</v>
      </c>
      <c r="M225" s="2" t="s">
        <v>1532</v>
      </c>
      <c r="N225" s="2" t="s">
        <v>38</v>
      </c>
      <c r="O225" s="2" t="s">
        <v>38</v>
      </c>
      <c r="P225" s="2" t="s">
        <v>38</v>
      </c>
      <c r="Q225" s="2" t="s">
        <v>1617</v>
      </c>
      <c r="R225" s="2" t="s">
        <v>1367</v>
      </c>
      <c r="S225" s="2" t="s">
        <v>1556</v>
      </c>
      <c r="T225" s="2" t="s">
        <v>1457</v>
      </c>
      <c r="U225" s="2" t="s">
        <v>782</v>
      </c>
      <c r="V225" s="2" t="s">
        <v>1432</v>
      </c>
      <c r="W225" s="2" t="s">
        <v>38</v>
      </c>
      <c r="X225" s="3">
        <v>41132</v>
      </c>
      <c r="Y225" s="2" t="s">
        <v>1786</v>
      </c>
      <c r="Z225" s="35">
        <v>212</v>
      </c>
      <c r="AA225" s="2" t="s">
        <v>672</v>
      </c>
      <c r="AB225" s="2" t="s">
        <v>1733</v>
      </c>
      <c r="AC225" s="12">
        <f t="shared" si="18"/>
        <v>2012</v>
      </c>
      <c r="AD225" s="12">
        <f t="shared" si="19"/>
        <v>8</v>
      </c>
      <c r="AE225" s="12">
        <f t="shared" si="20"/>
        <v>11</v>
      </c>
      <c r="AF225" s="16">
        <f t="shared" si="21"/>
        <v>20.8</v>
      </c>
      <c r="AG225" s="16" t="str">
        <f t="shared" si="22"/>
        <v/>
      </c>
      <c r="AH225" s="16">
        <f t="shared" si="23"/>
        <v>21.2</v>
      </c>
    </row>
    <row r="226" spans="1:34" x14ac:dyDescent="0.35">
      <c r="A226" s="2" t="s">
        <v>1788</v>
      </c>
      <c r="B226" s="2" t="s">
        <v>29</v>
      </c>
      <c r="C226" s="2" t="s">
        <v>49</v>
      </c>
      <c r="D226" s="2" t="s">
        <v>200</v>
      </c>
      <c r="E226" s="2" t="s">
        <v>50</v>
      </c>
      <c r="F226" s="2" t="s">
        <v>826</v>
      </c>
      <c r="G226" s="2" t="s">
        <v>34</v>
      </c>
      <c r="H226" s="2" t="s">
        <v>87</v>
      </c>
      <c r="I226" s="2" t="s">
        <v>37</v>
      </c>
      <c r="J226" s="2" t="s">
        <v>714</v>
      </c>
      <c r="K226" s="2" t="s">
        <v>38</v>
      </c>
      <c r="L226" s="2" t="s">
        <v>38</v>
      </c>
      <c r="M226" s="2" t="s">
        <v>1532</v>
      </c>
      <c r="N226" s="2" t="s">
        <v>38</v>
      </c>
      <c r="O226" s="2" t="s">
        <v>38</v>
      </c>
      <c r="P226" s="2" t="s">
        <v>38</v>
      </c>
      <c r="Q226" s="2" t="s">
        <v>942</v>
      </c>
      <c r="R226" s="2" t="s">
        <v>1367</v>
      </c>
      <c r="S226" s="2" t="s">
        <v>1368</v>
      </c>
      <c r="T226" s="2" t="s">
        <v>1457</v>
      </c>
      <c r="U226" s="2" t="s">
        <v>205</v>
      </c>
      <c r="V226" s="2" t="s">
        <v>1611</v>
      </c>
      <c r="W226" s="2" t="s">
        <v>38</v>
      </c>
      <c r="X226" s="3">
        <v>41133</v>
      </c>
      <c r="Y226" s="2" t="s">
        <v>1790</v>
      </c>
      <c r="Z226" s="35">
        <v>221</v>
      </c>
      <c r="AA226" s="2" t="s">
        <v>672</v>
      </c>
      <c r="AB226" s="2" t="s">
        <v>1733</v>
      </c>
      <c r="AC226" s="12">
        <f t="shared" si="18"/>
        <v>2012</v>
      </c>
      <c r="AD226" s="12">
        <f t="shared" si="19"/>
        <v>8</v>
      </c>
      <c r="AE226" s="12">
        <f t="shared" si="20"/>
        <v>12</v>
      </c>
      <c r="AF226" s="16">
        <f t="shared" si="21"/>
        <v>20.9</v>
      </c>
      <c r="AG226" s="16" t="str">
        <f t="shared" si="22"/>
        <v/>
      </c>
      <c r="AH226" s="16">
        <f t="shared" si="23"/>
        <v>22.1</v>
      </c>
    </row>
    <row r="227" spans="1:34" x14ac:dyDescent="0.35">
      <c r="A227" s="2" t="s">
        <v>1791</v>
      </c>
      <c r="B227" s="2" t="s">
        <v>29</v>
      </c>
      <c r="C227" s="2" t="s">
        <v>49</v>
      </c>
      <c r="D227" s="2" t="s">
        <v>214</v>
      </c>
      <c r="E227" s="2" t="s">
        <v>50</v>
      </c>
      <c r="F227" s="2" t="s">
        <v>696</v>
      </c>
      <c r="G227" s="2" t="s">
        <v>1460</v>
      </c>
      <c r="H227" s="2" t="s">
        <v>137</v>
      </c>
      <c r="I227" s="2" t="s">
        <v>37</v>
      </c>
      <c r="J227" s="2" t="s">
        <v>714</v>
      </c>
      <c r="K227" s="2" t="s">
        <v>38</v>
      </c>
      <c r="L227" s="2" t="s">
        <v>38</v>
      </c>
      <c r="M227" s="2" t="s">
        <v>1532</v>
      </c>
      <c r="N227" s="2" t="s">
        <v>38</v>
      </c>
      <c r="O227" s="2" t="s">
        <v>38</v>
      </c>
      <c r="P227" s="2" t="s">
        <v>38</v>
      </c>
      <c r="Q227" s="2" t="s">
        <v>942</v>
      </c>
      <c r="R227" s="2" t="s">
        <v>1029</v>
      </c>
      <c r="S227" s="2" t="s">
        <v>1461</v>
      </c>
      <c r="T227" s="2" t="s">
        <v>1489</v>
      </c>
      <c r="U227" s="2" t="s">
        <v>1762</v>
      </c>
      <c r="V227" s="2" t="s">
        <v>1370</v>
      </c>
      <c r="W227" s="2" t="s">
        <v>38</v>
      </c>
      <c r="X227" s="3">
        <v>41134</v>
      </c>
      <c r="Y227" s="2" t="s">
        <v>1792</v>
      </c>
      <c r="Z227" s="5">
        <v>221</v>
      </c>
      <c r="AA227" s="2" t="s">
        <v>672</v>
      </c>
      <c r="AB227" s="2" t="s">
        <v>1733</v>
      </c>
      <c r="AC227" s="12">
        <f t="shared" si="18"/>
        <v>2012</v>
      </c>
      <c r="AD227" s="12">
        <f t="shared" si="19"/>
        <v>8</v>
      </c>
      <c r="AE227" s="12">
        <f t="shared" si="20"/>
        <v>13</v>
      </c>
      <c r="AF227" s="16">
        <f t="shared" si="21"/>
        <v>21.3</v>
      </c>
      <c r="AG227" s="16" t="str">
        <f t="shared" si="22"/>
        <v/>
      </c>
      <c r="AH227" s="16">
        <f t="shared" si="23"/>
        <v>22.1</v>
      </c>
    </row>
    <row r="228" spans="1:34" x14ac:dyDescent="0.35">
      <c r="A228" s="2" t="s">
        <v>1794</v>
      </c>
      <c r="B228" s="2" t="s">
        <v>29</v>
      </c>
      <c r="C228" s="2" t="s">
        <v>49</v>
      </c>
      <c r="D228" s="2" t="s">
        <v>200</v>
      </c>
      <c r="E228" s="2" t="s">
        <v>50</v>
      </c>
      <c r="F228" s="2" t="s">
        <v>287</v>
      </c>
      <c r="G228" s="2" t="s">
        <v>34</v>
      </c>
      <c r="H228" s="2" t="s">
        <v>69</v>
      </c>
      <c r="I228" s="2" t="s">
        <v>37</v>
      </c>
      <c r="J228" s="2" t="s">
        <v>714</v>
      </c>
      <c r="K228" s="2" t="s">
        <v>38</v>
      </c>
      <c r="L228" s="2" t="s">
        <v>38</v>
      </c>
      <c r="M228" s="2" t="s">
        <v>1532</v>
      </c>
      <c r="N228" s="2" t="s">
        <v>38</v>
      </c>
      <c r="O228" s="2" t="s">
        <v>38</v>
      </c>
      <c r="P228" s="2" t="s">
        <v>38</v>
      </c>
      <c r="Q228" s="2" t="s">
        <v>1220</v>
      </c>
      <c r="R228" s="2" t="s">
        <v>1367</v>
      </c>
      <c r="S228" s="2" t="s">
        <v>1081</v>
      </c>
      <c r="T228" s="2" t="s">
        <v>1472</v>
      </c>
      <c r="U228" s="2" t="s">
        <v>899</v>
      </c>
      <c r="V228" s="2" t="s">
        <v>1390</v>
      </c>
      <c r="W228" s="2" t="s">
        <v>38</v>
      </c>
      <c r="X228" s="3">
        <v>41135</v>
      </c>
      <c r="Y228" s="2" t="s">
        <v>1796</v>
      </c>
      <c r="Z228" s="5">
        <v>219</v>
      </c>
      <c r="AA228" s="2" t="s">
        <v>672</v>
      </c>
      <c r="AB228" s="2" t="s">
        <v>1733</v>
      </c>
      <c r="AC228" s="12">
        <f t="shared" si="18"/>
        <v>2012</v>
      </c>
      <c r="AD228" s="12">
        <f t="shared" si="19"/>
        <v>8</v>
      </c>
      <c r="AE228" s="12">
        <f t="shared" si="20"/>
        <v>14</v>
      </c>
      <c r="AF228" s="16">
        <f t="shared" si="21"/>
        <v>20.5</v>
      </c>
      <c r="AG228" s="16" t="str">
        <f t="shared" si="22"/>
        <v/>
      </c>
      <c r="AH228" s="16">
        <f t="shared" si="23"/>
        <v>21.9</v>
      </c>
    </row>
    <row r="229" spans="1:34" x14ac:dyDescent="0.35">
      <c r="A229" s="2" t="s">
        <v>1797</v>
      </c>
      <c r="B229" s="2" t="s">
        <v>29</v>
      </c>
      <c r="C229" s="2" t="s">
        <v>49</v>
      </c>
      <c r="D229" s="2" t="s">
        <v>200</v>
      </c>
      <c r="E229" s="2" t="s">
        <v>50</v>
      </c>
      <c r="F229" s="2" t="s">
        <v>1277</v>
      </c>
      <c r="G229" s="2" t="s">
        <v>34</v>
      </c>
      <c r="H229" s="2" t="s">
        <v>379</v>
      </c>
      <c r="I229" s="2" t="s">
        <v>37</v>
      </c>
      <c r="J229" s="2" t="s">
        <v>714</v>
      </c>
      <c r="K229" s="2" t="s">
        <v>38</v>
      </c>
      <c r="L229" s="2" t="s">
        <v>38</v>
      </c>
      <c r="M229" s="2" t="s">
        <v>1532</v>
      </c>
      <c r="N229" s="2" t="s">
        <v>38</v>
      </c>
      <c r="O229" s="2" t="s">
        <v>38</v>
      </c>
      <c r="P229" s="2" t="s">
        <v>38</v>
      </c>
      <c r="Q229" s="2" t="s">
        <v>942</v>
      </c>
      <c r="R229" s="2" t="s">
        <v>1367</v>
      </c>
      <c r="S229" s="2" t="s">
        <v>1800</v>
      </c>
      <c r="T229" s="2" t="s">
        <v>1801</v>
      </c>
      <c r="U229" s="2" t="s">
        <v>205</v>
      </c>
      <c r="V229" s="2" t="s">
        <v>1611</v>
      </c>
      <c r="W229" s="2" t="s">
        <v>38</v>
      </c>
      <c r="X229" s="3">
        <v>41136</v>
      </c>
      <c r="Y229" s="2" t="s">
        <v>1802</v>
      </c>
      <c r="Z229" s="35">
        <v>221</v>
      </c>
      <c r="AA229" s="2" t="s">
        <v>672</v>
      </c>
      <c r="AB229" s="2" t="s">
        <v>1733</v>
      </c>
      <c r="AC229" s="12">
        <f t="shared" si="18"/>
        <v>2012</v>
      </c>
      <c r="AD229" s="12">
        <f t="shared" si="19"/>
        <v>8</v>
      </c>
      <c r="AE229" s="12">
        <f t="shared" si="20"/>
        <v>15</v>
      </c>
      <c r="AF229" s="16">
        <f t="shared" si="21"/>
        <v>20.9</v>
      </c>
      <c r="AG229" s="16" t="str">
        <f t="shared" si="22"/>
        <v/>
      </c>
      <c r="AH229" s="16">
        <f t="shared" si="23"/>
        <v>22.1</v>
      </c>
    </row>
    <row r="230" spans="1:34" x14ac:dyDescent="0.35">
      <c r="A230" s="2" t="s">
        <v>1803</v>
      </c>
      <c r="B230" s="2" t="s">
        <v>29</v>
      </c>
      <c r="C230" s="2" t="s">
        <v>49</v>
      </c>
      <c r="D230" s="2" t="s">
        <v>200</v>
      </c>
      <c r="E230" s="2" t="s">
        <v>50</v>
      </c>
      <c r="F230" s="2" t="s">
        <v>1277</v>
      </c>
      <c r="G230" s="2" t="s">
        <v>1625</v>
      </c>
      <c r="H230" s="2" t="s">
        <v>371</v>
      </c>
      <c r="I230" s="2" t="s">
        <v>37</v>
      </c>
      <c r="J230" s="2" t="s">
        <v>714</v>
      </c>
      <c r="K230" s="2" t="s">
        <v>38</v>
      </c>
      <c r="L230" s="2" t="s">
        <v>38</v>
      </c>
      <c r="M230" s="2" t="s">
        <v>1532</v>
      </c>
      <c r="N230" s="2" t="s">
        <v>38</v>
      </c>
      <c r="O230" s="2" t="s">
        <v>38</v>
      </c>
      <c r="P230" s="2" t="s">
        <v>38</v>
      </c>
      <c r="Q230" s="2" t="s">
        <v>1157</v>
      </c>
      <c r="R230" s="2" t="s">
        <v>1029</v>
      </c>
      <c r="S230" s="2" t="s">
        <v>915</v>
      </c>
      <c r="T230" s="2" t="s">
        <v>1801</v>
      </c>
      <c r="U230" s="2" t="s">
        <v>205</v>
      </c>
      <c r="V230" s="2" t="s">
        <v>1611</v>
      </c>
      <c r="W230" s="2" t="s">
        <v>38</v>
      </c>
      <c r="X230" s="3">
        <v>41137</v>
      </c>
      <c r="Y230" s="2" t="s">
        <v>1804</v>
      </c>
      <c r="Z230" s="35">
        <v>216</v>
      </c>
      <c r="AA230" s="2" t="s">
        <v>672</v>
      </c>
      <c r="AB230" s="2" t="s">
        <v>1733</v>
      </c>
      <c r="AC230" s="12">
        <f t="shared" si="18"/>
        <v>2012</v>
      </c>
      <c r="AD230" s="12">
        <f t="shared" si="19"/>
        <v>8</v>
      </c>
      <c r="AE230" s="12">
        <f t="shared" si="20"/>
        <v>16</v>
      </c>
      <c r="AF230" s="16">
        <f t="shared" si="21"/>
        <v>20.9</v>
      </c>
      <c r="AG230" s="16" t="str">
        <f t="shared" si="22"/>
        <v/>
      </c>
      <c r="AH230" s="16">
        <f t="shared" si="23"/>
        <v>21.6</v>
      </c>
    </row>
    <row r="231" spans="1:34" x14ac:dyDescent="0.35">
      <c r="A231" s="2" t="s">
        <v>1806</v>
      </c>
      <c r="B231" s="2" t="s">
        <v>29</v>
      </c>
      <c r="C231" s="2" t="s">
        <v>49</v>
      </c>
      <c r="D231" s="2" t="s">
        <v>214</v>
      </c>
      <c r="E231" s="2" t="s">
        <v>579</v>
      </c>
      <c r="F231" s="2" t="s">
        <v>1389</v>
      </c>
      <c r="G231" s="2" t="s">
        <v>34</v>
      </c>
      <c r="H231" s="2" t="s">
        <v>137</v>
      </c>
      <c r="I231" s="2" t="s">
        <v>37</v>
      </c>
      <c r="J231" s="2" t="s">
        <v>50</v>
      </c>
      <c r="K231" s="2" t="s">
        <v>38</v>
      </c>
      <c r="L231" s="2" t="s">
        <v>38</v>
      </c>
      <c r="M231" s="2" t="s">
        <v>39</v>
      </c>
      <c r="N231" s="2" t="s">
        <v>38</v>
      </c>
      <c r="O231" s="2" t="s">
        <v>38</v>
      </c>
      <c r="P231" s="2" t="s">
        <v>38</v>
      </c>
      <c r="Q231" s="2" t="s">
        <v>1617</v>
      </c>
      <c r="R231" s="2" t="s">
        <v>1367</v>
      </c>
      <c r="S231" s="2" t="s">
        <v>1499</v>
      </c>
      <c r="T231" s="2" t="s">
        <v>417</v>
      </c>
      <c r="U231" s="2" t="s">
        <v>219</v>
      </c>
      <c r="V231" s="2" t="s">
        <v>1352</v>
      </c>
      <c r="W231" s="2" t="s">
        <v>38</v>
      </c>
      <c r="X231" s="3">
        <v>41138</v>
      </c>
      <c r="Y231" s="2" t="s">
        <v>1807</v>
      </c>
      <c r="Z231" s="5">
        <v>212</v>
      </c>
      <c r="AA231" s="2" t="s">
        <v>672</v>
      </c>
      <c r="AB231" s="2" t="s">
        <v>1733</v>
      </c>
      <c r="AC231" s="12">
        <f t="shared" si="18"/>
        <v>2012</v>
      </c>
      <c r="AD231" s="12">
        <f t="shared" si="19"/>
        <v>8</v>
      </c>
      <c r="AE231" s="12">
        <f t="shared" si="20"/>
        <v>17</v>
      </c>
      <c r="AF231" s="16">
        <f t="shared" si="21"/>
        <v>19.899999999999999</v>
      </c>
      <c r="AG231" s="16" t="str">
        <f t="shared" si="22"/>
        <v/>
      </c>
      <c r="AH231" s="16">
        <f t="shared" si="23"/>
        <v>21.2</v>
      </c>
    </row>
    <row r="232" spans="1:34" x14ac:dyDescent="0.35">
      <c r="A232" s="2" t="s">
        <v>1810</v>
      </c>
      <c r="B232" s="2" t="s">
        <v>29</v>
      </c>
      <c r="C232" s="2" t="s">
        <v>49</v>
      </c>
      <c r="D232" s="2" t="s">
        <v>200</v>
      </c>
      <c r="E232" s="2" t="s">
        <v>50</v>
      </c>
      <c r="F232" s="2" t="s">
        <v>785</v>
      </c>
      <c r="G232" s="2" t="s">
        <v>34</v>
      </c>
      <c r="H232" s="2" t="s">
        <v>173</v>
      </c>
      <c r="I232" s="2" t="s">
        <v>37</v>
      </c>
      <c r="J232" s="2" t="s">
        <v>50</v>
      </c>
      <c r="K232" s="2" t="s">
        <v>38</v>
      </c>
      <c r="L232" s="2" t="s">
        <v>38</v>
      </c>
      <c r="M232" s="2" t="s">
        <v>1644</v>
      </c>
      <c r="N232" s="2" t="s">
        <v>38</v>
      </c>
      <c r="O232" s="2" t="s">
        <v>38</v>
      </c>
      <c r="P232" s="2" t="s">
        <v>38</v>
      </c>
      <c r="Q232" s="2" t="s">
        <v>1024</v>
      </c>
      <c r="R232" s="2" t="s">
        <v>1467</v>
      </c>
      <c r="S232" s="2" t="s">
        <v>1356</v>
      </c>
      <c r="T232" s="2" t="s">
        <v>1811</v>
      </c>
      <c r="U232" s="2" t="s">
        <v>1812</v>
      </c>
      <c r="V232" s="2" t="s">
        <v>1370</v>
      </c>
      <c r="W232" s="2" t="s">
        <v>38</v>
      </c>
      <c r="X232" s="3">
        <v>41139</v>
      </c>
      <c r="Y232" s="2" t="s">
        <v>1813</v>
      </c>
      <c r="Z232" s="5">
        <v>210</v>
      </c>
      <c r="AA232" s="2" t="s">
        <v>672</v>
      </c>
      <c r="AB232" s="2" t="s">
        <v>1733</v>
      </c>
      <c r="AC232" s="12">
        <f t="shared" si="18"/>
        <v>2012</v>
      </c>
      <c r="AD232" s="12">
        <f t="shared" si="19"/>
        <v>8</v>
      </c>
      <c r="AE232" s="12">
        <f t="shared" si="20"/>
        <v>18</v>
      </c>
      <c r="AF232" s="16">
        <f t="shared" si="21"/>
        <v>21.3</v>
      </c>
      <c r="AG232" s="16" t="str">
        <f t="shared" si="22"/>
        <v/>
      </c>
      <c r="AH232" s="16">
        <f t="shared" si="23"/>
        <v>21</v>
      </c>
    </row>
    <row r="233" spans="1:34" x14ac:dyDescent="0.35">
      <c r="A233" s="2" t="s">
        <v>1816</v>
      </c>
      <c r="B233" s="2" t="s">
        <v>29</v>
      </c>
      <c r="C233" s="2" t="s">
        <v>49</v>
      </c>
      <c r="D233" s="2" t="s">
        <v>714</v>
      </c>
      <c r="E233" s="2" t="s">
        <v>714</v>
      </c>
      <c r="F233" s="2" t="s">
        <v>729</v>
      </c>
      <c r="G233" s="2" t="s">
        <v>1818</v>
      </c>
      <c r="H233" s="2" t="s">
        <v>597</v>
      </c>
      <c r="I233" s="2" t="s">
        <v>37</v>
      </c>
      <c r="J233" s="2" t="s">
        <v>50</v>
      </c>
      <c r="K233" s="2" t="s">
        <v>38</v>
      </c>
      <c r="L233" s="2" t="s">
        <v>38</v>
      </c>
      <c r="M233" s="2" t="s">
        <v>39</v>
      </c>
      <c r="N233" s="2" t="s">
        <v>38</v>
      </c>
      <c r="O233" s="2" t="s">
        <v>38</v>
      </c>
      <c r="P233" s="2" t="s">
        <v>38</v>
      </c>
      <c r="Q233" s="2" t="s">
        <v>994</v>
      </c>
      <c r="R233" s="2" t="s">
        <v>1456</v>
      </c>
      <c r="S233" s="2" t="s">
        <v>1662</v>
      </c>
      <c r="T233" s="2" t="s">
        <v>1675</v>
      </c>
      <c r="U233" s="2" t="s">
        <v>1527</v>
      </c>
      <c r="V233" s="2" t="s">
        <v>1524</v>
      </c>
      <c r="W233" s="2" t="s">
        <v>38</v>
      </c>
      <c r="X233" s="3">
        <v>41140</v>
      </c>
      <c r="Y233" s="2" t="s">
        <v>1819</v>
      </c>
      <c r="Z233" s="35">
        <v>213</v>
      </c>
      <c r="AA233" s="2" t="s">
        <v>672</v>
      </c>
      <c r="AB233" s="2" t="s">
        <v>1733</v>
      </c>
      <c r="AC233" s="12">
        <f t="shared" si="18"/>
        <v>2012</v>
      </c>
      <c r="AD233" s="12">
        <f t="shared" si="19"/>
        <v>8</v>
      </c>
      <c r="AE233" s="12">
        <f t="shared" si="20"/>
        <v>19</v>
      </c>
      <c r="AF233" s="16">
        <f t="shared" si="21"/>
        <v>21.7</v>
      </c>
      <c r="AG233" s="16" t="str">
        <f t="shared" si="22"/>
        <v/>
      </c>
      <c r="AH233" s="16">
        <f t="shared" si="23"/>
        <v>21.3</v>
      </c>
    </row>
    <row r="234" spans="1:34" x14ac:dyDescent="0.35">
      <c r="A234" s="2" t="s">
        <v>1820</v>
      </c>
      <c r="B234" s="2" t="s">
        <v>29</v>
      </c>
      <c r="C234" s="2" t="s">
        <v>49</v>
      </c>
      <c r="D234" s="2" t="s">
        <v>214</v>
      </c>
      <c r="E234" s="2" t="s">
        <v>50</v>
      </c>
      <c r="F234" s="2" t="s">
        <v>1154</v>
      </c>
      <c r="G234" s="2" t="s">
        <v>34</v>
      </c>
      <c r="H234" s="2" t="s">
        <v>295</v>
      </c>
      <c r="I234" s="2" t="s">
        <v>37</v>
      </c>
      <c r="J234" s="2" t="s">
        <v>714</v>
      </c>
      <c r="K234" s="2" t="s">
        <v>38</v>
      </c>
      <c r="L234" s="2" t="s">
        <v>38</v>
      </c>
      <c r="M234" s="2" t="s">
        <v>1532</v>
      </c>
      <c r="N234" s="2" t="s">
        <v>38</v>
      </c>
      <c r="O234" s="2" t="s">
        <v>38</v>
      </c>
      <c r="P234" s="2" t="s">
        <v>38</v>
      </c>
      <c r="Q234" s="2" t="s">
        <v>1164</v>
      </c>
      <c r="R234" s="2" t="s">
        <v>1367</v>
      </c>
      <c r="S234" s="2" t="s">
        <v>1356</v>
      </c>
      <c r="T234" s="2" t="s">
        <v>1457</v>
      </c>
      <c r="U234" s="2" t="s">
        <v>219</v>
      </c>
      <c r="V234" s="2" t="s">
        <v>1611</v>
      </c>
      <c r="W234" s="2" t="s">
        <v>38</v>
      </c>
      <c r="X234" s="3">
        <v>41141</v>
      </c>
      <c r="Y234" s="2" t="s">
        <v>1821</v>
      </c>
      <c r="Z234" s="5">
        <v>220</v>
      </c>
      <c r="AA234" s="2" t="s">
        <v>672</v>
      </c>
      <c r="AB234" s="2" t="s">
        <v>1733</v>
      </c>
      <c r="AC234" s="12">
        <f t="shared" si="18"/>
        <v>2012</v>
      </c>
      <c r="AD234" s="12">
        <f t="shared" si="19"/>
        <v>8</v>
      </c>
      <c r="AE234" s="12">
        <f t="shared" si="20"/>
        <v>20</v>
      </c>
      <c r="AF234" s="16">
        <f t="shared" si="21"/>
        <v>20.9</v>
      </c>
      <c r="AG234" s="16" t="str">
        <f t="shared" si="22"/>
        <v/>
      </c>
      <c r="AH234" s="16">
        <f t="shared" si="23"/>
        <v>22</v>
      </c>
    </row>
    <row r="235" spans="1:34" x14ac:dyDescent="0.35">
      <c r="A235" s="2" t="s">
        <v>1823</v>
      </c>
      <c r="B235" s="2" t="s">
        <v>29</v>
      </c>
      <c r="C235" s="2" t="s">
        <v>49</v>
      </c>
      <c r="D235" s="2" t="s">
        <v>214</v>
      </c>
      <c r="E235" s="2" t="s">
        <v>50</v>
      </c>
      <c r="F235" s="2" t="s">
        <v>1824</v>
      </c>
      <c r="G235" s="2" t="s">
        <v>34</v>
      </c>
      <c r="H235" s="2" t="s">
        <v>425</v>
      </c>
      <c r="I235" s="2" t="s">
        <v>37</v>
      </c>
      <c r="J235" s="2" t="s">
        <v>50</v>
      </c>
      <c r="K235" s="2" t="s">
        <v>38</v>
      </c>
      <c r="L235" s="2" t="s">
        <v>38</v>
      </c>
      <c r="M235" s="2" t="s">
        <v>1532</v>
      </c>
      <c r="N235" s="2" t="s">
        <v>38</v>
      </c>
      <c r="O235" s="2" t="s">
        <v>38</v>
      </c>
      <c r="P235" s="2" t="s">
        <v>38</v>
      </c>
      <c r="Q235" s="2" t="s">
        <v>1825</v>
      </c>
      <c r="R235" s="2" t="s">
        <v>1467</v>
      </c>
      <c r="S235" s="2" t="s">
        <v>1356</v>
      </c>
      <c r="T235" s="2" t="s">
        <v>1457</v>
      </c>
      <c r="U235" s="2" t="s">
        <v>796</v>
      </c>
      <c r="V235" s="2" t="s">
        <v>1480</v>
      </c>
      <c r="W235" s="2" t="s">
        <v>38</v>
      </c>
      <c r="X235" s="3">
        <v>41142</v>
      </c>
      <c r="Y235" s="2" t="s">
        <v>1826</v>
      </c>
      <c r="Z235" s="35">
        <v>208</v>
      </c>
      <c r="AA235" s="2" t="s">
        <v>672</v>
      </c>
      <c r="AB235" s="2" t="s">
        <v>1733</v>
      </c>
      <c r="AC235" s="12">
        <f t="shared" si="18"/>
        <v>2012</v>
      </c>
      <c r="AD235" s="12">
        <f t="shared" si="19"/>
        <v>8</v>
      </c>
      <c r="AE235" s="12">
        <f t="shared" si="20"/>
        <v>21</v>
      </c>
      <c r="AF235" s="16">
        <f t="shared" si="21"/>
        <v>21.1</v>
      </c>
      <c r="AG235" s="16" t="str">
        <f t="shared" si="22"/>
        <v/>
      </c>
      <c r="AH235" s="16">
        <f t="shared" si="23"/>
        <v>20.8</v>
      </c>
    </row>
    <row r="236" spans="1:34" x14ac:dyDescent="0.35">
      <c r="A236" s="2" t="s">
        <v>1828</v>
      </c>
      <c r="B236" s="2" t="s">
        <v>29</v>
      </c>
      <c r="C236" s="2" t="s">
        <v>49</v>
      </c>
      <c r="D236" s="2" t="s">
        <v>214</v>
      </c>
      <c r="E236" s="2" t="s">
        <v>579</v>
      </c>
      <c r="F236" s="2" t="s">
        <v>547</v>
      </c>
      <c r="G236" s="2" t="s">
        <v>34</v>
      </c>
      <c r="H236" s="2" t="s">
        <v>240</v>
      </c>
      <c r="I236" s="2" t="s">
        <v>37</v>
      </c>
      <c r="J236" s="2" t="s">
        <v>50</v>
      </c>
      <c r="K236" s="2" t="s">
        <v>38</v>
      </c>
      <c r="L236" s="2" t="s">
        <v>38</v>
      </c>
      <c r="M236" s="2" t="s">
        <v>1542</v>
      </c>
      <c r="N236" s="2" t="s">
        <v>38</v>
      </c>
      <c r="O236" s="2" t="s">
        <v>38</v>
      </c>
      <c r="P236" s="2" t="s">
        <v>38</v>
      </c>
      <c r="Q236" s="2" t="s">
        <v>1415</v>
      </c>
      <c r="R236" s="2" t="s">
        <v>41</v>
      </c>
      <c r="S236" s="2" t="s">
        <v>1368</v>
      </c>
      <c r="T236" s="2" t="s">
        <v>1829</v>
      </c>
      <c r="U236" s="2" t="s">
        <v>796</v>
      </c>
      <c r="V236" s="2" t="s">
        <v>1053</v>
      </c>
      <c r="W236" s="2" t="s">
        <v>38</v>
      </c>
      <c r="X236" s="3">
        <v>41143</v>
      </c>
      <c r="Y236" s="2" t="s">
        <v>1830</v>
      </c>
      <c r="Z236" s="35">
        <v>211</v>
      </c>
      <c r="AA236" s="2" t="s">
        <v>672</v>
      </c>
      <c r="AB236" s="2" t="s">
        <v>1733</v>
      </c>
      <c r="AC236" s="12">
        <f t="shared" si="18"/>
        <v>2012</v>
      </c>
      <c r="AD236" s="12">
        <f t="shared" si="19"/>
        <v>8</v>
      </c>
      <c r="AE236" s="12">
        <f t="shared" si="20"/>
        <v>22</v>
      </c>
      <c r="AF236" s="16">
        <f t="shared" si="21"/>
        <v>20.100000000000001</v>
      </c>
      <c r="AG236" s="16" t="str">
        <f t="shared" si="22"/>
        <v/>
      </c>
      <c r="AH236" s="16">
        <f t="shared" si="23"/>
        <v>21.1</v>
      </c>
    </row>
    <row r="237" spans="1:34" x14ac:dyDescent="0.35">
      <c r="A237" s="2" t="s">
        <v>1834</v>
      </c>
      <c r="B237" s="2" t="s">
        <v>29</v>
      </c>
      <c r="C237" s="2" t="s">
        <v>49</v>
      </c>
      <c r="D237" s="2" t="s">
        <v>200</v>
      </c>
      <c r="E237" s="2" t="s">
        <v>50</v>
      </c>
      <c r="F237" s="2" t="s">
        <v>95</v>
      </c>
      <c r="G237" s="2" t="s">
        <v>34</v>
      </c>
      <c r="H237" s="2" t="s">
        <v>217</v>
      </c>
      <c r="I237" s="2" t="s">
        <v>37</v>
      </c>
      <c r="J237" s="2" t="s">
        <v>50</v>
      </c>
      <c r="K237" s="2" t="s">
        <v>38</v>
      </c>
      <c r="L237" s="2" t="s">
        <v>38</v>
      </c>
      <c r="M237" s="2" t="s">
        <v>1532</v>
      </c>
      <c r="N237" s="2" t="s">
        <v>38</v>
      </c>
      <c r="O237" s="2" t="s">
        <v>38</v>
      </c>
      <c r="P237" s="2" t="s">
        <v>38</v>
      </c>
      <c r="Q237" s="2" t="s">
        <v>1382</v>
      </c>
      <c r="R237" s="2" t="s">
        <v>1367</v>
      </c>
      <c r="S237" s="2" t="s">
        <v>1461</v>
      </c>
      <c r="T237" s="2" t="s">
        <v>1594</v>
      </c>
      <c r="U237" s="2" t="s">
        <v>899</v>
      </c>
      <c r="V237" s="2" t="s">
        <v>1480</v>
      </c>
      <c r="W237" s="2" t="s">
        <v>38</v>
      </c>
      <c r="X237" s="3">
        <v>41144</v>
      </c>
      <c r="Y237" s="2" t="s">
        <v>1837</v>
      </c>
      <c r="Z237" s="5">
        <v>206</v>
      </c>
      <c r="AA237" s="2" t="s">
        <v>672</v>
      </c>
      <c r="AB237" s="2" t="s">
        <v>1733</v>
      </c>
      <c r="AC237" s="12">
        <f t="shared" si="18"/>
        <v>2012</v>
      </c>
      <c r="AD237" s="12">
        <f t="shared" si="19"/>
        <v>8</v>
      </c>
      <c r="AE237" s="12">
        <f t="shared" si="20"/>
        <v>23</v>
      </c>
      <c r="AF237" s="16">
        <f t="shared" si="21"/>
        <v>21.1</v>
      </c>
      <c r="AG237" s="16" t="str">
        <f t="shared" si="22"/>
        <v/>
      </c>
      <c r="AH237" s="16">
        <f t="shared" si="23"/>
        <v>20.6</v>
      </c>
    </row>
    <row r="238" spans="1:34" x14ac:dyDescent="0.35">
      <c r="A238" s="2" t="s">
        <v>1838</v>
      </c>
      <c r="B238" s="2" t="s">
        <v>29</v>
      </c>
      <c r="C238" s="2" t="s">
        <v>49</v>
      </c>
      <c r="D238" s="2" t="s">
        <v>200</v>
      </c>
      <c r="E238" s="2" t="s">
        <v>50</v>
      </c>
      <c r="F238" s="2" t="s">
        <v>320</v>
      </c>
      <c r="G238" s="2" t="s">
        <v>34</v>
      </c>
      <c r="H238" s="2" t="s">
        <v>79</v>
      </c>
      <c r="I238" s="2" t="s">
        <v>37</v>
      </c>
      <c r="J238" s="2" t="s">
        <v>714</v>
      </c>
      <c r="K238" s="2" t="s">
        <v>38</v>
      </c>
      <c r="L238" s="2" t="s">
        <v>38</v>
      </c>
      <c r="M238" s="2" t="s">
        <v>1542</v>
      </c>
      <c r="N238" s="2" t="s">
        <v>38</v>
      </c>
      <c r="O238" s="2" t="s">
        <v>38</v>
      </c>
      <c r="P238" s="2" t="s">
        <v>38</v>
      </c>
      <c r="Q238" s="2" t="s">
        <v>1169</v>
      </c>
      <c r="R238" s="2" t="s">
        <v>41</v>
      </c>
      <c r="S238" s="2" t="s">
        <v>1461</v>
      </c>
      <c r="T238" s="2" t="s">
        <v>1633</v>
      </c>
      <c r="U238" s="2" t="s">
        <v>858</v>
      </c>
      <c r="V238" s="2" t="s">
        <v>1510</v>
      </c>
      <c r="W238" s="2" t="s">
        <v>38</v>
      </c>
      <c r="X238" s="3">
        <v>41145</v>
      </c>
      <c r="Y238" s="2" t="s">
        <v>1841</v>
      </c>
      <c r="Z238" s="5">
        <v>217</v>
      </c>
      <c r="AA238" s="2" t="s">
        <v>672</v>
      </c>
      <c r="AB238" s="2" t="s">
        <v>1733</v>
      </c>
      <c r="AC238" s="12">
        <f t="shared" si="18"/>
        <v>2012</v>
      </c>
      <c r="AD238" s="12">
        <f t="shared" si="19"/>
        <v>8</v>
      </c>
      <c r="AE238" s="12">
        <f t="shared" si="20"/>
        <v>24</v>
      </c>
      <c r="AF238" s="16">
        <f t="shared" si="21"/>
        <v>21.4</v>
      </c>
      <c r="AG238" s="16" t="str">
        <f t="shared" si="22"/>
        <v/>
      </c>
      <c r="AH238" s="16">
        <f t="shared" si="23"/>
        <v>21.7</v>
      </c>
    </row>
    <row r="239" spans="1:34" x14ac:dyDescent="0.35">
      <c r="A239" s="2" t="s">
        <v>1842</v>
      </c>
      <c r="B239" s="2" t="s">
        <v>29</v>
      </c>
      <c r="C239" s="2" t="s">
        <v>49</v>
      </c>
      <c r="D239" s="2" t="s">
        <v>200</v>
      </c>
      <c r="E239" s="2" t="s">
        <v>50</v>
      </c>
      <c r="F239" s="2" t="s">
        <v>352</v>
      </c>
      <c r="G239" s="2" t="s">
        <v>34</v>
      </c>
      <c r="H239" s="2" t="s">
        <v>331</v>
      </c>
      <c r="I239" s="2" t="s">
        <v>37</v>
      </c>
      <c r="J239" s="2" t="s">
        <v>714</v>
      </c>
      <c r="K239" s="2" t="s">
        <v>38</v>
      </c>
      <c r="L239" s="2" t="s">
        <v>38</v>
      </c>
      <c r="M239" s="2" t="s">
        <v>39</v>
      </c>
      <c r="N239" s="2" t="s">
        <v>38</v>
      </c>
      <c r="O239" s="2" t="s">
        <v>38</v>
      </c>
      <c r="P239" s="2" t="s">
        <v>38</v>
      </c>
      <c r="Q239" s="2" t="s">
        <v>1169</v>
      </c>
      <c r="R239" s="2" t="s">
        <v>41</v>
      </c>
      <c r="S239" s="2" t="s">
        <v>42</v>
      </c>
      <c r="T239" s="2" t="s">
        <v>916</v>
      </c>
      <c r="U239" s="2" t="s">
        <v>205</v>
      </c>
      <c r="V239" s="2" t="s">
        <v>1398</v>
      </c>
      <c r="W239" s="2" t="s">
        <v>38</v>
      </c>
      <c r="X239" s="3">
        <v>41146</v>
      </c>
      <c r="Y239" s="2" t="s">
        <v>1845</v>
      </c>
      <c r="Z239" s="35">
        <v>217</v>
      </c>
      <c r="AA239" s="2" t="s">
        <v>672</v>
      </c>
      <c r="AB239" s="2" t="s">
        <v>1733</v>
      </c>
      <c r="AC239" s="12">
        <f t="shared" si="18"/>
        <v>2012</v>
      </c>
      <c r="AD239" s="12">
        <f t="shared" si="19"/>
        <v>8</v>
      </c>
      <c r="AE239" s="12">
        <f t="shared" si="20"/>
        <v>25</v>
      </c>
      <c r="AF239" s="16">
        <f t="shared" si="21"/>
        <v>21.5</v>
      </c>
      <c r="AG239" s="16" t="str">
        <f t="shared" si="22"/>
        <v/>
      </c>
      <c r="AH239" s="16">
        <f t="shared" si="23"/>
        <v>21.7</v>
      </c>
    </row>
    <row r="240" spans="1:34" x14ac:dyDescent="0.35">
      <c r="A240" s="2" t="s">
        <v>1846</v>
      </c>
      <c r="B240" s="2" t="s">
        <v>29</v>
      </c>
      <c r="C240" s="2" t="s">
        <v>49</v>
      </c>
      <c r="D240" s="2" t="s">
        <v>214</v>
      </c>
      <c r="E240" s="2" t="s">
        <v>579</v>
      </c>
      <c r="F240" s="2" t="s">
        <v>361</v>
      </c>
      <c r="G240" s="2" t="s">
        <v>34</v>
      </c>
      <c r="H240" s="2" t="s">
        <v>35</v>
      </c>
      <c r="I240" s="2" t="s">
        <v>37</v>
      </c>
      <c r="J240" s="2" t="s">
        <v>714</v>
      </c>
      <c r="K240" s="2" t="s">
        <v>38</v>
      </c>
      <c r="L240" s="2" t="s">
        <v>38</v>
      </c>
      <c r="M240" s="2" t="s">
        <v>1542</v>
      </c>
      <c r="N240" s="2" t="s">
        <v>38</v>
      </c>
      <c r="O240" s="2" t="s">
        <v>38</v>
      </c>
      <c r="P240" s="2" t="s">
        <v>38</v>
      </c>
      <c r="Q240" s="2" t="s">
        <v>942</v>
      </c>
      <c r="R240" s="2" t="s">
        <v>41</v>
      </c>
      <c r="S240" s="2" t="s">
        <v>1058</v>
      </c>
      <c r="T240" s="2" t="s">
        <v>1618</v>
      </c>
      <c r="U240" s="2" t="s">
        <v>796</v>
      </c>
      <c r="V240" s="2" t="s">
        <v>1291</v>
      </c>
      <c r="W240" s="2" t="s">
        <v>38</v>
      </c>
      <c r="X240" s="3">
        <v>41147</v>
      </c>
      <c r="Y240" s="2" t="s">
        <v>1847</v>
      </c>
      <c r="Z240" s="35">
        <v>221</v>
      </c>
      <c r="AA240" s="2" t="s">
        <v>672</v>
      </c>
      <c r="AB240" s="2" t="s">
        <v>1733</v>
      </c>
      <c r="AC240" s="12">
        <f t="shared" si="18"/>
        <v>2012</v>
      </c>
      <c r="AD240" s="12">
        <f t="shared" si="19"/>
        <v>8</v>
      </c>
      <c r="AE240" s="12">
        <f t="shared" si="20"/>
        <v>26</v>
      </c>
      <c r="AF240" s="16">
        <f t="shared" si="21"/>
        <v>20.3</v>
      </c>
      <c r="AG240" s="16" t="str">
        <f t="shared" si="22"/>
        <v/>
      </c>
      <c r="AH240" s="16">
        <f t="shared" si="23"/>
        <v>22.1</v>
      </c>
    </row>
    <row r="241" spans="1:34" x14ac:dyDescent="0.35">
      <c r="A241" s="2" t="s">
        <v>1849</v>
      </c>
      <c r="B241" s="2" t="s">
        <v>29</v>
      </c>
      <c r="C241" s="2" t="s">
        <v>49</v>
      </c>
      <c r="D241" s="2" t="s">
        <v>214</v>
      </c>
      <c r="E241" s="2" t="s">
        <v>579</v>
      </c>
      <c r="F241" s="2" t="s">
        <v>849</v>
      </c>
      <c r="G241" s="2" t="s">
        <v>34</v>
      </c>
      <c r="H241" s="2" t="s">
        <v>1405</v>
      </c>
      <c r="I241" s="2" t="s">
        <v>37</v>
      </c>
      <c r="J241" s="2" t="s">
        <v>50</v>
      </c>
      <c r="K241" s="2" t="s">
        <v>38</v>
      </c>
      <c r="L241" s="2" t="s">
        <v>38</v>
      </c>
      <c r="M241" s="2" t="s">
        <v>1605</v>
      </c>
      <c r="N241" s="2" t="s">
        <v>38</v>
      </c>
      <c r="O241" s="2" t="s">
        <v>38</v>
      </c>
      <c r="P241" s="2" t="s">
        <v>38</v>
      </c>
      <c r="Q241" s="2" t="s">
        <v>1115</v>
      </c>
      <c r="R241" s="2" t="s">
        <v>1367</v>
      </c>
      <c r="S241" s="2" t="s">
        <v>1556</v>
      </c>
      <c r="T241" s="2" t="s">
        <v>1649</v>
      </c>
      <c r="U241" s="2" t="s">
        <v>778</v>
      </c>
      <c r="V241" s="2" t="s">
        <v>1301</v>
      </c>
      <c r="W241" s="2" t="s">
        <v>38</v>
      </c>
      <c r="X241" s="3">
        <v>41148</v>
      </c>
      <c r="Y241" s="2" t="s">
        <v>1852</v>
      </c>
      <c r="Z241" s="5">
        <v>215</v>
      </c>
      <c r="AA241" s="2" t="s">
        <v>672</v>
      </c>
      <c r="AB241" s="2" t="s">
        <v>1733</v>
      </c>
      <c r="AC241" s="12">
        <f t="shared" si="18"/>
        <v>2012</v>
      </c>
      <c r="AD241" s="12">
        <f t="shared" si="19"/>
        <v>8</v>
      </c>
      <c r="AE241" s="12">
        <f t="shared" si="20"/>
        <v>27</v>
      </c>
      <c r="AF241" s="16">
        <f t="shared" si="21"/>
        <v>20.2</v>
      </c>
      <c r="AG241" s="16" t="str">
        <f t="shared" si="22"/>
        <v/>
      </c>
      <c r="AH241" s="16">
        <f t="shared" si="23"/>
        <v>21.5</v>
      </c>
    </row>
    <row r="242" spans="1:34" x14ac:dyDescent="0.35">
      <c r="A242" s="2" t="s">
        <v>1853</v>
      </c>
      <c r="B242" s="2" t="s">
        <v>29</v>
      </c>
      <c r="C242" s="2" t="s">
        <v>49</v>
      </c>
      <c r="D242" s="2" t="s">
        <v>214</v>
      </c>
      <c r="E242" s="2" t="s">
        <v>714</v>
      </c>
      <c r="F242" s="2" t="s">
        <v>849</v>
      </c>
      <c r="G242" s="2" t="s">
        <v>1642</v>
      </c>
      <c r="H242" s="2" t="s">
        <v>371</v>
      </c>
      <c r="I242" s="2" t="s">
        <v>37</v>
      </c>
      <c r="J242" s="2" t="s">
        <v>714</v>
      </c>
      <c r="K242" s="2" t="s">
        <v>38</v>
      </c>
      <c r="L242" s="2" t="s">
        <v>38</v>
      </c>
      <c r="M242" s="2" t="s">
        <v>1532</v>
      </c>
      <c r="N242" s="2" t="s">
        <v>38</v>
      </c>
      <c r="O242" s="2" t="s">
        <v>38</v>
      </c>
      <c r="P242" s="2" t="s">
        <v>38</v>
      </c>
      <c r="Q242" s="2" t="s">
        <v>1157</v>
      </c>
      <c r="R242" s="2" t="s">
        <v>1456</v>
      </c>
      <c r="S242" s="2" t="s">
        <v>58</v>
      </c>
      <c r="T242" s="2" t="s">
        <v>1457</v>
      </c>
      <c r="U242" s="2" t="s">
        <v>1729</v>
      </c>
      <c r="V242" s="2" t="s">
        <v>1743</v>
      </c>
      <c r="W242" s="2" t="s">
        <v>38</v>
      </c>
      <c r="X242" s="3">
        <v>41149</v>
      </c>
      <c r="Y242" s="2" t="s">
        <v>1854</v>
      </c>
      <c r="Z242" s="35">
        <v>216</v>
      </c>
      <c r="AA242" s="2" t="s">
        <v>672</v>
      </c>
      <c r="AB242" s="2" t="s">
        <v>1733</v>
      </c>
      <c r="AC242" s="12">
        <f t="shared" si="18"/>
        <v>2012</v>
      </c>
      <c r="AD242" s="12">
        <f t="shared" si="19"/>
        <v>8</v>
      </c>
      <c r="AE242" s="12">
        <f t="shared" si="20"/>
        <v>28</v>
      </c>
      <c r="AF242" s="16">
        <f t="shared" si="21"/>
        <v>21.8</v>
      </c>
      <c r="AG242" s="16" t="str">
        <f t="shared" si="22"/>
        <v/>
      </c>
      <c r="AH242" s="16">
        <f t="shared" si="23"/>
        <v>21.6</v>
      </c>
    </row>
    <row r="243" spans="1:34" x14ac:dyDescent="0.35">
      <c r="A243" s="2" t="s">
        <v>1857</v>
      </c>
      <c r="B243" s="2" t="s">
        <v>29</v>
      </c>
      <c r="C243" s="2" t="s">
        <v>49</v>
      </c>
      <c r="D243" s="2" t="s">
        <v>200</v>
      </c>
      <c r="E243" s="2" t="s">
        <v>714</v>
      </c>
      <c r="F243" s="2" t="s">
        <v>696</v>
      </c>
      <c r="G243" s="2" t="s">
        <v>34</v>
      </c>
      <c r="H243" s="2" t="s">
        <v>331</v>
      </c>
      <c r="I243" s="2" t="s">
        <v>37</v>
      </c>
      <c r="J243" s="2" t="s">
        <v>714</v>
      </c>
      <c r="K243" s="2" t="s">
        <v>38</v>
      </c>
      <c r="L243" s="2" t="s">
        <v>38</v>
      </c>
      <c r="M243" s="2" t="s">
        <v>1532</v>
      </c>
      <c r="N243" s="2" t="s">
        <v>38</v>
      </c>
      <c r="O243" s="2" t="s">
        <v>38</v>
      </c>
      <c r="P243" s="2" t="s">
        <v>38</v>
      </c>
      <c r="Q243" s="2" t="s">
        <v>1164</v>
      </c>
      <c r="R243" s="2" t="s">
        <v>1367</v>
      </c>
      <c r="S243" s="2" t="s">
        <v>1356</v>
      </c>
      <c r="T243" s="2" t="s">
        <v>1457</v>
      </c>
      <c r="U243" s="2" t="s">
        <v>1858</v>
      </c>
      <c r="V243" s="2" t="s">
        <v>1769</v>
      </c>
      <c r="W243" s="2" t="s">
        <v>38</v>
      </c>
      <c r="X243" s="3">
        <v>41150</v>
      </c>
      <c r="Y243" s="2" t="s">
        <v>1859</v>
      </c>
      <c r="Z243" s="5">
        <v>220</v>
      </c>
      <c r="AA243" s="2" t="s">
        <v>672</v>
      </c>
      <c r="AB243" s="2" t="s">
        <v>1733</v>
      </c>
      <c r="AC243" s="12">
        <f t="shared" si="18"/>
        <v>2012</v>
      </c>
      <c r="AD243" s="12">
        <f t="shared" si="19"/>
        <v>8</v>
      </c>
      <c r="AE243" s="12">
        <f t="shared" si="20"/>
        <v>29</v>
      </c>
      <c r="AF243" s="16">
        <f t="shared" si="21"/>
        <v>22.1</v>
      </c>
      <c r="AG243" s="16" t="str">
        <f t="shared" si="22"/>
        <v/>
      </c>
      <c r="AH243" s="16">
        <f t="shared" si="23"/>
        <v>22</v>
      </c>
    </row>
    <row r="244" spans="1:34" x14ac:dyDescent="0.35">
      <c r="A244" s="2" t="s">
        <v>1862</v>
      </c>
      <c r="B244" s="2" t="s">
        <v>29</v>
      </c>
      <c r="C244" s="2" t="s">
        <v>49</v>
      </c>
      <c r="D244" s="2" t="s">
        <v>214</v>
      </c>
      <c r="E244" s="2" t="s">
        <v>50</v>
      </c>
      <c r="F244" s="2" t="s">
        <v>951</v>
      </c>
      <c r="G244" s="2" t="s">
        <v>34</v>
      </c>
      <c r="H244" s="2" t="s">
        <v>180</v>
      </c>
      <c r="I244" s="2" t="s">
        <v>37</v>
      </c>
      <c r="J244" s="2" t="s">
        <v>714</v>
      </c>
      <c r="K244" s="2" t="s">
        <v>38</v>
      </c>
      <c r="L244" s="2" t="s">
        <v>38</v>
      </c>
      <c r="M244" s="2" t="s">
        <v>1542</v>
      </c>
      <c r="N244" s="2" t="s">
        <v>38</v>
      </c>
      <c r="O244" s="2" t="s">
        <v>38</v>
      </c>
      <c r="P244" s="2" t="s">
        <v>38</v>
      </c>
      <c r="Q244" s="2" t="s">
        <v>942</v>
      </c>
      <c r="R244" s="2" t="s">
        <v>1367</v>
      </c>
      <c r="S244" s="2" t="s">
        <v>1058</v>
      </c>
      <c r="T244" s="2" t="s">
        <v>1633</v>
      </c>
      <c r="U244" s="2" t="s">
        <v>1759</v>
      </c>
      <c r="V244" s="2" t="s">
        <v>1398</v>
      </c>
      <c r="W244" s="2" t="s">
        <v>38</v>
      </c>
      <c r="X244" s="3">
        <v>41151</v>
      </c>
      <c r="Y244" s="2" t="s">
        <v>1863</v>
      </c>
      <c r="Z244" s="5">
        <v>221</v>
      </c>
      <c r="AA244" s="2" t="s">
        <v>672</v>
      </c>
      <c r="AB244" s="2" t="s">
        <v>1733</v>
      </c>
      <c r="AC244" s="12">
        <f t="shared" si="18"/>
        <v>2012</v>
      </c>
      <c r="AD244" s="12">
        <f t="shared" si="19"/>
        <v>8</v>
      </c>
      <c r="AE244" s="12">
        <f t="shared" si="20"/>
        <v>30</v>
      </c>
      <c r="AF244" s="16">
        <f t="shared" si="21"/>
        <v>21.5</v>
      </c>
      <c r="AG244" s="16" t="str">
        <f t="shared" si="22"/>
        <v/>
      </c>
      <c r="AH244" s="16">
        <f t="shared" si="23"/>
        <v>22.1</v>
      </c>
    </row>
    <row r="245" spans="1:34" x14ac:dyDescent="0.35">
      <c r="A245" s="2" t="s">
        <v>1866</v>
      </c>
      <c r="B245" s="2" t="s">
        <v>29</v>
      </c>
      <c r="C245" s="2" t="s">
        <v>49</v>
      </c>
      <c r="D245" s="2" t="s">
        <v>200</v>
      </c>
      <c r="E245" s="2" t="s">
        <v>714</v>
      </c>
      <c r="F245" s="2" t="s">
        <v>1074</v>
      </c>
      <c r="G245" s="2" t="s">
        <v>34</v>
      </c>
      <c r="H245" s="2" t="s">
        <v>270</v>
      </c>
      <c r="I245" s="2" t="s">
        <v>37</v>
      </c>
      <c r="J245" s="2" t="s">
        <v>714</v>
      </c>
      <c r="K245" s="2" t="s">
        <v>38</v>
      </c>
      <c r="L245" s="2" t="s">
        <v>38</v>
      </c>
      <c r="M245" s="2" t="s">
        <v>1605</v>
      </c>
      <c r="N245" s="2" t="s">
        <v>38</v>
      </c>
      <c r="O245" s="2" t="s">
        <v>38</v>
      </c>
      <c r="P245" s="2" t="s">
        <v>38</v>
      </c>
      <c r="Q245" s="2" t="s">
        <v>926</v>
      </c>
      <c r="R245" s="2" t="s">
        <v>1367</v>
      </c>
      <c r="S245" s="2" t="s">
        <v>1356</v>
      </c>
      <c r="T245" s="2" t="s">
        <v>1606</v>
      </c>
      <c r="U245" s="2" t="s">
        <v>205</v>
      </c>
      <c r="V245" s="2" t="s">
        <v>1769</v>
      </c>
      <c r="W245" s="2" t="s">
        <v>38</v>
      </c>
      <c r="X245" s="3">
        <v>41152</v>
      </c>
      <c r="Y245" s="2" t="s">
        <v>1870</v>
      </c>
      <c r="Z245" s="35">
        <v>223</v>
      </c>
      <c r="AA245" s="2" t="s">
        <v>672</v>
      </c>
      <c r="AB245" s="2" t="s">
        <v>1733</v>
      </c>
      <c r="AC245" s="12">
        <f t="shared" si="18"/>
        <v>2012</v>
      </c>
      <c r="AD245" s="12">
        <f t="shared" si="19"/>
        <v>8</v>
      </c>
      <c r="AE245" s="12">
        <f t="shared" si="20"/>
        <v>31</v>
      </c>
      <c r="AF245" s="16">
        <f t="shared" si="21"/>
        <v>22.1</v>
      </c>
      <c r="AG245" s="16" t="str">
        <f t="shared" si="22"/>
        <v/>
      </c>
      <c r="AH245" s="16">
        <f t="shared" si="23"/>
        <v>22.3</v>
      </c>
    </row>
    <row r="246" spans="1:34" x14ac:dyDescent="0.35">
      <c r="A246" s="2" t="s">
        <v>1871</v>
      </c>
      <c r="B246" s="2" t="s">
        <v>29</v>
      </c>
      <c r="C246" s="2" t="s">
        <v>49</v>
      </c>
      <c r="D246" s="2" t="s">
        <v>187</v>
      </c>
      <c r="E246" s="2" t="s">
        <v>50</v>
      </c>
      <c r="F246" s="2" t="s">
        <v>1149</v>
      </c>
      <c r="G246" s="2" t="s">
        <v>34</v>
      </c>
      <c r="H246" s="2" t="s">
        <v>331</v>
      </c>
      <c r="I246" s="2" t="s">
        <v>37</v>
      </c>
      <c r="J246" s="2" t="s">
        <v>714</v>
      </c>
      <c r="K246" s="2" t="s">
        <v>38</v>
      </c>
      <c r="L246" s="2" t="s">
        <v>38</v>
      </c>
      <c r="M246" s="2" t="s">
        <v>39</v>
      </c>
      <c r="N246" s="2" t="s">
        <v>38</v>
      </c>
      <c r="O246" s="2" t="s">
        <v>38</v>
      </c>
      <c r="P246" s="2" t="s">
        <v>38</v>
      </c>
      <c r="Q246" s="2" t="s">
        <v>942</v>
      </c>
      <c r="R246" s="2" t="s">
        <v>1367</v>
      </c>
      <c r="S246" s="2" t="s">
        <v>1081</v>
      </c>
      <c r="T246" s="2" t="s">
        <v>1329</v>
      </c>
      <c r="U246" s="2" t="s">
        <v>346</v>
      </c>
      <c r="V246" s="2" t="s">
        <v>761</v>
      </c>
      <c r="W246" s="2" t="s">
        <v>38</v>
      </c>
      <c r="X246" s="3">
        <v>41153</v>
      </c>
      <c r="Y246" s="2" t="s">
        <v>1872</v>
      </c>
      <c r="Z246" s="35">
        <v>221</v>
      </c>
      <c r="AA246" s="2" t="s">
        <v>1323</v>
      </c>
      <c r="AB246" s="2" t="s">
        <v>1869</v>
      </c>
      <c r="AC246" s="12">
        <f t="shared" si="18"/>
        <v>2012</v>
      </c>
      <c r="AD246" s="12">
        <f t="shared" si="19"/>
        <v>9</v>
      </c>
      <c r="AE246" s="12">
        <f t="shared" si="20"/>
        <v>1</v>
      </c>
      <c r="AF246" s="16">
        <f t="shared" si="21"/>
        <v>21.2</v>
      </c>
      <c r="AG246" s="16" t="str">
        <f t="shared" si="22"/>
        <v/>
      </c>
      <c r="AH246" s="16">
        <f t="shared" si="23"/>
        <v>22.1</v>
      </c>
    </row>
    <row r="247" spans="1:34" x14ac:dyDescent="0.35">
      <c r="A247" s="2" t="s">
        <v>1874</v>
      </c>
      <c r="B247" s="2" t="s">
        <v>29</v>
      </c>
      <c r="C247" s="2" t="s">
        <v>49</v>
      </c>
      <c r="D247" s="2" t="s">
        <v>214</v>
      </c>
      <c r="E247" s="2" t="s">
        <v>714</v>
      </c>
      <c r="F247" s="2" t="s">
        <v>1355</v>
      </c>
      <c r="G247" s="2" t="s">
        <v>34</v>
      </c>
      <c r="H247" s="2" t="s">
        <v>1513</v>
      </c>
      <c r="I247" s="2" t="s">
        <v>37</v>
      </c>
      <c r="J247" s="2" t="s">
        <v>714</v>
      </c>
      <c r="K247" s="2" t="s">
        <v>38</v>
      </c>
      <c r="L247" s="2" t="s">
        <v>38</v>
      </c>
      <c r="M247" s="2" t="s">
        <v>1532</v>
      </c>
      <c r="N247" s="2" t="s">
        <v>38</v>
      </c>
      <c r="O247" s="2" t="s">
        <v>38</v>
      </c>
      <c r="P247" s="2" t="s">
        <v>38</v>
      </c>
      <c r="Q247" s="2" t="s">
        <v>942</v>
      </c>
      <c r="R247" s="2" t="s">
        <v>41</v>
      </c>
      <c r="S247" s="2" t="s">
        <v>58</v>
      </c>
      <c r="T247" s="2" t="s">
        <v>1606</v>
      </c>
      <c r="U247" s="2" t="s">
        <v>219</v>
      </c>
      <c r="V247" s="2" t="s">
        <v>716</v>
      </c>
      <c r="W247" s="2" t="s">
        <v>38</v>
      </c>
      <c r="X247" s="3">
        <v>41154</v>
      </c>
      <c r="Y247" s="2" t="s">
        <v>1876</v>
      </c>
      <c r="Z247" s="5">
        <v>221</v>
      </c>
      <c r="AA247" s="2" t="s">
        <v>1323</v>
      </c>
      <c r="AB247" s="2" t="s">
        <v>1869</v>
      </c>
      <c r="AC247" s="12">
        <f t="shared" si="18"/>
        <v>2012</v>
      </c>
      <c r="AD247" s="12">
        <f t="shared" si="19"/>
        <v>9</v>
      </c>
      <c r="AE247" s="12">
        <f t="shared" si="20"/>
        <v>2</v>
      </c>
      <c r="AF247" s="16">
        <f t="shared" si="21"/>
        <v>22.4</v>
      </c>
      <c r="AG247" s="16" t="str">
        <f t="shared" si="22"/>
        <v/>
      </c>
      <c r="AH247" s="16">
        <f t="shared" si="23"/>
        <v>22.1</v>
      </c>
    </row>
    <row r="248" spans="1:34" x14ac:dyDescent="0.35">
      <c r="A248" s="2" t="s">
        <v>1877</v>
      </c>
      <c r="B248" s="2" t="s">
        <v>29</v>
      </c>
      <c r="C248" s="2" t="s">
        <v>49</v>
      </c>
      <c r="D248" s="2" t="s">
        <v>200</v>
      </c>
      <c r="E248" s="2" t="s">
        <v>306</v>
      </c>
      <c r="F248" s="2" t="s">
        <v>670</v>
      </c>
      <c r="G248" s="2" t="s">
        <v>34</v>
      </c>
      <c r="H248" s="2" t="s">
        <v>295</v>
      </c>
      <c r="I248" s="2" t="s">
        <v>37</v>
      </c>
      <c r="J248" s="2" t="s">
        <v>306</v>
      </c>
      <c r="K248" s="2" t="s">
        <v>38</v>
      </c>
      <c r="L248" s="2" t="s">
        <v>38</v>
      </c>
      <c r="M248" s="2" t="s">
        <v>1532</v>
      </c>
      <c r="N248" s="2" t="s">
        <v>38</v>
      </c>
      <c r="O248" s="2" t="s">
        <v>38</v>
      </c>
      <c r="P248" s="2" t="s">
        <v>38</v>
      </c>
      <c r="Q248" s="2" t="s">
        <v>1639</v>
      </c>
      <c r="R248" s="2" t="s">
        <v>1367</v>
      </c>
      <c r="S248" s="2" t="s">
        <v>1058</v>
      </c>
      <c r="T248" s="2" t="s">
        <v>1457</v>
      </c>
      <c r="U248" s="2" t="s">
        <v>303</v>
      </c>
      <c r="V248" s="2" t="s">
        <v>1880</v>
      </c>
      <c r="W248" s="2" t="s">
        <v>38</v>
      </c>
      <c r="X248" s="3">
        <v>41155</v>
      </c>
      <c r="Y248" s="2" t="s">
        <v>1881</v>
      </c>
      <c r="Z248" s="35">
        <v>226</v>
      </c>
      <c r="AA248" s="2" t="s">
        <v>1323</v>
      </c>
      <c r="AB248" s="2" t="s">
        <v>1869</v>
      </c>
      <c r="AC248" s="12">
        <f t="shared" si="18"/>
        <v>2012</v>
      </c>
      <c r="AD248" s="12">
        <f t="shared" si="19"/>
        <v>9</v>
      </c>
      <c r="AE248" s="12">
        <f t="shared" si="20"/>
        <v>3</v>
      </c>
      <c r="AF248" s="16">
        <f t="shared" si="21"/>
        <v>22.8</v>
      </c>
      <c r="AG248" s="16" t="str">
        <f t="shared" si="22"/>
        <v/>
      </c>
      <c r="AH248" s="16">
        <f t="shared" si="23"/>
        <v>22.6</v>
      </c>
    </row>
    <row r="249" spans="1:34" x14ac:dyDescent="0.35">
      <c r="A249" s="2" t="s">
        <v>1882</v>
      </c>
      <c r="B249" s="2" t="s">
        <v>29</v>
      </c>
      <c r="C249" s="2" t="s">
        <v>49</v>
      </c>
      <c r="D249" s="2" t="s">
        <v>306</v>
      </c>
      <c r="E249" s="2" t="s">
        <v>50</v>
      </c>
      <c r="F249" s="2" t="s">
        <v>645</v>
      </c>
      <c r="G249" s="2" t="s">
        <v>1372</v>
      </c>
      <c r="H249" s="2" t="s">
        <v>35</v>
      </c>
      <c r="I249" s="2" t="s">
        <v>37</v>
      </c>
      <c r="J249" s="2" t="s">
        <v>714</v>
      </c>
      <c r="K249" s="2" t="s">
        <v>38</v>
      </c>
      <c r="L249" s="2" t="s">
        <v>38</v>
      </c>
      <c r="M249" s="2" t="s">
        <v>1605</v>
      </c>
      <c r="N249" s="2" t="s">
        <v>38</v>
      </c>
      <c r="O249" s="2" t="s">
        <v>38</v>
      </c>
      <c r="P249" s="2" t="s">
        <v>38</v>
      </c>
      <c r="Q249" s="2" t="s">
        <v>1157</v>
      </c>
      <c r="R249" s="2" t="s">
        <v>1456</v>
      </c>
      <c r="S249" s="2" t="s">
        <v>58</v>
      </c>
      <c r="T249" s="2" t="s">
        <v>1885</v>
      </c>
      <c r="U249" s="2" t="s">
        <v>311</v>
      </c>
      <c r="V249" s="2" t="s">
        <v>1370</v>
      </c>
      <c r="W249" s="2" t="s">
        <v>38</v>
      </c>
      <c r="X249" s="3">
        <v>41156</v>
      </c>
      <c r="Y249" s="2" t="s">
        <v>1886</v>
      </c>
      <c r="Z249" s="5">
        <v>216</v>
      </c>
      <c r="AA249" s="2" t="s">
        <v>1323</v>
      </c>
      <c r="AB249" s="2" t="s">
        <v>1869</v>
      </c>
      <c r="AC249" s="12">
        <f t="shared" si="18"/>
        <v>2012</v>
      </c>
      <c r="AD249" s="12">
        <f t="shared" si="19"/>
        <v>9</v>
      </c>
      <c r="AE249" s="12">
        <f t="shared" si="20"/>
        <v>4</v>
      </c>
      <c r="AF249" s="16">
        <f t="shared" si="21"/>
        <v>21.3</v>
      </c>
      <c r="AG249" s="16" t="str">
        <f t="shared" si="22"/>
        <v/>
      </c>
      <c r="AH249" s="16">
        <f t="shared" si="23"/>
        <v>21.6</v>
      </c>
    </row>
    <row r="250" spans="1:34" x14ac:dyDescent="0.35">
      <c r="A250" s="2" t="s">
        <v>1887</v>
      </c>
      <c r="B250" s="2" t="s">
        <v>29</v>
      </c>
      <c r="C250" s="2" t="s">
        <v>49</v>
      </c>
      <c r="D250" s="2" t="s">
        <v>214</v>
      </c>
      <c r="E250" s="2" t="s">
        <v>50</v>
      </c>
      <c r="F250" s="2" t="s">
        <v>670</v>
      </c>
      <c r="G250" s="2" t="s">
        <v>1596</v>
      </c>
      <c r="H250" s="2" t="s">
        <v>137</v>
      </c>
      <c r="I250" s="2" t="s">
        <v>37</v>
      </c>
      <c r="J250" s="2" t="s">
        <v>50</v>
      </c>
      <c r="K250" s="2" t="s">
        <v>38</v>
      </c>
      <c r="L250" s="2" t="s">
        <v>38</v>
      </c>
      <c r="M250" s="2" t="s">
        <v>1597</v>
      </c>
      <c r="N250" s="2" t="s">
        <v>38</v>
      </c>
      <c r="O250" s="2" t="s">
        <v>38</v>
      </c>
      <c r="P250" s="2" t="s">
        <v>38</v>
      </c>
      <c r="Q250" s="2" t="s">
        <v>1115</v>
      </c>
      <c r="R250" s="2" t="s">
        <v>1456</v>
      </c>
      <c r="S250" s="2" t="s">
        <v>417</v>
      </c>
      <c r="T250" s="2" t="s">
        <v>1728</v>
      </c>
      <c r="U250" s="2" t="s">
        <v>1729</v>
      </c>
      <c r="V250" s="2" t="s">
        <v>1398</v>
      </c>
      <c r="W250" s="2" t="s">
        <v>38</v>
      </c>
      <c r="X250" s="3">
        <v>41157</v>
      </c>
      <c r="Y250" s="2" t="s">
        <v>1888</v>
      </c>
      <c r="Z250" s="35">
        <v>215</v>
      </c>
      <c r="AA250" s="2" t="s">
        <v>1323</v>
      </c>
      <c r="AB250" s="2" t="s">
        <v>1869</v>
      </c>
      <c r="AC250" s="12">
        <f t="shared" si="18"/>
        <v>2012</v>
      </c>
      <c r="AD250" s="12">
        <f t="shared" si="19"/>
        <v>9</v>
      </c>
      <c r="AE250" s="12">
        <f t="shared" si="20"/>
        <v>5</v>
      </c>
      <c r="AF250" s="16">
        <f t="shared" si="21"/>
        <v>21.5</v>
      </c>
      <c r="AG250" s="16" t="str">
        <f t="shared" si="22"/>
        <v/>
      </c>
      <c r="AH250" s="16">
        <f t="shared" si="23"/>
        <v>21.5</v>
      </c>
    </row>
    <row r="251" spans="1:34" x14ac:dyDescent="0.35">
      <c r="A251" s="2" t="s">
        <v>1891</v>
      </c>
      <c r="B251" s="2" t="s">
        <v>29</v>
      </c>
      <c r="C251" s="2" t="s">
        <v>49</v>
      </c>
      <c r="D251" s="2" t="s">
        <v>306</v>
      </c>
      <c r="E251" s="2" t="s">
        <v>714</v>
      </c>
      <c r="F251" s="2" t="s">
        <v>849</v>
      </c>
      <c r="G251" s="2" t="s">
        <v>1642</v>
      </c>
      <c r="H251" s="2" t="s">
        <v>342</v>
      </c>
      <c r="I251" s="2" t="s">
        <v>37</v>
      </c>
      <c r="J251" s="2" t="s">
        <v>714</v>
      </c>
      <c r="K251" s="2" t="s">
        <v>38</v>
      </c>
      <c r="L251" s="2" t="s">
        <v>38</v>
      </c>
      <c r="M251" s="2" t="s">
        <v>1605</v>
      </c>
      <c r="N251" s="2" t="s">
        <v>38</v>
      </c>
      <c r="O251" s="2" t="s">
        <v>38</v>
      </c>
      <c r="P251" s="2" t="s">
        <v>38</v>
      </c>
      <c r="Q251" s="2" t="s">
        <v>1220</v>
      </c>
      <c r="R251" s="2" t="s">
        <v>1029</v>
      </c>
      <c r="S251" s="2" t="s">
        <v>1506</v>
      </c>
      <c r="T251" s="2" t="s">
        <v>1606</v>
      </c>
      <c r="U251" s="2" t="s">
        <v>782</v>
      </c>
      <c r="V251" s="2" t="s">
        <v>1524</v>
      </c>
      <c r="W251" s="2" t="s">
        <v>38</v>
      </c>
      <c r="X251" s="3">
        <v>41158</v>
      </c>
      <c r="Y251" s="2" t="s">
        <v>1892</v>
      </c>
      <c r="Z251" s="5">
        <v>219</v>
      </c>
      <c r="AA251" s="2" t="s">
        <v>1323</v>
      </c>
      <c r="AB251" s="2" t="s">
        <v>1869</v>
      </c>
      <c r="AC251" s="12">
        <f t="shared" si="18"/>
        <v>2012</v>
      </c>
      <c r="AD251" s="12">
        <f t="shared" si="19"/>
        <v>9</v>
      </c>
      <c r="AE251" s="12">
        <f t="shared" si="20"/>
        <v>6</v>
      </c>
      <c r="AF251" s="16">
        <f t="shared" si="21"/>
        <v>21.7</v>
      </c>
      <c r="AG251" s="16" t="str">
        <f t="shared" si="22"/>
        <v/>
      </c>
      <c r="AH251" s="16">
        <f t="shared" si="23"/>
        <v>21.9</v>
      </c>
    </row>
    <row r="252" spans="1:34" x14ac:dyDescent="0.35">
      <c r="A252" s="2" t="s">
        <v>1895</v>
      </c>
      <c r="B252" s="2" t="s">
        <v>29</v>
      </c>
      <c r="C252" s="2" t="s">
        <v>49</v>
      </c>
      <c r="D252" s="2" t="s">
        <v>200</v>
      </c>
      <c r="E252" s="2" t="s">
        <v>579</v>
      </c>
      <c r="F252" s="2" t="s">
        <v>849</v>
      </c>
      <c r="G252" s="2" t="s">
        <v>34</v>
      </c>
      <c r="H252" s="2" t="s">
        <v>113</v>
      </c>
      <c r="I252" s="2" t="s">
        <v>37</v>
      </c>
      <c r="J252" s="2" t="s">
        <v>50</v>
      </c>
      <c r="K252" s="2" t="s">
        <v>38</v>
      </c>
      <c r="L252" s="2" t="s">
        <v>38</v>
      </c>
      <c r="M252" s="2" t="s">
        <v>1542</v>
      </c>
      <c r="N252" s="2" t="s">
        <v>38</v>
      </c>
      <c r="O252" s="2" t="s">
        <v>38</v>
      </c>
      <c r="P252" s="2" t="s">
        <v>38</v>
      </c>
      <c r="Q252" s="2" t="s">
        <v>1617</v>
      </c>
      <c r="R252" s="2" t="s">
        <v>1367</v>
      </c>
      <c r="S252" s="2" t="s">
        <v>1368</v>
      </c>
      <c r="T252" s="2" t="s">
        <v>1543</v>
      </c>
      <c r="U252" s="2" t="s">
        <v>1858</v>
      </c>
      <c r="V252" s="2" t="s">
        <v>1053</v>
      </c>
      <c r="W252" s="2" t="s">
        <v>38</v>
      </c>
      <c r="X252" s="3">
        <v>41159</v>
      </c>
      <c r="Y252" s="2" t="s">
        <v>1896</v>
      </c>
      <c r="Z252" s="35">
        <v>212</v>
      </c>
      <c r="AA252" s="2" t="s">
        <v>1323</v>
      </c>
      <c r="AB252" s="2" t="s">
        <v>1869</v>
      </c>
      <c r="AC252" s="12">
        <f t="shared" si="18"/>
        <v>2012</v>
      </c>
      <c r="AD252" s="12">
        <f t="shared" si="19"/>
        <v>9</v>
      </c>
      <c r="AE252" s="12">
        <f t="shared" si="20"/>
        <v>7</v>
      </c>
      <c r="AF252" s="16">
        <f t="shared" si="21"/>
        <v>20.100000000000001</v>
      </c>
      <c r="AG252" s="16" t="str">
        <f t="shared" si="22"/>
        <v/>
      </c>
      <c r="AH252" s="16">
        <f t="shared" si="23"/>
        <v>21.2</v>
      </c>
    </row>
    <row r="253" spans="1:34" x14ac:dyDescent="0.35">
      <c r="A253" s="2" t="s">
        <v>1898</v>
      </c>
      <c r="B253" s="2" t="s">
        <v>29</v>
      </c>
      <c r="C253" s="2" t="s">
        <v>49</v>
      </c>
      <c r="D253" s="2" t="s">
        <v>214</v>
      </c>
      <c r="E253" s="2" t="s">
        <v>50</v>
      </c>
      <c r="F253" s="2" t="s">
        <v>729</v>
      </c>
      <c r="G253" s="2" t="s">
        <v>34</v>
      </c>
      <c r="H253" s="2" t="s">
        <v>35</v>
      </c>
      <c r="I253" s="2" t="s">
        <v>37</v>
      </c>
      <c r="J253" s="2" t="s">
        <v>714</v>
      </c>
      <c r="K253" s="2" t="s">
        <v>38</v>
      </c>
      <c r="L253" s="2" t="s">
        <v>38</v>
      </c>
      <c r="M253" s="2" t="s">
        <v>1532</v>
      </c>
      <c r="N253" s="2" t="s">
        <v>38</v>
      </c>
      <c r="O253" s="2" t="s">
        <v>38</v>
      </c>
      <c r="P253" s="2" t="s">
        <v>38</v>
      </c>
      <c r="Q253" s="2" t="s">
        <v>1164</v>
      </c>
      <c r="R253" s="2" t="s">
        <v>1467</v>
      </c>
      <c r="S253" s="2" t="s">
        <v>58</v>
      </c>
      <c r="T253" s="2" t="s">
        <v>1457</v>
      </c>
      <c r="U253" s="2" t="s">
        <v>796</v>
      </c>
      <c r="V253" s="2" t="s">
        <v>1510</v>
      </c>
      <c r="W253" s="2" t="s">
        <v>38</v>
      </c>
      <c r="X253" s="3">
        <v>41160</v>
      </c>
      <c r="Y253" s="2" t="s">
        <v>1899</v>
      </c>
      <c r="Z253" s="5">
        <v>220</v>
      </c>
      <c r="AA253" s="2" t="s">
        <v>1323</v>
      </c>
      <c r="AB253" s="2" t="s">
        <v>1869</v>
      </c>
      <c r="AC253" s="12">
        <f t="shared" si="18"/>
        <v>2012</v>
      </c>
      <c r="AD253" s="12">
        <f t="shared" si="19"/>
        <v>9</v>
      </c>
      <c r="AE253" s="12">
        <f t="shared" si="20"/>
        <v>8</v>
      </c>
      <c r="AF253" s="16">
        <f t="shared" si="21"/>
        <v>21.4</v>
      </c>
      <c r="AG253" s="16" t="str">
        <f t="shared" si="22"/>
        <v/>
      </c>
      <c r="AH253" s="16">
        <f t="shared" si="23"/>
        <v>22</v>
      </c>
    </row>
    <row r="254" spans="1:34" x14ac:dyDescent="0.35">
      <c r="A254" s="2" t="s">
        <v>1902</v>
      </c>
      <c r="B254" s="2" t="s">
        <v>29</v>
      </c>
      <c r="C254" s="2" t="s">
        <v>49</v>
      </c>
      <c r="D254" s="2" t="s">
        <v>214</v>
      </c>
      <c r="E254" s="2" t="s">
        <v>50</v>
      </c>
      <c r="F254" s="2" t="s">
        <v>275</v>
      </c>
      <c r="G254" s="2" t="s">
        <v>1625</v>
      </c>
      <c r="H254" s="2" t="s">
        <v>209</v>
      </c>
      <c r="I254" s="2" t="s">
        <v>37</v>
      </c>
      <c r="J254" s="2" t="s">
        <v>714</v>
      </c>
      <c r="K254" s="2" t="s">
        <v>38</v>
      </c>
      <c r="L254" s="2" t="s">
        <v>38</v>
      </c>
      <c r="M254" s="2" t="s">
        <v>1532</v>
      </c>
      <c r="N254" s="2" t="s">
        <v>38</v>
      </c>
      <c r="O254" s="2" t="s">
        <v>38</v>
      </c>
      <c r="P254" s="2" t="s">
        <v>38</v>
      </c>
      <c r="Q254" s="2" t="s">
        <v>926</v>
      </c>
      <c r="R254" s="2" t="s">
        <v>1456</v>
      </c>
      <c r="S254" s="2" t="s">
        <v>1368</v>
      </c>
      <c r="T254" s="2" t="s">
        <v>1457</v>
      </c>
      <c r="U254" s="2" t="s">
        <v>796</v>
      </c>
      <c r="V254" s="2" t="s">
        <v>1432</v>
      </c>
      <c r="W254" s="2" t="s">
        <v>38</v>
      </c>
      <c r="X254" s="3">
        <v>41161</v>
      </c>
      <c r="Y254" s="2" t="s">
        <v>1904</v>
      </c>
      <c r="Z254" s="35">
        <v>223</v>
      </c>
      <c r="AA254" s="2" t="s">
        <v>1323</v>
      </c>
      <c r="AB254" s="2" t="s">
        <v>1869</v>
      </c>
      <c r="AC254" s="12">
        <f t="shared" si="18"/>
        <v>2012</v>
      </c>
      <c r="AD254" s="12">
        <f t="shared" si="19"/>
        <v>9</v>
      </c>
      <c r="AE254" s="12">
        <f t="shared" si="20"/>
        <v>9</v>
      </c>
      <c r="AF254" s="16">
        <f t="shared" si="21"/>
        <v>20.8</v>
      </c>
      <c r="AG254" s="16" t="str">
        <f t="shared" si="22"/>
        <v/>
      </c>
      <c r="AH254" s="16">
        <f t="shared" si="23"/>
        <v>22.3</v>
      </c>
    </row>
    <row r="255" spans="1:34" x14ac:dyDescent="0.35">
      <c r="A255" s="2" t="s">
        <v>1905</v>
      </c>
      <c r="B255" s="2" t="s">
        <v>29</v>
      </c>
      <c r="C255" s="2" t="s">
        <v>49</v>
      </c>
      <c r="D255" s="2" t="s">
        <v>214</v>
      </c>
      <c r="E255" s="2" t="s">
        <v>306</v>
      </c>
      <c r="F255" s="2" t="s">
        <v>330</v>
      </c>
      <c r="G255" s="2" t="s">
        <v>1642</v>
      </c>
      <c r="H255" s="2" t="s">
        <v>87</v>
      </c>
      <c r="I255" s="2" t="s">
        <v>37</v>
      </c>
      <c r="J255" s="2" t="s">
        <v>714</v>
      </c>
      <c r="K255" s="2" t="s">
        <v>38</v>
      </c>
      <c r="L255" s="2" t="s">
        <v>38</v>
      </c>
      <c r="M255" s="2" t="s">
        <v>1605</v>
      </c>
      <c r="N255" s="2" t="s">
        <v>38</v>
      </c>
      <c r="O255" s="2" t="s">
        <v>38</v>
      </c>
      <c r="P255" s="2" t="s">
        <v>38</v>
      </c>
      <c r="Q255" s="2" t="s">
        <v>942</v>
      </c>
      <c r="R255" s="2" t="s">
        <v>1029</v>
      </c>
      <c r="S255" s="2" t="s">
        <v>1356</v>
      </c>
      <c r="T255" s="2" t="s">
        <v>1606</v>
      </c>
      <c r="U255" s="2" t="s">
        <v>778</v>
      </c>
      <c r="V255" s="2" t="s">
        <v>1458</v>
      </c>
      <c r="W255" s="2" t="s">
        <v>38</v>
      </c>
      <c r="X255" s="3">
        <v>41162</v>
      </c>
      <c r="Y255" s="2" t="s">
        <v>1908</v>
      </c>
      <c r="Z255" s="5">
        <v>221</v>
      </c>
      <c r="AA255" s="2" t="s">
        <v>1323</v>
      </c>
      <c r="AB255" s="2" t="s">
        <v>1869</v>
      </c>
      <c r="AC255" s="12">
        <f t="shared" si="18"/>
        <v>2012</v>
      </c>
      <c r="AD255" s="12">
        <f t="shared" si="19"/>
        <v>9</v>
      </c>
      <c r="AE255" s="12">
        <f t="shared" si="20"/>
        <v>10</v>
      </c>
      <c r="AF255" s="16">
        <f t="shared" si="21"/>
        <v>22.6</v>
      </c>
      <c r="AG255" s="16" t="str">
        <f t="shared" si="22"/>
        <v/>
      </c>
      <c r="AH255" s="16">
        <f t="shared" si="23"/>
        <v>22.1</v>
      </c>
    </row>
    <row r="256" spans="1:34" x14ac:dyDescent="0.35">
      <c r="A256" s="2" t="s">
        <v>1909</v>
      </c>
      <c r="B256" s="2" t="s">
        <v>29</v>
      </c>
      <c r="C256" s="2" t="s">
        <v>49</v>
      </c>
      <c r="D256" s="2" t="s">
        <v>306</v>
      </c>
      <c r="E256" s="2" t="s">
        <v>50</v>
      </c>
      <c r="F256" s="2" t="s">
        <v>1389</v>
      </c>
      <c r="G256" s="2" t="s">
        <v>1724</v>
      </c>
      <c r="H256" s="2" t="s">
        <v>173</v>
      </c>
      <c r="I256" s="2" t="s">
        <v>37</v>
      </c>
      <c r="J256" s="2" t="s">
        <v>50</v>
      </c>
      <c r="K256" s="2" t="s">
        <v>38</v>
      </c>
      <c r="L256" s="2" t="s">
        <v>38</v>
      </c>
      <c r="M256" s="2" t="s">
        <v>1605</v>
      </c>
      <c r="N256" s="2" t="s">
        <v>38</v>
      </c>
      <c r="O256" s="2" t="s">
        <v>38</v>
      </c>
      <c r="P256" s="2" t="s">
        <v>38</v>
      </c>
      <c r="Q256" s="2" t="s">
        <v>1115</v>
      </c>
      <c r="R256" s="2" t="s">
        <v>1029</v>
      </c>
      <c r="S256" s="2" t="s">
        <v>1461</v>
      </c>
      <c r="T256" s="2" t="s">
        <v>1649</v>
      </c>
      <c r="U256" s="2" t="s">
        <v>1889</v>
      </c>
      <c r="V256" s="2" t="s">
        <v>1510</v>
      </c>
      <c r="W256" s="2" t="s">
        <v>38</v>
      </c>
      <c r="X256" s="3">
        <v>41163</v>
      </c>
      <c r="Y256" s="2" t="s">
        <v>1910</v>
      </c>
      <c r="Z256" s="5">
        <v>215</v>
      </c>
      <c r="AA256" s="2" t="s">
        <v>1323</v>
      </c>
      <c r="AB256" s="2" t="s">
        <v>1869</v>
      </c>
      <c r="AC256" s="12">
        <f t="shared" si="18"/>
        <v>2012</v>
      </c>
      <c r="AD256" s="12">
        <f t="shared" si="19"/>
        <v>9</v>
      </c>
      <c r="AE256" s="12">
        <f t="shared" si="20"/>
        <v>11</v>
      </c>
      <c r="AF256" s="16">
        <f t="shared" si="21"/>
        <v>21.4</v>
      </c>
      <c r="AG256" s="16" t="str">
        <f t="shared" si="22"/>
        <v/>
      </c>
      <c r="AH256" s="16">
        <f t="shared" si="23"/>
        <v>21.5</v>
      </c>
    </row>
    <row r="257" spans="1:34" x14ac:dyDescent="0.35">
      <c r="A257" s="2" t="s">
        <v>1912</v>
      </c>
      <c r="B257" s="2" t="s">
        <v>29</v>
      </c>
      <c r="C257" s="2" t="s">
        <v>49</v>
      </c>
      <c r="D257" s="2" t="s">
        <v>214</v>
      </c>
      <c r="E257" s="2" t="s">
        <v>579</v>
      </c>
      <c r="F257" s="2" t="s">
        <v>1389</v>
      </c>
      <c r="G257" s="2" t="s">
        <v>34</v>
      </c>
      <c r="H257" s="2" t="s">
        <v>113</v>
      </c>
      <c r="I257" s="2" t="s">
        <v>37</v>
      </c>
      <c r="J257" s="2" t="s">
        <v>50</v>
      </c>
      <c r="K257" s="2" t="s">
        <v>38</v>
      </c>
      <c r="L257" s="2" t="s">
        <v>38</v>
      </c>
      <c r="M257" s="2" t="s">
        <v>1532</v>
      </c>
      <c r="N257" s="2" t="s">
        <v>38</v>
      </c>
      <c r="O257" s="2" t="s">
        <v>38</v>
      </c>
      <c r="P257" s="2" t="s">
        <v>38</v>
      </c>
      <c r="Q257" s="2" t="s">
        <v>1382</v>
      </c>
      <c r="R257" s="2" t="s">
        <v>1367</v>
      </c>
      <c r="S257" s="2" t="s">
        <v>975</v>
      </c>
      <c r="T257" s="2" t="s">
        <v>1472</v>
      </c>
      <c r="U257" s="2" t="s">
        <v>796</v>
      </c>
      <c r="V257" s="2" t="s">
        <v>1358</v>
      </c>
      <c r="W257" s="2" t="s">
        <v>38</v>
      </c>
      <c r="X257" s="3">
        <v>41164</v>
      </c>
      <c r="Y257" s="2" t="s">
        <v>1913</v>
      </c>
      <c r="Z257" s="35">
        <v>206</v>
      </c>
      <c r="AA257" s="2" t="s">
        <v>1323</v>
      </c>
      <c r="AB257" s="2" t="s">
        <v>1869</v>
      </c>
      <c r="AC257" s="12">
        <f t="shared" si="18"/>
        <v>2012</v>
      </c>
      <c r="AD257" s="12">
        <f t="shared" si="19"/>
        <v>9</v>
      </c>
      <c r="AE257" s="12">
        <f t="shared" si="20"/>
        <v>12</v>
      </c>
      <c r="AF257" s="16">
        <f t="shared" si="21"/>
        <v>20.399999999999999</v>
      </c>
      <c r="AG257" s="16" t="str">
        <f t="shared" si="22"/>
        <v/>
      </c>
      <c r="AH257" s="16">
        <f t="shared" si="23"/>
        <v>20.6</v>
      </c>
    </row>
    <row r="258" spans="1:34" x14ac:dyDescent="0.35">
      <c r="A258" s="2" t="s">
        <v>1915</v>
      </c>
      <c r="B258" s="2" t="s">
        <v>29</v>
      </c>
      <c r="C258" s="2" t="s">
        <v>49</v>
      </c>
      <c r="D258" s="2" t="s">
        <v>214</v>
      </c>
      <c r="E258" s="2" t="s">
        <v>579</v>
      </c>
      <c r="F258" s="2" t="s">
        <v>462</v>
      </c>
      <c r="G258" s="2" t="s">
        <v>34</v>
      </c>
      <c r="H258" s="2" t="s">
        <v>144</v>
      </c>
      <c r="I258" s="2" t="s">
        <v>37</v>
      </c>
      <c r="J258" s="2" t="s">
        <v>579</v>
      </c>
      <c r="K258" s="2" t="s">
        <v>38</v>
      </c>
      <c r="L258" s="2" t="s">
        <v>38</v>
      </c>
      <c r="M258" s="2" t="s">
        <v>1532</v>
      </c>
      <c r="N258" s="2" t="s">
        <v>38</v>
      </c>
      <c r="O258" s="2" t="s">
        <v>38</v>
      </c>
      <c r="P258" s="2" t="s">
        <v>38</v>
      </c>
      <c r="Q258" s="2" t="s">
        <v>1916</v>
      </c>
      <c r="R258" s="2" t="s">
        <v>1367</v>
      </c>
      <c r="S258" s="2" t="s">
        <v>1356</v>
      </c>
      <c r="T258" s="2" t="s">
        <v>1457</v>
      </c>
      <c r="U258" s="2" t="s">
        <v>778</v>
      </c>
      <c r="V258" s="2" t="s">
        <v>1301</v>
      </c>
      <c r="W258" s="2" t="s">
        <v>38</v>
      </c>
      <c r="X258" s="3">
        <v>41165</v>
      </c>
      <c r="Y258" s="2" t="s">
        <v>1917</v>
      </c>
      <c r="Z258" s="5">
        <v>196</v>
      </c>
      <c r="AA258" s="2" t="s">
        <v>1323</v>
      </c>
      <c r="AB258" s="2" t="s">
        <v>1869</v>
      </c>
      <c r="AC258" s="12">
        <f t="shared" ref="AC258:AC321" si="24">YEAR(X258)</f>
        <v>2012</v>
      </c>
      <c r="AD258" s="12">
        <f t="shared" ref="AD258:AD321" si="25">MONTH(X258)</f>
        <v>9</v>
      </c>
      <c r="AE258" s="12">
        <f t="shared" ref="AE258:AE321" si="26">DAY(X258)</f>
        <v>13</v>
      </c>
      <c r="AF258" s="16">
        <f t="shared" ref="AF258:AF321" si="27">IF(LEN(V258)&gt;0,V258/10,"")</f>
        <v>20.2</v>
      </c>
      <c r="AG258" s="16" t="str">
        <f t="shared" ref="AG258:AG321" si="28">IF(LEN(P258)&gt;0,P258/10,"")</f>
        <v/>
      </c>
      <c r="AH258" s="16">
        <f t="shared" ref="AH258:AH321" si="29">IF(LEN(Q258)&gt;0,Q258/10,"")</f>
        <v>19.600000000000001</v>
      </c>
    </row>
    <row r="259" spans="1:34" x14ac:dyDescent="0.35">
      <c r="A259" s="2" t="s">
        <v>1919</v>
      </c>
      <c r="B259" s="2" t="s">
        <v>29</v>
      </c>
      <c r="C259" s="2" t="s">
        <v>49</v>
      </c>
      <c r="D259" s="2" t="s">
        <v>214</v>
      </c>
      <c r="E259" s="2" t="s">
        <v>50</v>
      </c>
      <c r="F259" s="2" t="s">
        <v>1920</v>
      </c>
      <c r="G259" s="2" t="s">
        <v>34</v>
      </c>
      <c r="H259" s="2" t="s">
        <v>331</v>
      </c>
      <c r="I259" s="2" t="s">
        <v>37</v>
      </c>
      <c r="J259" s="2" t="s">
        <v>579</v>
      </c>
      <c r="K259" s="2" t="s">
        <v>38</v>
      </c>
      <c r="L259" s="2" t="s">
        <v>38</v>
      </c>
      <c r="M259" s="2" t="s">
        <v>1532</v>
      </c>
      <c r="N259" s="2" t="s">
        <v>38</v>
      </c>
      <c r="O259" s="2" t="s">
        <v>38</v>
      </c>
      <c r="P259" s="2" t="s">
        <v>38</v>
      </c>
      <c r="Q259" s="2" t="s">
        <v>919</v>
      </c>
      <c r="R259" s="2" t="s">
        <v>1367</v>
      </c>
      <c r="S259" s="2" t="s">
        <v>975</v>
      </c>
      <c r="T259" s="2" t="s">
        <v>1472</v>
      </c>
      <c r="U259" s="2" t="s">
        <v>1671</v>
      </c>
      <c r="V259" s="2" t="s">
        <v>1364</v>
      </c>
      <c r="W259" s="2" t="s">
        <v>38</v>
      </c>
      <c r="X259" s="3">
        <v>41166</v>
      </c>
      <c r="Y259" s="2" t="s">
        <v>1921</v>
      </c>
      <c r="Z259" s="35">
        <v>200</v>
      </c>
      <c r="AA259" s="2" t="s">
        <v>1323</v>
      </c>
      <c r="AB259" s="2" t="s">
        <v>1869</v>
      </c>
      <c r="AC259" s="12">
        <f t="shared" si="24"/>
        <v>2012</v>
      </c>
      <c r="AD259" s="12">
        <f t="shared" si="25"/>
        <v>9</v>
      </c>
      <c r="AE259" s="12">
        <f t="shared" si="26"/>
        <v>14</v>
      </c>
      <c r="AF259" s="16">
        <f t="shared" si="27"/>
        <v>20.7</v>
      </c>
      <c r="AG259" s="16" t="str">
        <f t="shared" si="28"/>
        <v/>
      </c>
      <c r="AH259" s="16">
        <f t="shared" si="29"/>
        <v>20</v>
      </c>
    </row>
    <row r="260" spans="1:34" x14ac:dyDescent="0.35">
      <c r="A260" s="2" t="s">
        <v>1923</v>
      </c>
      <c r="B260" s="2" t="s">
        <v>29</v>
      </c>
      <c r="C260" s="2" t="s">
        <v>49</v>
      </c>
      <c r="D260" s="2" t="s">
        <v>306</v>
      </c>
      <c r="E260" s="2" t="s">
        <v>50</v>
      </c>
      <c r="F260" s="2" t="s">
        <v>1114</v>
      </c>
      <c r="G260" s="2" t="s">
        <v>1924</v>
      </c>
      <c r="H260" s="2" t="s">
        <v>246</v>
      </c>
      <c r="I260" s="2" t="s">
        <v>37</v>
      </c>
      <c r="J260" s="2" t="s">
        <v>50</v>
      </c>
      <c r="K260" s="2" t="s">
        <v>38</v>
      </c>
      <c r="L260" s="2" t="s">
        <v>38</v>
      </c>
      <c r="M260" s="2" t="s">
        <v>1605</v>
      </c>
      <c r="N260" s="2" t="s">
        <v>38</v>
      </c>
      <c r="O260" s="2" t="s">
        <v>38</v>
      </c>
      <c r="P260" s="2" t="s">
        <v>38</v>
      </c>
      <c r="Q260" s="2" t="s">
        <v>1617</v>
      </c>
      <c r="R260" s="2" t="s">
        <v>1029</v>
      </c>
      <c r="S260" s="2" t="s">
        <v>1058</v>
      </c>
      <c r="T260" s="2" t="s">
        <v>1649</v>
      </c>
      <c r="U260" s="2" t="s">
        <v>1860</v>
      </c>
      <c r="V260" s="2" t="s">
        <v>1480</v>
      </c>
      <c r="W260" s="2" t="s">
        <v>38</v>
      </c>
      <c r="X260" s="3">
        <v>41167</v>
      </c>
      <c r="Y260" s="2" t="s">
        <v>1925</v>
      </c>
      <c r="Z260" s="35">
        <v>212</v>
      </c>
      <c r="AA260" s="2" t="s">
        <v>1323</v>
      </c>
      <c r="AB260" s="2" t="s">
        <v>1869</v>
      </c>
      <c r="AC260" s="12">
        <f t="shared" si="24"/>
        <v>2012</v>
      </c>
      <c r="AD260" s="12">
        <f t="shared" si="25"/>
        <v>9</v>
      </c>
      <c r="AE260" s="12">
        <f t="shared" si="26"/>
        <v>15</v>
      </c>
      <c r="AF260" s="16">
        <f t="shared" si="27"/>
        <v>21.1</v>
      </c>
      <c r="AG260" s="16" t="str">
        <f t="shared" si="28"/>
        <v/>
      </c>
      <c r="AH260" s="16">
        <f t="shared" si="29"/>
        <v>21.2</v>
      </c>
    </row>
    <row r="261" spans="1:34" x14ac:dyDescent="0.35">
      <c r="A261" s="2" t="s">
        <v>1927</v>
      </c>
      <c r="B261" s="2" t="s">
        <v>29</v>
      </c>
      <c r="C261" s="2" t="s">
        <v>49</v>
      </c>
      <c r="D261" s="2" t="s">
        <v>306</v>
      </c>
      <c r="E261" s="2" t="s">
        <v>50</v>
      </c>
      <c r="F261" s="2" t="s">
        <v>1277</v>
      </c>
      <c r="G261" s="2" t="s">
        <v>1648</v>
      </c>
      <c r="H261" s="2" t="s">
        <v>371</v>
      </c>
      <c r="I261" s="2" t="s">
        <v>37</v>
      </c>
      <c r="J261" s="2" t="s">
        <v>50</v>
      </c>
      <c r="K261" s="2" t="s">
        <v>38</v>
      </c>
      <c r="L261" s="2" t="s">
        <v>38</v>
      </c>
      <c r="M261" s="2" t="s">
        <v>1532</v>
      </c>
      <c r="N261" s="2" t="s">
        <v>38</v>
      </c>
      <c r="O261" s="2" t="s">
        <v>38</v>
      </c>
      <c r="P261" s="2" t="s">
        <v>38</v>
      </c>
      <c r="Q261" s="2" t="s">
        <v>994</v>
      </c>
      <c r="R261" s="2" t="s">
        <v>1456</v>
      </c>
      <c r="S261" s="2" t="s">
        <v>1368</v>
      </c>
      <c r="T261" s="2" t="s">
        <v>1457</v>
      </c>
      <c r="U261" s="2" t="s">
        <v>1517</v>
      </c>
      <c r="V261" s="2" t="s">
        <v>60</v>
      </c>
      <c r="W261" s="2" t="s">
        <v>38</v>
      </c>
      <c r="X261" s="3">
        <v>41168</v>
      </c>
      <c r="Y261" s="2" t="s">
        <v>1928</v>
      </c>
      <c r="Z261" s="5">
        <v>213</v>
      </c>
      <c r="AA261" s="2" t="s">
        <v>1323</v>
      </c>
      <c r="AB261" s="2" t="s">
        <v>1869</v>
      </c>
      <c r="AC261" s="12">
        <f t="shared" si="24"/>
        <v>2012</v>
      </c>
      <c r="AD261" s="12">
        <f t="shared" si="25"/>
        <v>9</v>
      </c>
      <c r="AE261" s="12">
        <f t="shared" si="26"/>
        <v>16</v>
      </c>
      <c r="AF261" s="16">
        <f t="shared" si="27"/>
        <v>20.6</v>
      </c>
      <c r="AG261" s="16" t="str">
        <f t="shared" si="28"/>
        <v/>
      </c>
      <c r="AH261" s="16">
        <f t="shared" si="29"/>
        <v>21.3</v>
      </c>
    </row>
    <row r="262" spans="1:34" x14ac:dyDescent="0.35">
      <c r="A262" s="2" t="s">
        <v>1930</v>
      </c>
      <c r="B262" s="2" t="s">
        <v>29</v>
      </c>
      <c r="C262" s="2" t="s">
        <v>49</v>
      </c>
      <c r="D262" s="2" t="s">
        <v>214</v>
      </c>
      <c r="E262" s="2" t="s">
        <v>50</v>
      </c>
      <c r="F262" s="2" t="s">
        <v>1277</v>
      </c>
      <c r="G262" s="2" t="s">
        <v>34</v>
      </c>
      <c r="H262" s="2" t="s">
        <v>79</v>
      </c>
      <c r="I262" s="2" t="s">
        <v>37</v>
      </c>
      <c r="J262" s="2" t="s">
        <v>596</v>
      </c>
      <c r="K262" s="2" t="s">
        <v>38</v>
      </c>
      <c r="L262" s="2" t="s">
        <v>38</v>
      </c>
      <c r="M262" s="2" t="s">
        <v>1532</v>
      </c>
      <c r="N262" s="2" t="s">
        <v>38</v>
      </c>
      <c r="O262" s="2" t="s">
        <v>38</v>
      </c>
      <c r="P262" s="2" t="s">
        <v>38</v>
      </c>
      <c r="Q262" s="2" t="s">
        <v>1735</v>
      </c>
      <c r="R262" s="2" t="s">
        <v>1367</v>
      </c>
      <c r="S262" s="2" t="s">
        <v>975</v>
      </c>
      <c r="T262" s="2" t="s">
        <v>1472</v>
      </c>
      <c r="U262" s="2" t="s">
        <v>1671</v>
      </c>
      <c r="V262" s="2" t="s">
        <v>701</v>
      </c>
      <c r="W262" s="2" t="s">
        <v>38</v>
      </c>
      <c r="X262" s="3">
        <v>41169</v>
      </c>
      <c r="Y262" s="2" t="s">
        <v>1933</v>
      </c>
      <c r="Z262" s="5">
        <v>192</v>
      </c>
      <c r="AA262" s="2" t="s">
        <v>1323</v>
      </c>
      <c r="AB262" s="2" t="s">
        <v>1869</v>
      </c>
      <c r="AC262" s="12">
        <f t="shared" si="24"/>
        <v>2012</v>
      </c>
      <c r="AD262" s="12">
        <f t="shared" si="25"/>
        <v>9</v>
      </c>
      <c r="AE262" s="12">
        <f t="shared" si="26"/>
        <v>17</v>
      </c>
      <c r="AF262" s="16">
        <f t="shared" si="27"/>
        <v>21</v>
      </c>
      <c r="AG262" s="16" t="str">
        <f t="shared" si="28"/>
        <v/>
      </c>
      <c r="AH262" s="16">
        <f t="shared" si="29"/>
        <v>19.2</v>
      </c>
    </row>
    <row r="263" spans="1:34" x14ac:dyDescent="0.35">
      <c r="A263" s="2" t="s">
        <v>1934</v>
      </c>
      <c r="B263" s="2" t="s">
        <v>29</v>
      </c>
      <c r="C263" s="2" t="s">
        <v>49</v>
      </c>
      <c r="D263" s="2" t="s">
        <v>214</v>
      </c>
      <c r="E263" s="2" t="s">
        <v>579</v>
      </c>
      <c r="F263" s="2" t="s">
        <v>955</v>
      </c>
      <c r="G263" s="2" t="s">
        <v>34</v>
      </c>
      <c r="H263" s="2" t="s">
        <v>428</v>
      </c>
      <c r="I263" s="2" t="s">
        <v>37</v>
      </c>
      <c r="J263" s="2" t="s">
        <v>579</v>
      </c>
      <c r="K263" s="2" t="s">
        <v>38</v>
      </c>
      <c r="L263" s="2" t="s">
        <v>38</v>
      </c>
      <c r="M263" s="2" t="s">
        <v>39</v>
      </c>
      <c r="N263" s="2" t="s">
        <v>38</v>
      </c>
      <c r="O263" s="2" t="s">
        <v>38</v>
      </c>
      <c r="P263" s="2" t="s">
        <v>38</v>
      </c>
      <c r="Q263" s="2" t="s">
        <v>1225</v>
      </c>
      <c r="R263" s="2" t="s">
        <v>41</v>
      </c>
      <c r="S263" s="2" t="s">
        <v>167</v>
      </c>
      <c r="T263" s="2" t="s">
        <v>417</v>
      </c>
      <c r="U263" s="2" t="s">
        <v>778</v>
      </c>
      <c r="V263" s="2" t="s">
        <v>1352</v>
      </c>
      <c r="W263" s="2" t="s">
        <v>38</v>
      </c>
      <c r="X263" s="3">
        <v>41170</v>
      </c>
      <c r="Y263" s="2" t="s">
        <v>1935</v>
      </c>
      <c r="Z263" s="35">
        <v>198</v>
      </c>
      <c r="AA263" s="2" t="s">
        <v>1323</v>
      </c>
      <c r="AB263" s="2" t="s">
        <v>1869</v>
      </c>
      <c r="AC263" s="12">
        <f t="shared" si="24"/>
        <v>2012</v>
      </c>
      <c r="AD263" s="12">
        <f t="shared" si="25"/>
        <v>9</v>
      </c>
      <c r="AE263" s="12">
        <f t="shared" si="26"/>
        <v>18</v>
      </c>
      <c r="AF263" s="16">
        <f t="shared" si="27"/>
        <v>19.899999999999999</v>
      </c>
      <c r="AG263" s="16" t="str">
        <f t="shared" si="28"/>
        <v/>
      </c>
      <c r="AH263" s="16">
        <f t="shared" si="29"/>
        <v>19.8</v>
      </c>
    </row>
    <row r="264" spans="1:34" x14ac:dyDescent="0.35">
      <c r="A264" s="2" t="s">
        <v>1937</v>
      </c>
      <c r="B264" s="2" t="s">
        <v>29</v>
      </c>
      <c r="C264" s="2" t="s">
        <v>49</v>
      </c>
      <c r="D264" s="2" t="s">
        <v>306</v>
      </c>
      <c r="E264" s="2" t="s">
        <v>579</v>
      </c>
      <c r="F264" s="2" t="s">
        <v>974</v>
      </c>
      <c r="G264" s="2" t="s">
        <v>34</v>
      </c>
      <c r="H264" s="2" t="s">
        <v>202</v>
      </c>
      <c r="I264" s="2" t="s">
        <v>37</v>
      </c>
      <c r="J264" s="2" t="s">
        <v>579</v>
      </c>
      <c r="K264" s="2" t="s">
        <v>38</v>
      </c>
      <c r="L264" s="2" t="s">
        <v>38</v>
      </c>
      <c r="M264" s="2" t="s">
        <v>1605</v>
      </c>
      <c r="N264" s="2" t="s">
        <v>38</v>
      </c>
      <c r="O264" s="2" t="s">
        <v>38</v>
      </c>
      <c r="P264" s="2" t="s">
        <v>38</v>
      </c>
      <c r="Q264" s="2" t="s">
        <v>1938</v>
      </c>
      <c r="R264" s="2" t="s">
        <v>1367</v>
      </c>
      <c r="S264" s="2" t="s">
        <v>1893</v>
      </c>
      <c r="T264" s="2" t="s">
        <v>1606</v>
      </c>
      <c r="U264" s="2" t="s">
        <v>1517</v>
      </c>
      <c r="V264" s="2" t="s">
        <v>1352</v>
      </c>
      <c r="W264" s="2" t="s">
        <v>38</v>
      </c>
      <c r="X264" s="3">
        <v>41171</v>
      </c>
      <c r="Y264" s="2" t="s">
        <v>1939</v>
      </c>
      <c r="Z264" s="35">
        <v>201</v>
      </c>
      <c r="AA264" s="2" t="s">
        <v>1323</v>
      </c>
      <c r="AB264" s="2" t="s">
        <v>1869</v>
      </c>
      <c r="AC264" s="12">
        <f t="shared" si="24"/>
        <v>2012</v>
      </c>
      <c r="AD264" s="12">
        <f t="shared" si="25"/>
        <v>9</v>
      </c>
      <c r="AE264" s="12">
        <f t="shared" si="26"/>
        <v>19</v>
      </c>
      <c r="AF264" s="16">
        <f t="shared" si="27"/>
        <v>19.899999999999999</v>
      </c>
      <c r="AG264" s="16" t="str">
        <f t="shared" si="28"/>
        <v/>
      </c>
      <c r="AH264" s="16">
        <f t="shared" si="29"/>
        <v>20.100000000000001</v>
      </c>
    </row>
    <row r="265" spans="1:34" x14ac:dyDescent="0.35">
      <c r="A265" s="2" t="s">
        <v>1941</v>
      </c>
      <c r="B265" s="2" t="s">
        <v>29</v>
      </c>
      <c r="C265" s="2" t="s">
        <v>49</v>
      </c>
      <c r="D265" s="2" t="s">
        <v>214</v>
      </c>
      <c r="E265" s="2" t="s">
        <v>50</v>
      </c>
      <c r="F265" s="2" t="s">
        <v>667</v>
      </c>
      <c r="G265" s="2" t="s">
        <v>34</v>
      </c>
      <c r="H265" s="2" t="s">
        <v>233</v>
      </c>
      <c r="I265" s="2" t="s">
        <v>37</v>
      </c>
      <c r="J265" s="2" t="s">
        <v>714</v>
      </c>
      <c r="K265" s="2" t="s">
        <v>38</v>
      </c>
      <c r="L265" s="2" t="s">
        <v>38</v>
      </c>
      <c r="M265" s="2" t="s">
        <v>39</v>
      </c>
      <c r="N265" s="2" t="s">
        <v>38</v>
      </c>
      <c r="O265" s="2" t="s">
        <v>38</v>
      </c>
      <c r="P265" s="2" t="s">
        <v>38</v>
      </c>
      <c r="Q265" s="2" t="s">
        <v>1157</v>
      </c>
      <c r="R265" s="2" t="s">
        <v>1367</v>
      </c>
      <c r="S265" s="2" t="s">
        <v>122</v>
      </c>
      <c r="T265" s="2" t="s">
        <v>1357</v>
      </c>
      <c r="U265" s="2" t="s">
        <v>1671</v>
      </c>
      <c r="V265" s="2" t="s">
        <v>1364</v>
      </c>
      <c r="W265" s="2" t="s">
        <v>38</v>
      </c>
      <c r="X265" s="3">
        <v>41172</v>
      </c>
      <c r="Y265" s="2" t="s">
        <v>1942</v>
      </c>
      <c r="Z265" s="5">
        <v>216</v>
      </c>
      <c r="AA265" s="2" t="s">
        <v>1323</v>
      </c>
      <c r="AB265" s="2" t="s">
        <v>1869</v>
      </c>
      <c r="AC265" s="12">
        <f t="shared" si="24"/>
        <v>2012</v>
      </c>
      <c r="AD265" s="12">
        <f t="shared" si="25"/>
        <v>9</v>
      </c>
      <c r="AE265" s="12">
        <f t="shared" si="26"/>
        <v>20</v>
      </c>
      <c r="AF265" s="16">
        <f t="shared" si="27"/>
        <v>20.7</v>
      </c>
      <c r="AG265" s="16" t="str">
        <f t="shared" si="28"/>
        <v/>
      </c>
      <c r="AH265" s="16">
        <f t="shared" si="29"/>
        <v>21.6</v>
      </c>
    </row>
    <row r="266" spans="1:34" x14ac:dyDescent="0.35">
      <c r="A266" s="2" t="s">
        <v>1944</v>
      </c>
      <c r="B266" s="2" t="s">
        <v>29</v>
      </c>
      <c r="C266" s="2" t="s">
        <v>49</v>
      </c>
      <c r="D266" s="2" t="s">
        <v>214</v>
      </c>
      <c r="E266" s="2" t="s">
        <v>579</v>
      </c>
      <c r="F266" s="2" t="s">
        <v>684</v>
      </c>
      <c r="G266" s="2" t="s">
        <v>1648</v>
      </c>
      <c r="H266" s="2" t="s">
        <v>144</v>
      </c>
      <c r="I266" s="2" t="s">
        <v>37</v>
      </c>
      <c r="J266" s="2" t="s">
        <v>306</v>
      </c>
      <c r="K266" s="2" t="s">
        <v>38</v>
      </c>
      <c r="L266" s="2" t="s">
        <v>38</v>
      </c>
      <c r="M266" s="2" t="s">
        <v>1597</v>
      </c>
      <c r="N266" s="2" t="s">
        <v>38</v>
      </c>
      <c r="O266" s="2" t="s">
        <v>38</v>
      </c>
      <c r="P266" s="2" t="s">
        <v>38</v>
      </c>
      <c r="Q266" s="2" t="s">
        <v>1425</v>
      </c>
      <c r="R266" s="2" t="s">
        <v>1456</v>
      </c>
      <c r="S266" s="2" t="s">
        <v>1850</v>
      </c>
      <c r="T266" s="2" t="s">
        <v>1946</v>
      </c>
      <c r="U266" s="2" t="s">
        <v>1729</v>
      </c>
      <c r="V266" s="2" t="s">
        <v>1473</v>
      </c>
      <c r="W266" s="2" t="s">
        <v>38</v>
      </c>
      <c r="X266" s="3">
        <v>41173</v>
      </c>
      <c r="Y266" s="2" t="s">
        <v>1947</v>
      </c>
      <c r="Z266" s="5">
        <v>225</v>
      </c>
      <c r="AA266" s="2" t="s">
        <v>1323</v>
      </c>
      <c r="AB266" s="2" t="s">
        <v>1869</v>
      </c>
      <c r="AC266" s="12">
        <f t="shared" si="24"/>
        <v>2012</v>
      </c>
      <c r="AD266" s="12">
        <f t="shared" si="25"/>
        <v>9</v>
      </c>
      <c r="AE266" s="12">
        <f t="shared" si="26"/>
        <v>21</v>
      </c>
      <c r="AF266" s="16">
        <f t="shared" si="27"/>
        <v>20</v>
      </c>
      <c r="AG266" s="16" t="str">
        <f t="shared" si="28"/>
        <v/>
      </c>
      <c r="AH266" s="16">
        <f t="shared" si="29"/>
        <v>22.5</v>
      </c>
    </row>
    <row r="267" spans="1:34" x14ac:dyDescent="0.35">
      <c r="A267" s="2" t="s">
        <v>1948</v>
      </c>
      <c r="B267" s="2" t="s">
        <v>29</v>
      </c>
      <c r="C267" s="2" t="s">
        <v>49</v>
      </c>
      <c r="D267" s="2" t="s">
        <v>306</v>
      </c>
      <c r="E267" s="2" t="s">
        <v>50</v>
      </c>
      <c r="F267" s="2" t="s">
        <v>650</v>
      </c>
      <c r="G267" s="2" t="s">
        <v>1372</v>
      </c>
      <c r="H267" s="2" t="s">
        <v>877</v>
      </c>
      <c r="I267" s="2" t="s">
        <v>37</v>
      </c>
      <c r="J267" s="2" t="s">
        <v>714</v>
      </c>
      <c r="K267" s="2" t="s">
        <v>38</v>
      </c>
      <c r="L267" s="2" t="s">
        <v>38</v>
      </c>
      <c r="M267" s="2" t="s">
        <v>1605</v>
      </c>
      <c r="N267" s="2" t="s">
        <v>38</v>
      </c>
      <c r="O267" s="2" t="s">
        <v>38</v>
      </c>
      <c r="P267" s="2" t="s">
        <v>38</v>
      </c>
      <c r="Q267" s="2" t="s">
        <v>1169</v>
      </c>
      <c r="R267" s="2" t="s">
        <v>1456</v>
      </c>
      <c r="S267" s="2" t="s">
        <v>1356</v>
      </c>
      <c r="T267" s="2" t="s">
        <v>1606</v>
      </c>
      <c r="U267" s="2" t="s">
        <v>1517</v>
      </c>
      <c r="V267" s="2" t="s">
        <v>1611</v>
      </c>
      <c r="W267" s="2" t="s">
        <v>38</v>
      </c>
      <c r="X267" s="3">
        <v>41174</v>
      </c>
      <c r="Y267" s="2" t="s">
        <v>1951</v>
      </c>
      <c r="Z267" s="35">
        <v>217</v>
      </c>
      <c r="AA267" s="2" t="s">
        <v>1323</v>
      </c>
      <c r="AB267" s="2" t="s">
        <v>1869</v>
      </c>
      <c r="AC267" s="12">
        <f t="shared" si="24"/>
        <v>2012</v>
      </c>
      <c r="AD267" s="12">
        <f t="shared" si="25"/>
        <v>9</v>
      </c>
      <c r="AE267" s="12">
        <f t="shared" si="26"/>
        <v>22</v>
      </c>
      <c r="AF267" s="16">
        <f t="shared" si="27"/>
        <v>20.9</v>
      </c>
      <c r="AG267" s="16" t="str">
        <f t="shared" si="28"/>
        <v/>
      </c>
      <c r="AH267" s="16">
        <f t="shared" si="29"/>
        <v>21.7</v>
      </c>
    </row>
    <row r="268" spans="1:34" x14ac:dyDescent="0.35">
      <c r="A268" s="2" t="s">
        <v>1952</v>
      </c>
      <c r="B268" s="2" t="s">
        <v>29</v>
      </c>
      <c r="C268" s="2" t="s">
        <v>49</v>
      </c>
      <c r="D268" s="2" t="s">
        <v>306</v>
      </c>
      <c r="E268" s="2" t="s">
        <v>579</v>
      </c>
      <c r="F268" s="2" t="s">
        <v>642</v>
      </c>
      <c r="G268" s="2" t="s">
        <v>34</v>
      </c>
      <c r="H268" s="2" t="s">
        <v>233</v>
      </c>
      <c r="I268" s="2" t="s">
        <v>37</v>
      </c>
      <c r="J268" s="2" t="s">
        <v>596</v>
      </c>
      <c r="K268" s="2" t="s">
        <v>38</v>
      </c>
      <c r="L268" s="2" t="s">
        <v>38</v>
      </c>
      <c r="M268" s="2" t="s">
        <v>39</v>
      </c>
      <c r="N268" s="2" t="s">
        <v>38</v>
      </c>
      <c r="O268" s="2" t="s">
        <v>38</v>
      </c>
      <c r="P268" s="2" t="s">
        <v>38</v>
      </c>
      <c r="Q268" s="2" t="s">
        <v>1954</v>
      </c>
      <c r="R268" s="2" t="s">
        <v>759</v>
      </c>
      <c r="S268" s="2" t="s">
        <v>1304</v>
      </c>
      <c r="T268" s="2" t="s">
        <v>1397</v>
      </c>
      <c r="U268" s="2" t="s">
        <v>1860</v>
      </c>
      <c r="V268" s="2" t="s">
        <v>1291</v>
      </c>
      <c r="W268" s="2" t="s">
        <v>38</v>
      </c>
      <c r="X268" s="3">
        <v>41175</v>
      </c>
      <c r="Y268" s="2" t="s">
        <v>1955</v>
      </c>
      <c r="Z268" s="35">
        <v>193</v>
      </c>
      <c r="AA268" s="2" t="s">
        <v>1323</v>
      </c>
      <c r="AB268" s="2" t="s">
        <v>1869</v>
      </c>
      <c r="AC268" s="12">
        <f t="shared" si="24"/>
        <v>2012</v>
      </c>
      <c r="AD268" s="12">
        <f t="shared" si="25"/>
        <v>9</v>
      </c>
      <c r="AE268" s="12">
        <f t="shared" si="26"/>
        <v>23</v>
      </c>
      <c r="AF268" s="16">
        <f t="shared" si="27"/>
        <v>20.3</v>
      </c>
      <c r="AG268" s="16" t="str">
        <f t="shared" si="28"/>
        <v/>
      </c>
      <c r="AH268" s="16">
        <f t="shared" si="29"/>
        <v>19.3</v>
      </c>
    </row>
    <row r="269" spans="1:34" x14ac:dyDescent="0.35">
      <c r="A269" s="2" t="s">
        <v>1956</v>
      </c>
      <c r="B269" s="2" t="s">
        <v>29</v>
      </c>
      <c r="C269" s="2" t="s">
        <v>49</v>
      </c>
      <c r="D269" s="2" t="s">
        <v>306</v>
      </c>
      <c r="E269" s="2" t="s">
        <v>596</v>
      </c>
      <c r="F269" s="2" t="s">
        <v>152</v>
      </c>
      <c r="G269" s="2" t="s">
        <v>34</v>
      </c>
      <c r="H269" s="2" t="s">
        <v>202</v>
      </c>
      <c r="I269" s="2" t="s">
        <v>37</v>
      </c>
      <c r="J269" s="2" t="s">
        <v>596</v>
      </c>
      <c r="K269" s="2" t="s">
        <v>38</v>
      </c>
      <c r="L269" s="2" t="s">
        <v>38</v>
      </c>
      <c r="M269" s="2" t="s">
        <v>39</v>
      </c>
      <c r="N269" s="2" t="s">
        <v>38</v>
      </c>
      <c r="O269" s="2" t="s">
        <v>38</v>
      </c>
      <c r="P269" s="2" t="s">
        <v>38</v>
      </c>
      <c r="Q269" s="2" t="s">
        <v>1958</v>
      </c>
      <c r="R269" s="2" t="s">
        <v>41</v>
      </c>
      <c r="S269" s="2" t="s">
        <v>1959</v>
      </c>
      <c r="T269" s="2" t="s">
        <v>903</v>
      </c>
      <c r="U269" s="2" t="s">
        <v>1517</v>
      </c>
      <c r="V269" s="2" t="s">
        <v>992</v>
      </c>
      <c r="W269" s="2" t="s">
        <v>38</v>
      </c>
      <c r="X269" s="3">
        <v>41176</v>
      </c>
      <c r="Y269" s="2" t="s">
        <v>1960</v>
      </c>
      <c r="Z269" s="5">
        <v>187</v>
      </c>
      <c r="AA269" s="2" t="s">
        <v>1323</v>
      </c>
      <c r="AB269" s="2" t="s">
        <v>1869</v>
      </c>
      <c r="AC269" s="12">
        <f t="shared" si="24"/>
        <v>2012</v>
      </c>
      <c r="AD269" s="12">
        <f t="shared" si="25"/>
        <v>9</v>
      </c>
      <c r="AE269" s="12">
        <f t="shared" si="26"/>
        <v>24</v>
      </c>
      <c r="AF269" s="16">
        <f t="shared" si="27"/>
        <v>18.7</v>
      </c>
      <c r="AG269" s="16" t="str">
        <f t="shared" si="28"/>
        <v/>
      </c>
      <c r="AH269" s="16">
        <f t="shared" si="29"/>
        <v>18.7</v>
      </c>
    </row>
    <row r="270" spans="1:34" x14ac:dyDescent="0.35">
      <c r="A270" s="2" t="s">
        <v>1961</v>
      </c>
      <c r="B270" s="2" t="s">
        <v>29</v>
      </c>
      <c r="C270" s="2" t="s">
        <v>49</v>
      </c>
      <c r="D270" s="2" t="s">
        <v>306</v>
      </c>
      <c r="E270" s="2" t="s">
        <v>596</v>
      </c>
      <c r="F270" s="2" t="s">
        <v>439</v>
      </c>
      <c r="G270" s="2" t="s">
        <v>34</v>
      </c>
      <c r="H270" s="2" t="s">
        <v>113</v>
      </c>
      <c r="I270" s="2" t="s">
        <v>37</v>
      </c>
      <c r="J270" s="2" t="s">
        <v>596</v>
      </c>
      <c r="K270" s="2" t="s">
        <v>38</v>
      </c>
      <c r="L270" s="2" t="s">
        <v>38</v>
      </c>
      <c r="M270" s="2" t="s">
        <v>39</v>
      </c>
      <c r="N270" s="2" t="s">
        <v>38</v>
      </c>
      <c r="O270" s="2" t="s">
        <v>38</v>
      </c>
      <c r="P270" s="2" t="s">
        <v>38</v>
      </c>
      <c r="Q270" s="2" t="s">
        <v>1963</v>
      </c>
      <c r="R270" s="2" t="s">
        <v>41</v>
      </c>
      <c r="S270" s="2" t="s">
        <v>1964</v>
      </c>
      <c r="T270" s="2" t="s">
        <v>480</v>
      </c>
      <c r="U270" s="2" t="s">
        <v>782</v>
      </c>
      <c r="V270" s="2" t="s">
        <v>627</v>
      </c>
      <c r="W270" s="2" t="s">
        <v>38</v>
      </c>
      <c r="X270" s="3">
        <v>41177</v>
      </c>
      <c r="Y270" s="2" t="s">
        <v>1965</v>
      </c>
      <c r="Z270" s="5">
        <v>191</v>
      </c>
      <c r="AA270" s="2" t="s">
        <v>1323</v>
      </c>
      <c r="AB270" s="2" t="s">
        <v>1869</v>
      </c>
      <c r="AC270" s="12">
        <f t="shared" si="24"/>
        <v>2012</v>
      </c>
      <c r="AD270" s="12">
        <f t="shared" si="25"/>
        <v>9</v>
      </c>
      <c r="AE270" s="12">
        <f t="shared" si="26"/>
        <v>25</v>
      </c>
      <c r="AF270" s="16">
        <f t="shared" si="27"/>
        <v>19</v>
      </c>
      <c r="AG270" s="16" t="str">
        <f t="shared" si="28"/>
        <v/>
      </c>
      <c r="AH270" s="16">
        <f t="shared" si="29"/>
        <v>19.100000000000001</v>
      </c>
    </row>
    <row r="271" spans="1:34" x14ac:dyDescent="0.35">
      <c r="A271" s="2" t="s">
        <v>1966</v>
      </c>
      <c r="B271" s="2" t="s">
        <v>29</v>
      </c>
      <c r="C271" s="2" t="s">
        <v>49</v>
      </c>
      <c r="D271" s="2" t="s">
        <v>306</v>
      </c>
      <c r="E271" s="2" t="s">
        <v>579</v>
      </c>
      <c r="F271" s="2" t="s">
        <v>1967</v>
      </c>
      <c r="G271" s="2" t="s">
        <v>34</v>
      </c>
      <c r="H271" s="2" t="s">
        <v>342</v>
      </c>
      <c r="I271" s="2" t="s">
        <v>37</v>
      </c>
      <c r="J271" s="2" t="s">
        <v>596</v>
      </c>
      <c r="K271" s="2" t="s">
        <v>38</v>
      </c>
      <c r="L271" s="2" t="s">
        <v>38</v>
      </c>
      <c r="M271" s="2" t="s">
        <v>39</v>
      </c>
      <c r="N271" s="2" t="s">
        <v>38</v>
      </c>
      <c r="O271" s="2" t="s">
        <v>38</v>
      </c>
      <c r="P271" s="2" t="s">
        <v>38</v>
      </c>
      <c r="Q271" s="2" t="s">
        <v>1002</v>
      </c>
      <c r="R271" s="2" t="s">
        <v>41</v>
      </c>
      <c r="S271" s="2" t="s">
        <v>1964</v>
      </c>
      <c r="T271" s="2" t="s">
        <v>406</v>
      </c>
      <c r="U271" s="2" t="s">
        <v>311</v>
      </c>
      <c r="V271" s="2" t="s">
        <v>1843</v>
      </c>
      <c r="W271" s="2" t="s">
        <v>38</v>
      </c>
      <c r="X271" s="3">
        <v>41178</v>
      </c>
      <c r="Y271" s="2" t="s">
        <v>1968</v>
      </c>
      <c r="Z271" s="35">
        <v>185</v>
      </c>
      <c r="AA271" s="2" t="s">
        <v>1323</v>
      </c>
      <c r="AB271" s="2" t="s">
        <v>1869</v>
      </c>
      <c r="AC271" s="12">
        <f t="shared" si="24"/>
        <v>2012</v>
      </c>
      <c r="AD271" s="12">
        <f t="shared" si="25"/>
        <v>9</v>
      </c>
      <c r="AE271" s="12">
        <f t="shared" si="26"/>
        <v>26</v>
      </c>
      <c r="AF271" s="16">
        <f t="shared" si="27"/>
        <v>19.7</v>
      </c>
      <c r="AG271" s="16" t="str">
        <f t="shared" si="28"/>
        <v/>
      </c>
      <c r="AH271" s="16">
        <f t="shared" si="29"/>
        <v>18.5</v>
      </c>
    </row>
    <row r="272" spans="1:34" x14ac:dyDescent="0.35">
      <c r="A272" s="2" t="s">
        <v>1971</v>
      </c>
      <c r="B272" s="2" t="s">
        <v>29</v>
      </c>
      <c r="C272" s="2" t="s">
        <v>49</v>
      </c>
      <c r="D272" s="2" t="s">
        <v>214</v>
      </c>
      <c r="E272" s="2" t="s">
        <v>50</v>
      </c>
      <c r="F272" s="2" t="s">
        <v>282</v>
      </c>
      <c r="G272" s="2" t="s">
        <v>1973</v>
      </c>
      <c r="H272" s="2" t="s">
        <v>240</v>
      </c>
      <c r="I272" s="2" t="s">
        <v>37</v>
      </c>
      <c r="J272" s="2" t="s">
        <v>579</v>
      </c>
      <c r="K272" s="2" t="s">
        <v>38</v>
      </c>
      <c r="L272" s="2" t="s">
        <v>38</v>
      </c>
      <c r="M272" s="2" t="s">
        <v>39</v>
      </c>
      <c r="N272" s="2" t="s">
        <v>38</v>
      </c>
      <c r="O272" s="2" t="s">
        <v>38</v>
      </c>
      <c r="P272" s="2" t="s">
        <v>38</v>
      </c>
      <c r="Q272" s="2" t="s">
        <v>1938</v>
      </c>
      <c r="R272" s="2" t="s">
        <v>1076</v>
      </c>
      <c r="S272" s="2" t="s">
        <v>1974</v>
      </c>
      <c r="T272" s="2" t="s">
        <v>986</v>
      </c>
      <c r="U272" s="2" t="s">
        <v>219</v>
      </c>
      <c r="V272" s="2" t="s">
        <v>1370</v>
      </c>
      <c r="W272" s="2" t="s">
        <v>38</v>
      </c>
      <c r="X272" s="3">
        <v>41179</v>
      </c>
      <c r="Y272" s="2" t="s">
        <v>1975</v>
      </c>
      <c r="Z272" s="5">
        <v>201</v>
      </c>
      <c r="AA272" s="2" t="s">
        <v>1323</v>
      </c>
      <c r="AB272" s="2" t="s">
        <v>1869</v>
      </c>
      <c r="AC272" s="12">
        <f t="shared" si="24"/>
        <v>2012</v>
      </c>
      <c r="AD272" s="12">
        <f t="shared" si="25"/>
        <v>9</v>
      </c>
      <c r="AE272" s="12">
        <f t="shared" si="26"/>
        <v>27</v>
      </c>
      <c r="AF272" s="16">
        <f t="shared" si="27"/>
        <v>21.3</v>
      </c>
      <c r="AG272" s="16" t="str">
        <f t="shared" si="28"/>
        <v/>
      </c>
      <c r="AH272" s="16">
        <f t="shared" si="29"/>
        <v>20.100000000000001</v>
      </c>
    </row>
    <row r="273" spans="1:34" x14ac:dyDescent="0.35">
      <c r="A273" s="2" t="s">
        <v>1976</v>
      </c>
      <c r="B273" s="2" t="s">
        <v>29</v>
      </c>
      <c r="C273" s="2" t="s">
        <v>49</v>
      </c>
      <c r="D273" s="2" t="s">
        <v>171</v>
      </c>
      <c r="E273" s="2" t="s">
        <v>579</v>
      </c>
      <c r="F273" s="2" t="s">
        <v>152</v>
      </c>
      <c r="G273" s="2" t="s">
        <v>34</v>
      </c>
      <c r="H273" s="2" t="s">
        <v>54</v>
      </c>
      <c r="I273" s="2" t="s">
        <v>37</v>
      </c>
      <c r="J273" s="2" t="s">
        <v>714</v>
      </c>
      <c r="K273" s="2" t="s">
        <v>38</v>
      </c>
      <c r="L273" s="2" t="s">
        <v>38</v>
      </c>
      <c r="M273" s="2" t="s">
        <v>39</v>
      </c>
      <c r="N273" s="2" t="s">
        <v>38</v>
      </c>
      <c r="O273" s="2" t="s">
        <v>38</v>
      </c>
      <c r="P273" s="2" t="s">
        <v>38</v>
      </c>
      <c r="Q273" s="2" t="s">
        <v>1169</v>
      </c>
      <c r="R273" s="2" t="s">
        <v>41</v>
      </c>
      <c r="S273" s="2" t="s">
        <v>503</v>
      </c>
      <c r="T273" s="2" t="s">
        <v>760</v>
      </c>
      <c r="U273" s="2" t="s">
        <v>175</v>
      </c>
      <c r="V273" s="2" t="s">
        <v>1358</v>
      </c>
      <c r="W273" s="2" t="s">
        <v>38</v>
      </c>
      <c r="X273" s="3">
        <v>41180</v>
      </c>
      <c r="Y273" s="2" t="s">
        <v>1978</v>
      </c>
      <c r="Z273" s="35">
        <v>217</v>
      </c>
      <c r="AA273" s="2" t="s">
        <v>1323</v>
      </c>
      <c r="AB273" s="2" t="s">
        <v>1869</v>
      </c>
      <c r="AC273" s="12">
        <f t="shared" si="24"/>
        <v>2012</v>
      </c>
      <c r="AD273" s="12">
        <f t="shared" si="25"/>
        <v>9</v>
      </c>
      <c r="AE273" s="12">
        <f t="shared" si="26"/>
        <v>28</v>
      </c>
      <c r="AF273" s="16">
        <f t="shared" si="27"/>
        <v>20.399999999999999</v>
      </c>
      <c r="AG273" s="16" t="str">
        <f t="shared" si="28"/>
        <v/>
      </c>
      <c r="AH273" s="16">
        <f t="shared" si="29"/>
        <v>21.7</v>
      </c>
    </row>
    <row r="274" spans="1:34" x14ac:dyDescent="0.35">
      <c r="A274" s="2" t="s">
        <v>1979</v>
      </c>
      <c r="B274" s="2" t="s">
        <v>29</v>
      </c>
      <c r="C274" s="2" t="s">
        <v>49</v>
      </c>
      <c r="D274" s="2" t="s">
        <v>214</v>
      </c>
      <c r="E274" s="2" t="s">
        <v>50</v>
      </c>
      <c r="F274" s="2" t="s">
        <v>432</v>
      </c>
      <c r="G274" s="2" t="s">
        <v>34</v>
      </c>
      <c r="H274" s="2" t="s">
        <v>947</v>
      </c>
      <c r="I274" s="2" t="s">
        <v>37</v>
      </c>
      <c r="J274" s="2" t="s">
        <v>50</v>
      </c>
      <c r="K274" s="2" t="s">
        <v>38</v>
      </c>
      <c r="L274" s="2" t="s">
        <v>38</v>
      </c>
      <c r="M274" s="2" t="s">
        <v>39</v>
      </c>
      <c r="N274" s="2" t="s">
        <v>38</v>
      </c>
      <c r="O274" s="2" t="s">
        <v>38</v>
      </c>
      <c r="P274" s="2" t="s">
        <v>38</v>
      </c>
      <c r="Q274" s="2" t="s">
        <v>1382</v>
      </c>
      <c r="R274" s="2" t="s">
        <v>1367</v>
      </c>
      <c r="S274" s="2" t="s">
        <v>122</v>
      </c>
      <c r="T274" s="2" t="s">
        <v>406</v>
      </c>
      <c r="U274" s="2" t="s">
        <v>1729</v>
      </c>
      <c r="V274" s="2" t="s">
        <v>761</v>
      </c>
      <c r="W274" s="2" t="s">
        <v>38</v>
      </c>
      <c r="X274" s="3">
        <v>41181</v>
      </c>
      <c r="Y274" s="2" t="s">
        <v>1980</v>
      </c>
      <c r="Z274" s="35">
        <v>206</v>
      </c>
      <c r="AA274" s="2" t="s">
        <v>1323</v>
      </c>
      <c r="AB274" s="2" t="s">
        <v>1869</v>
      </c>
      <c r="AC274" s="12">
        <f t="shared" si="24"/>
        <v>2012</v>
      </c>
      <c r="AD274" s="12">
        <f t="shared" si="25"/>
        <v>9</v>
      </c>
      <c r="AE274" s="12">
        <f t="shared" si="26"/>
        <v>29</v>
      </c>
      <c r="AF274" s="16">
        <f t="shared" si="27"/>
        <v>21.2</v>
      </c>
      <c r="AG274" s="16" t="str">
        <f t="shared" si="28"/>
        <v/>
      </c>
      <c r="AH274" s="16">
        <f t="shared" si="29"/>
        <v>20.6</v>
      </c>
    </row>
    <row r="275" spans="1:34" x14ac:dyDescent="0.35">
      <c r="A275" s="2" t="s">
        <v>1983</v>
      </c>
      <c r="B275" s="2" t="s">
        <v>29</v>
      </c>
      <c r="C275" s="2" t="s">
        <v>49</v>
      </c>
      <c r="D275" s="2" t="s">
        <v>214</v>
      </c>
      <c r="E275" s="2" t="s">
        <v>714</v>
      </c>
      <c r="F275" s="2" t="s">
        <v>378</v>
      </c>
      <c r="G275" s="2" t="s">
        <v>53</v>
      </c>
      <c r="H275" s="2" t="s">
        <v>475</v>
      </c>
      <c r="I275" s="2" t="s">
        <v>37</v>
      </c>
      <c r="J275" s="2" t="s">
        <v>579</v>
      </c>
      <c r="K275" s="2" t="s">
        <v>38</v>
      </c>
      <c r="L275" s="2" t="s">
        <v>38</v>
      </c>
      <c r="M275" s="2" t="s">
        <v>39</v>
      </c>
      <c r="N275" s="2" t="s">
        <v>38</v>
      </c>
      <c r="O275" s="2" t="s">
        <v>38</v>
      </c>
      <c r="P275" s="2" t="s">
        <v>38</v>
      </c>
      <c r="Q275" s="2" t="s">
        <v>1064</v>
      </c>
      <c r="R275" s="2" t="s">
        <v>704</v>
      </c>
      <c r="S275" s="2" t="s">
        <v>503</v>
      </c>
      <c r="T275" s="2" t="s">
        <v>73</v>
      </c>
      <c r="U275" s="2" t="s">
        <v>1671</v>
      </c>
      <c r="V275" s="2" t="s">
        <v>1600</v>
      </c>
      <c r="W275" s="2" t="s">
        <v>38</v>
      </c>
      <c r="X275" s="3">
        <v>41182</v>
      </c>
      <c r="Y275" s="2" t="s">
        <v>1984</v>
      </c>
      <c r="Z275" s="5">
        <v>204</v>
      </c>
      <c r="AA275" s="2" t="s">
        <v>1323</v>
      </c>
      <c r="AB275" s="2" t="s">
        <v>1869</v>
      </c>
      <c r="AC275" s="12">
        <f t="shared" si="24"/>
        <v>2012</v>
      </c>
      <c r="AD275" s="12">
        <f t="shared" si="25"/>
        <v>9</v>
      </c>
      <c r="AE275" s="12">
        <f t="shared" si="26"/>
        <v>30</v>
      </c>
      <c r="AF275" s="16">
        <f t="shared" si="27"/>
        <v>21.9</v>
      </c>
      <c r="AG275" s="16" t="str">
        <f t="shared" si="28"/>
        <v/>
      </c>
      <c r="AH275" s="16">
        <f t="shared" si="29"/>
        <v>20.399999999999999</v>
      </c>
    </row>
    <row r="276" spans="1:34" x14ac:dyDescent="0.35">
      <c r="A276" s="2" t="s">
        <v>1990</v>
      </c>
      <c r="B276" s="2" t="s">
        <v>29</v>
      </c>
      <c r="C276" s="2" t="s">
        <v>49</v>
      </c>
      <c r="D276" s="2" t="s">
        <v>214</v>
      </c>
      <c r="E276" s="2" t="s">
        <v>306</v>
      </c>
      <c r="F276" s="2" t="s">
        <v>352</v>
      </c>
      <c r="G276" s="2" t="s">
        <v>1460</v>
      </c>
      <c r="H276" s="2" t="s">
        <v>153</v>
      </c>
      <c r="I276" s="2" t="s">
        <v>37</v>
      </c>
      <c r="J276" s="2" t="s">
        <v>50</v>
      </c>
      <c r="K276" s="2" t="s">
        <v>38</v>
      </c>
      <c r="L276" s="2" t="s">
        <v>38</v>
      </c>
      <c r="M276" s="2" t="s">
        <v>39</v>
      </c>
      <c r="N276" s="2" t="s">
        <v>38</v>
      </c>
      <c r="O276" s="2" t="s">
        <v>38</v>
      </c>
      <c r="P276" s="2" t="s">
        <v>38</v>
      </c>
      <c r="Q276" s="2" t="s">
        <v>1115</v>
      </c>
      <c r="R276" s="2" t="s">
        <v>1029</v>
      </c>
      <c r="S276" s="2" t="s">
        <v>58</v>
      </c>
      <c r="T276" s="2" t="s">
        <v>131</v>
      </c>
      <c r="U276" s="2" t="s">
        <v>1762</v>
      </c>
      <c r="V276" s="2" t="s">
        <v>1774</v>
      </c>
      <c r="W276" s="2" t="s">
        <v>38</v>
      </c>
      <c r="X276" s="3">
        <v>41183</v>
      </c>
      <c r="Y276" s="2" t="s">
        <v>1994</v>
      </c>
      <c r="Z276" s="5">
        <v>215</v>
      </c>
      <c r="AA276" s="2" t="s">
        <v>1988</v>
      </c>
      <c r="AB276" s="2" t="s">
        <v>1989</v>
      </c>
      <c r="AC276" s="12">
        <f t="shared" si="24"/>
        <v>2012</v>
      </c>
      <c r="AD276" s="12">
        <f t="shared" si="25"/>
        <v>10</v>
      </c>
      <c r="AE276" s="12">
        <f t="shared" si="26"/>
        <v>1</v>
      </c>
      <c r="AF276" s="16">
        <f t="shared" si="27"/>
        <v>22.5</v>
      </c>
      <c r="AG276" s="16" t="str">
        <f t="shared" si="28"/>
        <v/>
      </c>
      <c r="AH276" s="16">
        <f t="shared" si="29"/>
        <v>21.5</v>
      </c>
    </row>
    <row r="277" spans="1:34" x14ac:dyDescent="0.35">
      <c r="A277" s="2" t="s">
        <v>1995</v>
      </c>
      <c r="B277" s="2" t="s">
        <v>29</v>
      </c>
      <c r="C277" s="2" t="s">
        <v>49</v>
      </c>
      <c r="D277" s="2" t="s">
        <v>214</v>
      </c>
      <c r="E277" s="2" t="s">
        <v>714</v>
      </c>
      <c r="F277" s="2" t="s">
        <v>361</v>
      </c>
      <c r="G277" s="2" t="s">
        <v>34</v>
      </c>
      <c r="H277" s="2" t="s">
        <v>35</v>
      </c>
      <c r="I277" s="2" t="s">
        <v>37</v>
      </c>
      <c r="J277" s="2" t="s">
        <v>50</v>
      </c>
      <c r="K277" s="2" t="s">
        <v>38</v>
      </c>
      <c r="L277" s="2" t="s">
        <v>38</v>
      </c>
      <c r="M277" s="2" t="s">
        <v>39</v>
      </c>
      <c r="N277" s="2" t="s">
        <v>38</v>
      </c>
      <c r="O277" s="2" t="s">
        <v>38</v>
      </c>
      <c r="P277" s="2" t="s">
        <v>38</v>
      </c>
      <c r="Q277" s="2" t="s">
        <v>1382</v>
      </c>
      <c r="R277" s="2" t="s">
        <v>1367</v>
      </c>
      <c r="S277" s="2" t="s">
        <v>1003</v>
      </c>
      <c r="T277" s="2" t="s">
        <v>1996</v>
      </c>
      <c r="U277" s="2" t="s">
        <v>1729</v>
      </c>
      <c r="V277" s="2" t="s">
        <v>1743</v>
      </c>
      <c r="W277" s="2" t="s">
        <v>38</v>
      </c>
      <c r="X277" s="3">
        <v>41184</v>
      </c>
      <c r="Y277" s="2" t="s">
        <v>1997</v>
      </c>
      <c r="Z277" s="35">
        <v>206</v>
      </c>
      <c r="AA277" s="2" t="s">
        <v>1988</v>
      </c>
      <c r="AB277" s="2" t="s">
        <v>1989</v>
      </c>
      <c r="AC277" s="12">
        <f t="shared" si="24"/>
        <v>2012</v>
      </c>
      <c r="AD277" s="12">
        <f t="shared" si="25"/>
        <v>10</v>
      </c>
      <c r="AE277" s="12">
        <f t="shared" si="26"/>
        <v>2</v>
      </c>
      <c r="AF277" s="16">
        <f t="shared" si="27"/>
        <v>21.8</v>
      </c>
      <c r="AG277" s="16" t="str">
        <f t="shared" si="28"/>
        <v/>
      </c>
      <c r="AH277" s="16">
        <f t="shared" si="29"/>
        <v>20.6</v>
      </c>
    </row>
    <row r="278" spans="1:34" x14ac:dyDescent="0.35">
      <c r="A278" s="2" t="s">
        <v>2000</v>
      </c>
      <c r="B278" s="2" t="s">
        <v>29</v>
      </c>
      <c r="C278" s="2" t="s">
        <v>49</v>
      </c>
      <c r="D278" s="2" t="s">
        <v>306</v>
      </c>
      <c r="E278" s="2" t="s">
        <v>50</v>
      </c>
      <c r="F278" s="2" t="s">
        <v>352</v>
      </c>
      <c r="G278" s="2" t="s">
        <v>34</v>
      </c>
      <c r="H278" s="2" t="s">
        <v>137</v>
      </c>
      <c r="I278" s="2" t="s">
        <v>37</v>
      </c>
      <c r="J278" s="2" t="s">
        <v>50</v>
      </c>
      <c r="K278" s="2" t="s">
        <v>38</v>
      </c>
      <c r="L278" s="2" t="s">
        <v>38</v>
      </c>
      <c r="M278" s="2" t="s">
        <v>39</v>
      </c>
      <c r="N278" s="2" t="s">
        <v>38</v>
      </c>
      <c r="O278" s="2" t="s">
        <v>38</v>
      </c>
      <c r="P278" s="2" t="s">
        <v>38</v>
      </c>
      <c r="Q278" s="2" t="s">
        <v>994</v>
      </c>
      <c r="R278" s="2" t="s">
        <v>1367</v>
      </c>
      <c r="S278" s="2" t="s">
        <v>58</v>
      </c>
      <c r="T278" s="2" t="s">
        <v>131</v>
      </c>
      <c r="U278" s="2" t="s">
        <v>311</v>
      </c>
      <c r="V278" s="2" t="s">
        <v>1364</v>
      </c>
      <c r="W278" s="2" t="s">
        <v>38</v>
      </c>
      <c r="X278" s="3">
        <v>41185</v>
      </c>
      <c r="Y278" s="2" t="s">
        <v>2003</v>
      </c>
      <c r="Z278" s="35">
        <v>213</v>
      </c>
      <c r="AA278" s="2" t="s">
        <v>1988</v>
      </c>
      <c r="AB278" s="2" t="s">
        <v>1989</v>
      </c>
      <c r="AC278" s="12">
        <f t="shared" si="24"/>
        <v>2012</v>
      </c>
      <c r="AD278" s="12">
        <f t="shared" si="25"/>
        <v>10</v>
      </c>
      <c r="AE278" s="12">
        <f t="shared" si="26"/>
        <v>3</v>
      </c>
      <c r="AF278" s="16">
        <f t="shared" si="27"/>
        <v>20.7</v>
      </c>
      <c r="AG278" s="16" t="str">
        <f t="shared" si="28"/>
        <v/>
      </c>
      <c r="AH278" s="16">
        <f t="shared" si="29"/>
        <v>21.3</v>
      </c>
    </row>
    <row r="279" spans="1:34" x14ac:dyDescent="0.35">
      <c r="A279" s="2" t="s">
        <v>2004</v>
      </c>
      <c r="B279" s="2" t="s">
        <v>29</v>
      </c>
      <c r="C279" s="2" t="s">
        <v>49</v>
      </c>
      <c r="D279" s="2" t="s">
        <v>214</v>
      </c>
      <c r="E279" s="2" t="s">
        <v>306</v>
      </c>
      <c r="F279" s="2" t="s">
        <v>462</v>
      </c>
      <c r="G279" s="2" t="s">
        <v>34</v>
      </c>
      <c r="H279" s="2" t="s">
        <v>202</v>
      </c>
      <c r="I279" s="2" t="s">
        <v>37</v>
      </c>
      <c r="J279" s="2" t="s">
        <v>714</v>
      </c>
      <c r="K279" s="2" t="s">
        <v>38</v>
      </c>
      <c r="L279" s="2" t="s">
        <v>38</v>
      </c>
      <c r="M279" s="2" t="s">
        <v>39</v>
      </c>
      <c r="N279" s="2" t="s">
        <v>38</v>
      </c>
      <c r="O279" s="2" t="s">
        <v>38</v>
      </c>
      <c r="P279" s="2" t="s">
        <v>38</v>
      </c>
      <c r="Q279" s="2" t="s">
        <v>1164</v>
      </c>
      <c r="R279" s="2" t="s">
        <v>1367</v>
      </c>
      <c r="S279" s="2" t="s">
        <v>58</v>
      </c>
      <c r="T279" s="2" t="s">
        <v>1362</v>
      </c>
      <c r="U279" s="2" t="s">
        <v>796</v>
      </c>
      <c r="V279" s="2" t="s">
        <v>1880</v>
      </c>
      <c r="W279" s="2" t="s">
        <v>38</v>
      </c>
      <c r="X279" s="3">
        <v>41186</v>
      </c>
      <c r="Y279" s="2" t="s">
        <v>2006</v>
      </c>
      <c r="Z279" s="5">
        <v>220</v>
      </c>
      <c r="AA279" s="2" t="s">
        <v>1988</v>
      </c>
      <c r="AB279" s="2" t="s">
        <v>1989</v>
      </c>
      <c r="AC279" s="12">
        <f t="shared" si="24"/>
        <v>2012</v>
      </c>
      <c r="AD279" s="12">
        <f t="shared" si="25"/>
        <v>10</v>
      </c>
      <c r="AE279" s="12">
        <f t="shared" si="26"/>
        <v>4</v>
      </c>
      <c r="AF279" s="16">
        <f t="shared" si="27"/>
        <v>22.8</v>
      </c>
      <c r="AG279" s="16" t="str">
        <f t="shared" si="28"/>
        <v/>
      </c>
      <c r="AH279" s="16">
        <f t="shared" si="29"/>
        <v>22</v>
      </c>
    </row>
    <row r="280" spans="1:34" x14ac:dyDescent="0.35">
      <c r="A280" s="2" t="s">
        <v>2007</v>
      </c>
      <c r="B280" s="2" t="s">
        <v>29</v>
      </c>
      <c r="C280" s="2" t="s">
        <v>49</v>
      </c>
      <c r="D280" s="2" t="s">
        <v>306</v>
      </c>
      <c r="E280" s="2" t="s">
        <v>714</v>
      </c>
      <c r="F280" s="2" t="s">
        <v>638</v>
      </c>
      <c r="G280" s="2" t="s">
        <v>1440</v>
      </c>
      <c r="H280" s="2" t="s">
        <v>121</v>
      </c>
      <c r="I280" s="2" t="s">
        <v>37</v>
      </c>
      <c r="J280" s="2" t="s">
        <v>714</v>
      </c>
      <c r="K280" s="2" t="s">
        <v>38</v>
      </c>
      <c r="L280" s="2" t="s">
        <v>38</v>
      </c>
      <c r="M280" s="2" t="s">
        <v>39</v>
      </c>
      <c r="N280" s="2" t="s">
        <v>38</v>
      </c>
      <c r="O280" s="2" t="s">
        <v>38</v>
      </c>
      <c r="P280" s="2" t="s">
        <v>38</v>
      </c>
      <c r="Q280" s="2" t="s">
        <v>1164</v>
      </c>
      <c r="R280" s="2" t="s">
        <v>1456</v>
      </c>
      <c r="S280" s="2" t="s">
        <v>58</v>
      </c>
      <c r="T280" s="2" t="s">
        <v>2008</v>
      </c>
      <c r="U280" s="2" t="s">
        <v>1517</v>
      </c>
      <c r="V280" s="2" t="s">
        <v>716</v>
      </c>
      <c r="W280" s="2" t="s">
        <v>38</v>
      </c>
      <c r="X280" s="3">
        <v>41187</v>
      </c>
      <c r="Y280" s="2" t="s">
        <v>2009</v>
      </c>
      <c r="Z280" s="35">
        <v>220</v>
      </c>
      <c r="AA280" s="2" t="s">
        <v>1988</v>
      </c>
      <c r="AB280" s="2" t="s">
        <v>1989</v>
      </c>
      <c r="AC280" s="12">
        <f t="shared" si="24"/>
        <v>2012</v>
      </c>
      <c r="AD280" s="12">
        <f t="shared" si="25"/>
        <v>10</v>
      </c>
      <c r="AE280" s="12">
        <f t="shared" si="26"/>
        <v>5</v>
      </c>
      <c r="AF280" s="16">
        <f t="shared" si="27"/>
        <v>22.4</v>
      </c>
      <c r="AG280" s="16" t="str">
        <f t="shared" si="28"/>
        <v/>
      </c>
      <c r="AH280" s="16">
        <f t="shared" si="29"/>
        <v>22</v>
      </c>
    </row>
    <row r="281" spans="1:34" x14ac:dyDescent="0.35">
      <c r="A281" s="2" t="s">
        <v>2013</v>
      </c>
      <c r="B281" s="2" t="s">
        <v>29</v>
      </c>
      <c r="C281" s="2" t="s">
        <v>49</v>
      </c>
      <c r="D281" s="2" t="s">
        <v>200</v>
      </c>
      <c r="E281" s="2" t="s">
        <v>714</v>
      </c>
      <c r="F281" s="2" t="s">
        <v>1193</v>
      </c>
      <c r="G281" s="2" t="s">
        <v>34</v>
      </c>
      <c r="H281" s="2" t="s">
        <v>144</v>
      </c>
      <c r="I281" s="2" t="s">
        <v>37</v>
      </c>
      <c r="J281" s="2" t="s">
        <v>50</v>
      </c>
      <c r="K281" s="2" t="s">
        <v>38</v>
      </c>
      <c r="L281" s="2" t="s">
        <v>38</v>
      </c>
      <c r="M281" s="2" t="s">
        <v>39</v>
      </c>
      <c r="N281" s="2" t="s">
        <v>38</v>
      </c>
      <c r="O281" s="2" t="s">
        <v>38</v>
      </c>
      <c r="P281" s="2" t="s">
        <v>38</v>
      </c>
      <c r="Q281" s="2" t="s">
        <v>994</v>
      </c>
      <c r="R281" s="2" t="s">
        <v>1367</v>
      </c>
      <c r="S281" s="2" t="s">
        <v>122</v>
      </c>
      <c r="T281" s="2" t="s">
        <v>1329</v>
      </c>
      <c r="U281" s="2" t="s">
        <v>303</v>
      </c>
      <c r="V281" s="2" t="s">
        <v>1527</v>
      </c>
      <c r="W281" s="2" t="s">
        <v>38</v>
      </c>
      <c r="X281" s="3">
        <v>41188</v>
      </c>
      <c r="Y281" s="2" t="s">
        <v>2014</v>
      </c>
      <c r="Z281" s="5">
        <v>213</v>
      </c>
      <c r="AA281" s="2" t="s">
        <v>1988</v>
      </c>
      <c r="AB281" s="2" t="s">
        <v>1989</v>
      </c>
      <c r="AC281" s="12">
        <f t="shared" si="24"/>
        <v>2012</v>
      </c>
      <c r="AD281" s="12">
        <f t="shared" si="25"/>
        <v>10</v>
      </c>
      <c r="AE281" s="12">
        <f t="shared" si="26"/>
        <v>6</v>
      </c>
      <c r="AF281" s="16">
        <f t="shared" si="27"/>
        <v>22.2</v>
      </c>
      <c r="AG281" s="16" t="str">
        <f t="shared" si="28"/>
        <v/>
      </c>
      <c r="AH281" s="16">
        <f t="shared" si="29"/>
        <v>21.3</v>
      </c>
    </row>
    <row r="282" spans="1:34" x14ac:dyDescent="0.35">
      <c r="A282" s="2" t="s">
        <v>2016</v>
      </c>
      <c r="B282" s="2" t="s">
        <v>29</v>
      </c>
      <c r="C282" s="2" t="s">
        <v>49</v>
      </c>
      <c r="D282" s="2" t="s">
        <v>200</v>
      </c>
      <c r="E282" s="2" t="s">
        <v>306</v>
      </c>
      <c r="F282" s="2" t="s">
        <v>889</v>
      </c>
      <c r="G282" s="2" t="s">
        <v>34</v>
      </c>
      <c r="H282" s="2" t="s">
        <v>240</v>
      </c>
      <c r="I282" s="2" t="s">
        <v>37</v>
      </c>
      <c r="J282" s="2" t="s">
        <v>714</v>
      </c>
      <c r="K282" s="2" t="s">
        <v>38</v>
      </c>
      <c r="L282" s="2" t="s">
        <v>38</v>
      </c>
      <c r="M282" s="2" t="s">
        <v>39</v>
      </c>
      <c r="N282" s="2" t="s">
        <v>38</v>
      </c>
      <c r="O282" s="2" t="s">
        <v>38</v>
      </c>
      <c r="P282" s="2" t="s">
        <v>38</v>
      </c>
      <c r="Q282" s="2" t="s">
        <v>1157</v>
      </c>
      <c r="R282" s="2" t="s">
        <v>1367</v>
      </c>
      <c r="S282" s="2" t="s">
        <v>58</v>
      </c>
      <c r="T282" s="2" t="s">
        <v>2017</v>
      </c>
      <c r="U282" s="2" t="s">
        <v>205</v>
      </c>
      <c r="V282" s="2" t="s">
        <v>2018</v>
      </c>
      <c r="W282" s="2" t="s">
        <v>38</v>
      </c>
      <c r="X282" s="3">
        <v>41189</v>
      </c>
      <c r="Y282" s="2" t="s">
        <v>2019</v>
      </c>
      <c r="Z282" s="35">
        <v>216</v>
      </c>
      <c r="AA282" s="2" t="s">
        <v>1988</v>
      </c>
      <c r="AB282" s="2" t="s">
        <v>1989</v>
      </c>
      <c r="AC282" s="12">
        <f t="shared" si="24"/>
        <v>2012</v>
      </c>
      <c r="AD282" s="12">
        <f t="shared" si="25"/>
        <v>10</v>
      </c>
      <c r="AE282" s="12">
        <f t="shared" si="26"/>
        <v>7</v>
      </c>
      <c r="AF282" s="16">
        <f t="shared" si="27"/>
        <v>22.7</v>
      </c>
      <c r="AG282" s="16" t="str">
        <f t="shared" si="28"/>
        <v/>
      </c>
      <c r="AH282" s="16">
        <f t="shared" si="29"/>
        <v>21.6</v>
      </c>
    </row>
    <row r="283" spans="1:34" x14ac:dyDescent="0.35">
      <c r="A283" s="2" t="s">
        <v>2021</v>
      </c>
      <c r="B283" s="2" t="s">
        <v>29</v>
      </c>
      <c r="C283" s="2" t="s">
        <v>49</v>
      </c>
      <c r="D283" s="2" t="s">
        <v>214</v>
      </c>
      <c r="E283" s="2" t="s">
        <v>714</v>
      </c>
      <c r="F283" s="2" t="s">
        <v>439</v>
      </c>
      <c r="G283" s="2" t="s">
        <v>34</v>
      </c>
      <c r="H283" s="2" t="s">
        <v>35</v>
      </c>
      <c r="I283" s="2" t="s">
        <v>37</v>
      </c>
      <c r="J283" s="2" t="s">
        <v>50</v>
      </c>
      <c r="K283" s="2" t="s">
        <v>38</v>
      </c>
      <c r="L283" s="2" t="s">
        <v>38</v>
      </c>
      <c r="M283" s="2" t="s">
        <v>39</v>
      </c>
      <c r="N283" s="2" t="s">
        <v>38</v>
      </c>
      <c r="O283" s="2" t="s">
        <v>38</v>
      </c>
      <c r="P283" s="2" t="s">
        <v>38</v>
      </c>
      <c r="Q283" s="2" t="s">
        <v>2022</v>
      </c>
      <c r="R283" s="2" t="s">
        <v>41</v>
      </c>
      <c r="S283" s="2" t="s">
        <v>167</v>
      </c>
      <c r="T283" s="2" t="s">
        <v>1402</v>
      </c>
      <c r="U283" s="2" t="s">
        <v>796</v>
      </c>
      <c r="V283" s="2" t="s">
        <v>1507</v>
      </c>
      <c r="W283" s="2" t="s">
        <v>38</v>
      </c>
      <c r="X283" s="3">
        <v>41190</v>
      </c>
      <c r="Y283" s="2" t="s">
        <v>2023</v>
      </c>
      <c r="Z283" s="5">
        <v>205</v>
      </c>
      <c r="AA283" s="2" t="s">
        <v>1988</v>
      </c>
      <c r="AB283" s="2" t="s">
        <v>1989</v>
      </c>
      <c r="AC283" s="12">
        <f t="shared" si="24"/>
        <v>2012</v>
      </c>
      <c r="AD283" s="12">
        <f t="shared" si="25"/>
        <v>10</v>
      </c>
      <c r="AE283" s="12">
        <f t="shared" si="26"/>
        <v>8</v>
      </c>
      <c r="AF283" s="16">
        <f t="shared" si="27"/>
        <v>22</v>
      </c>
      <c r="AG283" s="16" t="str">
        <f t="shared" si="28"/>
        <v/>
      </c>
      <c r="AH283" s="16">
        <f t="shared" si="29"/>
        <v>20.5</v>
      </c>
    </row>
    <row r="284" spans="1:34" x14ac:dyDescent="0.35">
      <c r="A284" s="2" t="s">
        <v>2027</v>
      </c>
      <c r="B284" s="2" t="s">
        <v>29</v>
      </c>
      <c r="C284" s="2" t="s">
        <v>49</v>
      </c>
      <c r="D284" s="2" t="s">
        <v>200</v>
      </c>
      <c r="E284" s="2" t="s">
        <v>714</v>
      </c>
      <c r="F284" s="2" t="s">
        <v>638</v>
      </c>
      <c r="G284" s="2" t="s">
        <v>34</v>
      </c>
      <c r="H284" s="2" t="s">
        <v>180</v>
      </c>
      <c r="I284" s="2" t="s">
        <v>37</v>
      </c>
      <c r="J284" s="2" t="s">
        <v>50</v>
      </c>
      <c r="K284" s="2" t="s">
        <v>38</v>
      </c>
      <c r="L284" s="2" t="s">
        <v>38</v>
      </c>
      <c r="M284" s="2" t="s">
        <v>39</v>
      </c>
      <c r="N284" s="2" t="s">
        <v>38</v>
      </c>
      <c r="O284" s="2" t="s">
        <v>38</v>
      </c>
      <c r="P284" s="2" t="s">
        <v>38</v>
      </c>
      <c r="Q284" s="2" t="s">
        <v>1024</v>
      </c>
      <c r="R284" s="2" t="s">
        <v>41</v>
      </c>
      <c r="S284" s="2" t="s">
        <v>2028</v>
      </c>
      <c r="T284" s="2" t="s">
        <v>1383</v>
      </c>
      <c r="U284" s="2" t="s">
        <v>205</v>
      </c>
      <c r="V284" s="2" t="s">
        <v>1462</v>
      </c>
      <c r="W284" s="2" t="s">
        <v>38</v>
      </c>
      <c r="X284" s="3">
        <v>41191</v>
      </c>
      <c r="Y284" s="2" t="s">
        <v>2029</v>
      </c>
      <c r="Z284" s="35">
        <v>210</v>
      </c>
      <c r="AA284" s="2" t="s">
        <v>1988</v>
      </c>
      <c r="AB284" s="2" t="s">
        <v>1989</v>
      </c>
      <c r="AC284" s="12">
        <f t="shared" si="24"/>
        <v>2012</v>
      </c>
      <c r="AD284" s="12">
        <f t="shared" si="25"/>
        <v>10</v>
      </c>
      <c r="AE284" s="12">
        <f t="shared" si="26"/>
        <v>9</v>
      </c>
      <c r="AF284" s="16">
        <f t="shared" si="27"/>
        <v>22.3</v>
      </c>
      <c r="AG284" s="16" t="str">
        <f t="shared" si="28"/>
        <v/>
      </c>
      <c r="AH284" s="16">
        <f t="shared" si="29"/>
        <v>21</v>
      </c>
    </row>
    <row r="285" spans="1:34" x14ac:dyDescent="0.35">
      <c r="A285" s="2" t="s">
        <v>2031</v>
      </c>
      <c r="B285" s="2" t="s">
        <v>29</v>
      </c>
      <c r="C285" s="2" t="s">
        <v>49</v>
      </c>
      <c r="D285" s="2" t="s">
        <v>200</v>
      </c>
      <c r="E285" s="2" t="s">
        <v>306</v>
      </c>
      <c r="F285" s="2" t="s">
        <v>424</v>
      </c>
      <c r="G285" s="2" t="s">
        <v>931</v>
      </c>
      <c r="H285" s="2" t="s">
        <v>137</v>
      </c>
      <c r="I285" s="2" t="s">
        <v>37</v>
      </c>
      <c r="J285" s="2" t="s">
        <v>50</v>
      </c>
      <c r="K285" s="2" t="s">
        <v>38</v>
      </c>
      <c r="L285" s="2" t="s">
        <v>38</v>
      </c>
      <c r="M285" s="2" t="s">
        <v>39</v>
      </c>
      <c r="N285" s="2" t="s">
        <v>38</v>
      </c>
      <c r="O285" s="2" t="s">
        <v>38</v>
      </c>
      <c r="P285" s="2" t="s">
        <v>38</v>
      </c>
      <c r="Q285" s="2" t="s">
        <v>1617</v>
      </c>
      <c r="R285" s="2" t="s">
        <v>71</v>
      </c>
      <c r="S285" s="2" t="s">
        <v>89</v>
      </c>
      <c r="T285" s="2" t="s">
        <v>90</v>
      </c>
      <c r="U285" s="2" t="s">
        <v>858</v>
      </c>
      <c r="V285" s="2" t="s">
        <v>1458</v>
      </c>
      <c r="W285" s="2" t="s">
        <v>38</v>
      </c>
      <c r="X285" s="3">
        <v>41192</v>
      </c>
      <c r="Y285" s="2" t="s">
        <v>2034</v>
      </c>
      <c r="Z285" s="5">
        <v>212</v>
      </c>
      <c r="AA285" s="2" t="s">
        <v>1988</v>
      </c>
      <c r="AB285" s="2" t="s">
        <v>1989</v>
      </c>
      <c r="AC285" s="12">
        <f t="shared" si="24"/>
        <v>2012</v>
      </c>
      <c r="AD285" s="12">
        <f t="shared" si="25"/>
        <v>10</v>
      </c>
      <c r="AE285" s="12">
        <f t="shared" si="26"/>
        <v>10</v>
      </c>
      <c r="AF285" s="16">
        <f t="shared" si="27"/>
        <v>22.6</v>
      </c>
      <c r="AG285" s="16" t="str">
        <f t="shared" si="28"/>
        <v/>
      </c>
      <c r="AH285" s="16">
        <f t="shared" si="29"/>
        <v>21.2</v>
      </c>
    </row>
    <row r="286" spans="1:34" x14ac:dyDescent="0.35">
      <c r="A286" s="2" t="s">
        <v>2035</v>
      </c>
      <c r="B286" s="2" t="s">
        <v>29</v>
      </c>
      <c r="C286" s="2" t="s">
        <v>49</v>
      </c>
      <c r="D286" s="2" t="s">
        <v>200</v>
      </c>
      <c r="E286" s="2" t="s">
        <v>50</v>
      </c>
      <c r="F286" s="2" t="s">
        <v>1193</v>
      </c>
      <c r="G286" s="2" t="s">
        <v>34</v>
      </c>
      <c r="H286" s="2" t="s">
        <v>113</v>
      </c>
      <c r="I286" s="2" t="s">
        <v>37</v>
      </c>
      <c r="J286" s="2" t="s">
        <v>579</v>
      </c>
      <c r="K286" s="2" t="s">
        <v>38</v>
      </c>
      <c r="L286" s="2" t="s">
        <v>38</v>
      </c>
      <c r="M286" s="2" t="s">
        <v>39</v>
      </c>
      <c r="N286" s="2" t="s">
        <v>38</v>
      </c>
      <c r="O286" s="2" t="s">
        <v>38</v>
      </c>
      <c r="P286" s="2" t="s">
        <v>38</v>
      </c>
      <c r="Q286" s="2" t="s">
        <v>1938</v>
      </c>
      <c r="R286" s="2" t="s">
        <v>98</v>
      </c>
      <c r="S286" s="2" t="s">
        <v>89</v>
      </c>
      <c r="T286" s="2" t="s">
        <v>90</v>
      </c>
      <c r="U286" s="2" t="s">
        <v>858</v>
      </c>
      <c r="V286" s="2" t="s">
        <v>1480</v>
      </c>
      <c r="W286" s="2" t="s">
        <v>38</v>
      </c>
      <c r="X286" s="3">
        <v>41193</v>
      </c>
      <c r="Y286" s="2" t="s">
        <v>2036</v>
      </c>
      <c r="Z286" s="5">
        <v>201</v>
      </c>
      <c r="AA286" s="2" t="s">
        <v>1988</v>
      </c>
      <c r="AB286" s="2" t="s">
        <v>1989</v>
      </c>
      <c r="AC286" s="12">
        <f t="shared" si="24"/>
        <v>2012</v>
      </c>
      <c r="AD286" s="12">
        <f t="shared" si="25"/>
        <v>10</v>
      </c>
      <c r="AE286" s="12">
        <f t="shared" si="26"/>
        <v>11</v>
      </c>
      <c r="AF286" s="16">
        <f t="shared" si="27"/>
        <v>21.1</v>
      </c>
      <c r="AG286" s="16" t="str">
        <f t="shared" si="28"/>
        <v/>
      </c>
      <c r="AH286" s="16">
        <f t="shared" si="29"/>
        <v>20.100000000000001</v>
      </c>
    </row>
    <row r="287" spans="1:34" x14ac:dyDescent="0.35">
      <c r="A287" s="2" t="s">
        <v>2038</v>
      </c>
      <c r="B287" s="2" t="s">
        <v>29</v>
      </c>
      <c r="C287" s="2" t="s">
        <v>49</v>
      </c>
      <c r="D287" s="2" t="s">
        <v>200</v>
      </c>
      <c r="E287" s="2" t="s">
        <v>596</v>
      </c>
      <c r="F287" s="2" t="s">
        <v>294</v>
      </c>
      <c r="G287" s="2" t="s">
        <v>34</v>
      </c>
      <c r="H287" s="2" t="s">
        <v>127</v>
      </c>
      <c r="I287" s="2" t="s">
        <v>37</v>
      </c>
      <c r="J287" s="2" t="s">
        <v>51</v>
      </c>
      <c r="K287" s="2" t="s">
        <v>38</v>
      </c>
      <c r="L287" s="2" t="s">
        <v>38</v>
      </c>
      <c r="M287" s="2" t="s">
        <v>39</v>
      </c>
      <c r="N287" s="2" t="s">
        <v>38</v>
      </c>
      <c r="O287" s="2" t="s">
        <v>38</v>
      </c>
      <c r="P287" s="2" t="s">
        <v>38</v>
      </c>
      <c r="Q287" s="2" t="s">
        <v>2039</v>
      </c>
      <c r="R287" s="2" t="s">
        <v>183</v>
      </c>
      <c r="S287" s="2" t="s">
        <v>89</v>
      </c>
      <c r="T287" s="2" t="s">
        <v>90</v>
      </c>
      <c r="U287" s="2" t="s">
        <v>303</v>
      </c>
      <c r="V287" s="2" t="s">
        <v>1036</v>
      </c>
      <c r="W287" s="2" t="s">
        <v>38</v>
      </c>
      <c r="X287" s="3">
        <v>41194</v>
      </c>
      <c r="Y287" s="2" t="s">
        <v>2040</v>
      </c>
      <c r="Z287" s="35">
        <v>175</v>
      </c>
      <c r="AA287" s="2" t="s">
        <v>1988</v>
      </c>
      <c r="AB287" s="2" t="s">
        <v>1989</v>
      </c>
      <c r="AC287" s="12">
        <f t="shared" si="24"/>
        <v>2012</v>
      </c>
      <c r="AD287" s="12">
        <f t="shared" si="25"/>
        <v>10</v>
      </c>
      <c r="AE287" s="12">
        <f t="shared" si="26"/>
        <v>12</v>
      </c>
      <c r="AF287" s="16">
        <f t="shared" si="27"/>
        <v>19.100000000000001</v>
      </c>
      <c r="AG287" s="16" t="str">
        <f t="shared" si="28"/>
        <v/>
      </c>
      <c r="AH287" s="16">
        <f t="shared" si="29"/>
        <v>17.5</v>
      </c>
    </row>
    <row r="288" spans="1:34" x14ac:dyDescent="0.35">
      <c r="A288" s="2" t="s">
        <v>2043</v>
      </c>
      <c r="B288" s="2" t="s">
        <v>29</v>
      </c>
      <c r="C288" s="2" t="s">
        <v>49</v>
      </c>
      <c r="D288" s="2" t="s">
        <v>214</v>
      </c>
      <c r="E288" s="2" t="s">
        <v>579</v>
      </c>
      <c r="F288" s="2" t="s">
        <v>2044</v>
      </c>
      <c r="G288" s="2" t="s">
        <v>34</v>
      </c>
      <c r="H288" s="2" t="s">
        <v>276</v>
      </c>
      <c r="I288" s="2" t="s">
        <v>37</v>
      </c>
      <c r="J288" s="2" t="s">
        <v>579</v>
      </c>
      <c r="K288" s="2" t="s">
        <v>38</v>
      </c>
      <c r="L288" s="2" t="s">
        <v>38</v>
      </c>
      <c r="M288" s="2" t="s">
        <v>39</v>
      </c>
      <c r="N288" s="2" t="s">
        <v>38</v>
      </c>
      <c r="O288" s="2" t="s">
        <v>38</v>
      </c>
      <c r="P288" s="2" t="s">
        <v>38</v>
      </c>
      <c r="Q288" s="2" t="s">
        <v>1916</v>
      </c>
      <c r="R288" s="2" t="s">
        <v>183</v>
      </c>
      <c r="S288" s="2" t="s">
        <v>89</v>
      </c>
      <c r="T288" s="2" t="s">
        <v>90</v>
      </c>
      <c r="U288" s="2" t="s">
        <v>219</v>
      </c>
      <c r="V288" s="2" t="s">
        <v>1352</v>
      </c>
      <c r="W288" s="2" t="s">
        <v>38</v>
      </c>
      <c r="X288" s="3">
        <v>41195</v>
      </c>
      <c r="Y288" s="2" t="s">
        <v>2045</v>
      </c>
      <c r="Z288" s="5">
        <v>196</v>
      </c>
      <c r="AA288" s="2" t="s">
        <v>1988</v>
      </c>
      <c r="AB288" s="2" t="s">
        <v>1989</v>
      </c>
      <c r="AC288" s="12">
        <f t="shared" si="24"/>
        <v>2012</v>
      </c>
      <c r="AD288" s="12">
        <f t="shared" si="25"/>
        <v>10</v>
      </c>
      <c r="AE288" s="12">
        <f t="shared" si="26"/>
        <v>13</v>
      </c>
      <c r="AF288" s="16">
        <f t="shared" si="27"/>
        <v>19.899999999999999</v>
      </c>
      <c r="AG288" s="16" t="str">
        <f t="shared" si="28"/>
        <v/>
      </c>
      <c r="AH288" s="16">
        <f t="shared" si="29"/>
        <v>19.600000000000001</v>
      </c>
    </row>
    <row r="289" spans="1:34" x14ac:dyDescent="0.35">
      <c r="A289" s="2" t="s">
        <v>2047</v>
      </c>
      <c r="B289" s="2" t="s">
        <v>29</v>
      </c>
      <c r="C289" s="2" t="s">
        <v>49</v>
      </c>
      <c r="D289" s="2" t="s">
        <v>214</v>
      </c>
      <c r="E289" s="2" t="s">
        <v>50</v>
      </c>
      <c r="F289" s="2" t="s">
        <v>282</v>
      </c>
      <c r="G289" s="2" t="s">
        <v>1023</v>
      </c>
      <c r="H289" s="2" t="s">
        <v>217</v>
      </c>
      <c r="I289" s="2" t="s">
        <v>37</v>
      </c>
      <c r="J289" s="2" t="s">
        <v>55</v>
      </c>
      <c r="K289" s="2" t="s">
        <v>38</v>
      </c>
      <c r="L289" s="2" t="s">
        <v>38</v>
      </c>
      <c r="M289" s="2" t="s">
        <v>39</v>
      </c>
      <c r="N289" s="2" t="s">
        <v>38</v>
      </c>
      <c r="O289" s="2" t="s">
        <v>38</v>
      </c>
      <c r="P289" s="2" t="s">
        <v>38</v>
      </c>
      <c r="Q289" s="2" t="s">
        <v>2048</v>
      </c>
      <c r="R289" s="2" t="s">
        <v>71</v>
      </c>
      <c r="S289" s="2" t="s">
        <v>89</v>
      </c>
      <c r="T289" s="2" t="s">
        <v>90</v>
      </c>
      <c r="U289" s="2" t="s">
        <v>1671</v>
      </c>
      <c r="V289" s="2" t="s">
        <v>701</v>
      </c>
      <c r="W289" s="2" t="s">
        <v>38</v>
      </c>
      <c r="X289" s="3">
        <v>41196</v>
      </c>
      <c r="Y289" s="2" t="s">
        <v>2049</v>
      </c>
      <c r="Z289" s="35">
        <v>176</v>
      </c>
      <c r="AA289" s="2" t="s">
        <v>1988</v>
      </c>
      <c r="AB289" s="2" t="s">
        <v>1989</v>
      </c>
      <c r="AC289" s="12">
        <f t="shared" si="24"/>
        <v>2012</v>
      </c>
      <c r="AD289" s="12">
        <f t="shared" si="25"/>
        <v>10</v>
      </c>
      <c r="AE289" s="12">
        <f t="shared" si="26"/>
        <v>14</v>
      </c>
      <c r="AF289" s="16">
        <f t="shared" si="27"/>
        <v>21</v>
      </c>
      <c r="AG289" s="16" t="str">
        <f t="shared" si="28"/>
        <v/>
      </c>
      <c r="AH289" s="16">
        <f t="shared" si="29"/>
        <v>17.600000000000001</v>
      </c>
    </row>
    <row r="290" spans="1:34" x14ac:dyDescent="0.35">
      <c r="A290" s="2" t="s">
        <v>2051</v>
      </c>
      <c r="B290" s="2" t="s">
        <v>29</v>
      </c>
      <c r="C290" s="2" t="s">
        <v>49</v>
      </c>
      <c r="D290" s="2" t="s">
        <v>306</v>
      </c>
      <c r="E290" s="2" t="s">
        <v>55</v>
      </c>
      <c r="F290" s="2" t="s">
        <v>390</v>
      </c>
      <c r="G290" s="2" t="s">
        <v>68</v>
      </c>
      <c r="H290" s="2" t="s">
        <v>69</v>
      </c>
      <c r="I290" s="2" t="s">
        <v>37</v>
      </c>
      <c r="J290" s="2" t="s">
        <v>51</v>
      </c>
      <c r="K290" s="2" t="s">
        <v>38</v>
      </c>
      <c r="L290" s="2" t="s">
        <v>38</v>
      </c>
      <c r="M290" s="2" t="s">
        <v>39</v>
      </c>
      <c r="N290" s="2" t="s">
        <v>38</v>
      </c>
      <c r="O290" s="2" t="s">
        <v>38</v>
      </c>
      <c r="P290" s="2" t="s">
        <v>38</v>
      </c>
      <c r="Q290" s="2" t="s">
        <v>2054</v>
      </c>
      <c r="R290" s="2" t="s">
        <v>71</v>
      </c>
      <c r="S290" s="2" t="s">
        <v>167</v>
      </c>
      <c r="T290" s="2" t="s">
        <v>73</v>
      </c>
      <c r="U290" s="2" t="s">
        <v>1458</v>
      </c>
      <c r="V290" s="2" t="s">
        <v>74</v>
      </c>
      <c r="W290" s="2" t="s">
        <v>38</v>
      </c>
      <c r="X290" s="3">
        <v>41197</v>
      </c>
      <c r="Y290" s="2" t="s">
        <v>2055</v>
      </c>
      <c r="Z290" s="35">
        <v>166</v>
      </c>
      <c r="AA290" s="2" t="s">
        <v>1988</v>
      </c>
      <c r="AB290" s="2" t="s">
        <v>1989</v>
      </c>
      <c r="AC290" s="12">
        <f t="shared" si="24"/>
        <v>2012</v>
      </c>
      <c r="AD290" s="12">
        <f t="shared" si="25"/>
        <v>10</v>
      </c>
      <c r="AE290" s="12">
        <f t="shared" si="26"/>
        <v>15</v>
      </c>
      <c r="AF290" s="16">
        <f t="shared" si="27"/>
        <v>17.600000000000001</v>
      </c>
      <c r="AG290" s="16" t="str">
        <f t="shared" si="28"/>
        <v/>
      </c>
      <c r="AH290" s="16">
        <f t="shared" si="29"/>
        <v>16.600000000000001</v>
      </c>
    </row>
    <row r="291" spans="1:34" x14ac:dyDescent="0.35">
      <c r="A291" s="2" t="s">
        <v>2056</v>
      </c>
      <c r="B291" s="2" t="s">
        <v>29</v>
      </c>
      <c r="C291" s="2" t="s">
        <v>49</v>
      </c>
      <c r="D291" s="2" t="s">
        <v>306</v>
      </c>
      <c r="E291" s="2" t="s">
        <v>51</v>
      </c>
      <c r="F291" s="2" t="s">
        <v>500</v>
      </c>
      <c r="G291" s="2" t="s">
        <v>34</v>
      </c>
      <c r="H291" s="2" t="s">
        <v>144</v>
      </c>
      <c r="I291" s="2" t="s">
        <v>37</v>
      </c>
      <c r="J291" s="2" t="s">
        <v>51</v>
      </c>
      <c r="K291" s="2" t="s">
        <v>38</v>
      </c>
      <c r="L291" s="2" t="s">
        <v>38</v>
      </c>
      <c r="M291" s="2" t="s">
        <v>39</v>
      </c>
      <c r="N291" s="2" t="s">
        <v>38</v>
      </c>
      <c r="O291" s="2" t="s">
        <v>38</v>
      </c>
      <c r="P291" s="2" t="s">
        <v>38</v>
      </c>
      <c r="Q291" s="2" t="s">
        <v>2057</v>
      </c>
      <c r="R291" s="2" t="s">
        <v>183</v>
      </c>
      <c r="S291" s="2" t="s">
        <v>72</v>
      </c>
      <c r="T291" s="2" t="s">
        <v>73</v>
      </c>
      <c r="U291" s="2" t="s">
        <v>1880</v>
      </c>
      <c r="V291" s="2" t="s">
        <v>2058</v>
      </c>
      <c r="W291" s="2" t="s">
        <v>38</v>
      </c>
      <c r="X291" s="3">
        <v>41198</v>
      </c>
      <c r="Y291" s="2" t="s">
        <v>2059</v>
      </c>
      <c r="Z291" s="5">
        <v>171</v>
      </c>
      <c r="AA291" s="2" t="s">
        <v>1988</v>
      </c>
      <c r="AB291" s="2" t="s">
        <v>1989</v>
      </c>
      <c r="AC291" s="12">
        <f t="shared" si="24"/>
        <v>2012</v>
      </c>
      <c r="AD291" s="12">
        <f t="shared" si="25"/>
        <v>10</v>
      </c>
      <c r="AE291" s="12">
        <f t="shared" si="26"/>
        <v>16</v>
      </c>
      <c r="AF291" s="16">
        <f t="shared" si="27"/>
        <v>17.5</v>
      </c>
      <c r="AG291" s="16" t="str">
        <f t="shared" si="28"/>
        <v/>
      </c>
      <c r="AH291" s="16">
        <f t="shared" si="29"/>
        <v>17.100000000000001</v>
      </c>
    </row>
    <row r="292" spans="1:34" x14ac:dyDescent="0.35">
      <c r="A292" s="2" t="s">
        <v>2062</v>
      </c>
      <c r="B292" s="2" t="s">
        <v>29</v>
      </c>
      <c r="C292" s="2" t="s">
        <v>49</v>
      </c>
      <c r="D292" s="2" t="s">
        <v>306</v>
      </c>
      <c r="E292" s="2" t="s">
        <v>55</v>
      </c>
      <c r="F292" s="2" t="s">
        <v>2063</v>
      </c>
      <c r="G292" s="2" t="s">
        <v>34</v>
      </c>
      <c r="H292" s="2" t="s">
        <v>371</v>
      </c>
      <c r="I292" s="2" t="s">
        <v>37</v>
      </c>
      <c r="J292" s="2" t="s">
        <v>51</v>
      </c>
      <c r="K292" s="2" t="s">
        <v>38</v>
      </c>
      <c r="L292" s="2" t="s">
        <v>38</v>
      </c>
      <c r="M292" s="2" t="s">
        <v>39</v>
      </c>
      <c r="N292" s="2" t="s">
        <v>38</v>
      </c>
      <c r="O292" s="2" t="s">
        <v>38</v>
      </c>
      <c r="P292" s="2" t="s">
        <v>38</v>
      </c>
      <c r="Q292" s="2" t="s">
        <v>2064</v>
      </c>
      <c r="R292" s="2" t="s">
        <v>2065</v>
      </c>
      <c r="S292" s="2" t="s">
        <v>507</v>
      </c>
      <c r="T292" s="2" t="s">
        <v>1072</v>
      </c>
      <c r="U292" s="2" t="s">
        <v>311</v>
      </c>
      <c r="V292" s="2" t="s">
        <v>1346</v>
      </c>
      <c r="W292" s="2" t="s">
        <v>38</v>
      </c>
      <c r="X292" s="3">
        <v>41199</v>
      </c>
      <c r="Y292" s="2" t="s">
        <v>2066</v>
      </c>
      <c r="Z292" s="5">
        <v>174</v>
      </c>
      <c r="AA292" s="2" t="s">
        <v>1988</v>
      </c>
      <c r="AB292" s="2" t="s">
        <v>1989</v>
      </c>
      <c r="AC292" s="12">
        <f t="shared" si="24"/>
        <v>2012</v>
      </c>
      <c r="AD292" s="12">
        <f t="shared" si="25"/>
        <v>10</v>
      </c>
      <c r="AE292" s="12">
        <f t="shared" si="26"/>
        <v>17</v>
      </c>
      <c r="AF292" s="16">
        <f t="shared" si="27"/>
        <v>17.899999999999999</v>
      </c>
      <c r="AG292" s="16" t="str">
        <f t="shared" si="28"/>
        <v/>
      </c>
      <c r="AH292" s="16">
        <f t="shared" si="29"/>
        <v>17.399999999999999</v>
      </c>
    </row>
    <row r="293" spans="1:34" x14ac:dyDescent="0.35">
      <c r="A293" s="2" t="s">
        <v>2068</v>
      </c>
      <c r="B293" s="2" t="s">
        <v>29</v>
      </c>
      <c r="C293" s="2" t="s">
        <v>49</v>
      </c>
      <c r="D293" s="2" t="s">
        <v>214</v>
      </c>
      <c r="E293" s="2" t="s">
        <v>55</v>
      </c>
      <c r="F293" s="2" t="s">
        <v>879</v>
      </c>
      <c r="G293" s="2" t="s">
        <v>1071</v>
      </c>
      <c r="H293" s="2" t="s">
        <v>54</v>
      </c>
      <c r="I293" s="2" t="s">
        <v>37</v>
      </c>
      <c r="J293" s="2" t="s">
        <v>51</v>
      </c>
      <c r="K293" s="2" t="s">
        <v>38</v>
      </c>
      <c r="L293" s="2" t="s">
        <v>38</v>
      </c>
      <c r="M293" s="2" t="s">
        <v>39</v>
      </c>
      <c r="N293" s="2" t="s">
        <v>38</v>
      </c>
      <c r="O293" s="2" t="s">
        <v>38</v>
      </c>
      <c r="P293" s="2" t="s">
        <v>38</v>
      </c>
      <c r="Q293" s="2" t="s">
        <v>2069</v>
      </c>
      <c r="R293" s="2" t="s">
        <v>71</v>
      </c>
      <c r="S293" s="2" t="s">
        <v>89</v>
      </c>
      <c r="T293" s="2" t="s">
        <v>90</v>
      </c>
      <c r="U293" s="2" t="s">
        <v>219</v>
      </c>
      <c r="V293" s="2" t="s">
        <v>928</v>
      </c>
      <c r="W293" s="2" t="s">
        <v>38</v>
      </c>
      <c r="X293" s="3">
        <v>41200</v>
      </c>
      <c r="Y293" s="2" t="s">
        <v>2070</v>
      </c>
      <c r="Z293" s="35">
        <v>165</v>
      </c>
      <c r="AA293" s="2" t="s">
        <v>1988</v>
      </c>
      <c r="AB293" s="2" t="s">
        <v>1989</v>
      </c>
      <c r="AC293" s="12">
        <f t="shared" si="24"/>
        <v>2012</v>
      </c>
      <c r="AD293" s="12">
        <f t="shared" si="25"/>
        <v>10</v>
      </c>
      <c r="AE293" s="12">
        <f t="shared" si="26"/>
        <v>18</v>
      </c>
      <c r="AF293" s="16">
        <f t="shared" si="27"/>
        <v>18.3</v>
      </c>
      <c r="AG293" s="16" t="str">
        <f t="shared" si="28"/>
        <v/>
      </c>
      <c r="AH293" s="16">
        <f t="shared" si="29"/>
        <v>16.5</v>
      </c>
    </row>
    <row r="294" spans="1:34" x14ac:dyDescent="0.35">
      <c r="A294" s="2" t="s">
        <v>2073</v>
      </c>
      <c r="B294" s="2" t="s">
        <v>29</v>
      </c>
      <c r="C294" s="2" t="s">
        <v>49</v>
      </c>
      <c r="D294" s="2" t="s">
        <v>306</v>
      </c>
      <c r="E294" s="2" t="s">
        <v>51</v>
      </c>
      <c r="F294" s="2" t="s">
        <v>2076</v>
      </c>
      <c r="G294" s="2" t="s">
        <v>106</v>
      </c>
      <c r="H294" s="2" t="s">
        <v>233</v>
      </c>
      <c r="I294" s="2" t="s">
        <v>37</v>
      </c>
      <c r="J294" s="2" t="s">
        <v>32</v>
      </c>
      <c r="K294" s="2" t="s">
        <v>38</v>
      </c>
      <c r="L294" s="2" t="s">
        <v>38</v>
      </c>
      <c r="M294" s="2" t="s">
        <v>39</v>
      </c>
      <c r="N294" s="2" t="s">
        <v>38</v>
      </c>
      <c r="O294" s="2" t="s">
        <v>38</v>
      </c>
      <c r="P294" s="2" t="s">
        <v>38</v>
      </c>
      <c r="Q294" s="2" t="s">
        <v>857</v>
      </c>
      <c r="R294" s="2" t="s">
        <v>71</v>
      </c>
      <c r="S294" s="2" t="s">
        <v>89</v>
      </c>
      <c r="T294" s="2" t="s">
        <v>90</v>
      </c>
      <c r="U294" s="2" t="s">
        <v>782</v>
      </c>
      <c r="V294" s="2" t="s">
        <v>108</v>
      </c>
      <c r="W294" s="2" t="s">
        <v>38</v>
      </c>
      <c r="X294" s="3">
        <v>41201</v>
      </c>
      <c r="Y294" s="2" t="s">
        <v>2077</v>
      </c>
      <c r="Z294" s="35">
        <v>157</v>
      </c>
      <c r="AA294" s="2" t="s">
        <v>1988</v>
      </c>
      <c r="AB294" s="2" t="s">
        <v>1989</v>
      </c>
      <c r="AC294" s="12">
        <f t="shared" si="24"/>
        <v>2012</v>
      </c>
      <c r="AD294" s="12">
        <f t="shared" si="25"/>
        <v>10</v>
      </c>
      <c r="AE294" s="12">
        <f t="shared" si="26"/>
        <v>19</v>
      </c>
      <c r="AF294" s="16">
        <f t="shared" si="27"/>
        <v>16.600000000000001</v>
      </c>
      <c r="AG294" s="16" t="str">
        <f t="shared" si="28"/>
        <v/>
      </c>
      <c r="AH294" s="16">
        <f t="shared" si="29"/>
        <v>15.7</v>
      </c>
    </row>
    <row r="295" spans="1:34" x14ac:dyDescent="0.35">
      <c r="A295" s="2" t="s">
        <v>2078</v>
      </c>
      <c r="B295" s="2" t="s">
        <v>29</v>
      </c>
      <c r="C295" s="2" t="s">
        <v>49</v>
      </c>
      <c r="D295" s="2" t="s">
        <v>714</v>
      </c>
      <c r="E295" s="2" t="s">
        <v>94</v>
      </c>
      <c r="F295" s="2" t="s">
        <v>474</v>
      </c>
      <c r="G295" s="2" t="s">
        <v>34</v>
      </c>
      <c r="H295" s="2" t="s">
        <v>371</v>
      </c>
      <c r="I295" s="2" t="s">
        <v>37</v>
      </c>
      <c r="J295" s="2" t="s">
        <v>66</v>
      </c>
      <c r="K295" s="2" t="s">
        <v>38</v>
      </c>
      <c r="L295" s="2" t="s">
        <v>38</v>
      </c>
      <c r="M295" s="2" t="s">
        <v>39</v>
      </c>
      <c r="N295" s="2" t="s">
        <v>38</v>
      </c>
      <c r="O295" s="2" t="s">
        <v>38</v>
      </c>
      <c r="P295" s="2" t="s">
        <v>38</v>
      </c>
      <c r="Q295" s="2" t="s">
        <v>580</v>
      </c>
      <c r="R295" s="2" t="s">
        <v>183</v>
      </c>
      <c r="S295" s="2" t="s">
        <v>2080</v>
      </c>
      <c r="T295" s="2" t="s">
        <v>73</v>
      </c>
      <c r="U295" s="2" t="s">
        <v>770</v>
      </c>
      <c r="V295" s="2" t="s">
        <v>338</v>
      </c>
      <c r="W295" s="2" t="s">
        <v>38</v>
      </c>
      <c r="X295" s="3">
        <v>41202</v>
      </c>
      <c r="Y295" s="2" t="s">
        <v>2081</v>
      </c>
      <c r="Z295" s="5">
        <v>148</v>
      </c>
      <c r="AA295" s="2" t="s">
        <v>1988</v>
      </c>
      <c r="AB295" s="2" t="s">
        <v>1989</v>
      </c>
      <c r="AC295" s="12">
        <f t="shared" si="24"/>
        <v>2012</v>
      </c>
      <c r="AD295" s="12">
        <f t="shared" si="25"/>
        <v>10</v>
      </c>
      <c r="AE295" s="12">
        <f t="shared" si="26"/>
        <v>20</v>
      </c>
      <c r="AF295" s="16">
        <f t="shared" si="27"/>
        <v>14</v>
      </c>
      <c r="AG295" s="16" t="str">
        <f t="shared" si="28"/>
        <v/>
      </c>
      <c r="AH295" s="16">
        <f t="shared" si="29"/>
        <v>14.8</v>
      </c>
    </row>
    <row r="296" spans="1:34" x14ac:dyDescent="0.35">
      <c r="A296" s="2" t="s">
        <v>2082</v>
      </c>
      <c r="B296" s="2" t="s">
        <v>29</v>
      </c>
      <c r="C296" s="2" t="s">
        <v>49</v>
      </c>
      <c r="D296" s="2" t="s">
        <v>306</v>
      </c>
      <c r="E296" s="2" t="s">
        <v>50</v>
      </c>
      <c r="F296" s="2" t="s">
        <v>336</v>
      </c>
      <c r="G296" s="2" t="s">
        <v>2083</v>
      </c>
      <c r="H296" s="2" t="s">
        <v>79</v>
      </c>
      <c r="I296" s="2" t="s">
        <v>37</v>
      </c>
      <c r="J296" s="2" t="s">
        <v>579</v>
      </c>
      <c r="K296" s="2" t="s">
        <v>38</v>
      </c>
      <c r="L296" s="2" t="s">
        <v>38</v>
      </c>
      <c r="M296" s="2" t="s">
        <v>39</v>
      </c>
      <c r="N296" s="2" t="s">
        <v>38</v>
      </c>
      <c r="O296" s="2" t="s">
        <v>38</v>
      </c>
      <c r="P296" s="2" t="s">
        <v>38</v>
      </c>
      <c r="Q296" s="2" t="s">
        <v>1938</v>
      </c>
      <c r="R296" s="2" t="s">
        <v>1456</v>
      </c>
      <c r="S296" s="2" t="s">
        <v>2084</v>
      </c>
      <c r="T296" s="2" t="s">
        <v>2085</v>
      </c>
      <c r="U296" s="2" t="s">
        <v>1517</v>
      </c>
      <c r="V296" s="2" t="s">
        <v>60</v>
      </c>
      <c r="W296" s="2" t="s">
        <v>38</v>
      </c>
      <c r="X296" s="3">
        <v>41203</v>
      </c>
      <c r="Y296" s="2" t="s">
        <v>2086</v>
      </c>
      <c r="Z296" s="35">
        <v>201</v>
      </c>
      <c r="AA296" s="2" t="s">
        <v>1988</v>
      </c>
      <c r="AB296" s="2" t="s">
        <v>1989</v>
      </c>
      <c r="AC296" s="12">
        <f t="shared" si="24"/>
        <v>2012</v>
      </c>
      <c r="AD296" s="12">
        <f t="shared" si="25"/>
        <v>10</v>
      </c>
      <c r="AE296" s="12">
        <f t="shared" si="26"/>
        <v>21</v>
      </c>
      <c r="AF296" s="16">
        <f t="shared" si="27"/>
        <v>20.6</v>
      </c>
      <c r="AG296" s="16" t="str">
        <f t="shared" si="28"/>
        <v/>
      </c>
      <c r="AH296" s="16">
        <f t="shared" si="29"/>
        <v>20.100000000000001</v>
      </c>
    </row>
    <row r="297" spans="1:34" x14ac:dyDescent="0.35">
      <c r="A297" s="2" t="s">
        <v>2089</v>
      </c>
      <c r="B297" s="2" t="s">
        <v>29</v>
      </c>
      <c r="C297" s="2" t="s">
        <v>49</v>
      </c>
      <c r="D297" s="2" t="s">
        <v>306</v>
      </c>
      <c r="E297" s="2" t="s">
        <v>104</v>
      </c>
      <c r="F297" s="2" t="s">
        <v>420</v>
      </c>
      <c r="G297" s="2" t="s">
        <v>34</v>
      </c>
      <c r="H297" s="2" t="s">
        <v>202</v>
      </c>
      <c r="I297" s="2" t="s">
        <v>37</v>
      </c>
      <c r="J297" s="2" t="s">
        <v>579</v>
      </c>
      <c r="K297" s="2" t="s">
        <v>38</v>
      </c>
      <c r="L297" s="2" t="s">
        <v>38</v>
      </c>
      <c r="M297" s="2" t="s">
        <v>39</v>
      </c>
      <c r="N297" s="2" t="s">
        <v>38</v>
      </c>
      <c r="O297" s="2" t="s">
        <v>38</v>
      </c>
      <c r="P297" s="2" t="s">
        <v>38</v>
      </c>
      <c r="Q297" s="2" t="s">
        <v>1111</v>
      </c>
      <c r="R297" s="2" t="s">
        <v>759</v>
      </c>
      <c r="S297" s="2" t="s">
        <v>2090</v>
      </c>
      <c r="T297" s="2" t="s">
        <v>2091</v>
      </c>
      <c r="U297" s="2" t="s">
        <v>311</v>
      </c>
      <c r="V297" s="2" t="s">
        <v>124</v>
      </c>
      <c r="W297" s="2" t="s">
        <v>38</v>
      </c>
      <c r="X297" s="3">
        <v>41204</v>
      </c>
      <c r="Y297" s="2" t="s">
        <v>2092</v>
      </c>
      <c r="Z297" s="5">
        <v>202</v>
      </c>
      <c r="AA297" s="2" t="s">
        <v>1988</v>
      </c>
      <c r="AB297" s="2" t="s">
        <v>1989</v>
      </c>
      <c r="AC297" s="12">
        <f t="shared" si="24"/>
        <v>2012</v>
      </c>
      <c r="AD297" s="12">
        <f t="shared" si="25"/>
        <v>10</v>
      </c>
      <c r="AE297" s="12">
        <f t="shared" si="26"/>
        <v>22</v>
      </c>
      <c r="AF297" s="16">
        <f t="shared" si="27"/>
        <v>13.5</v>
      </c>
      <c r="AG297" s="16" t="str">
        <f t="shared" si="28"/>
        <v/>
      </c>
      <c r="AH297" s="16">
        <f t="shared" si="29"/>
        <v>20.2</v>
      </c>
    </row>
    <row r="298" spans="1:34" x14ac:dyDescent="0.35">
      <c r="A298" s="2" t="s">
        <v>2094</v>
      </c>
      <c r="B298" s="2" t="s">
        <v>29</v>
      </c>
      <c r="C298" s="2" t="s">
        <v>49</v>
      </c>
      <c r="D298" s="2" t="s">
        <v>214</v>
      </c>
      <c r="E298" s="2" t="s">
        <v>579</v>
      </c>
      <c r="F298" s="2" t="s">
        <v>491</v>
      </c>
      <c r="G298" s="2" t="s">
        <v>53</v>
      </c>
      <c r="H298" s="2" t="s">
        <v>451</v>
      </c>
      <c r="I298" s="2" t="s">
        <v>37</v>
      </c>
      <c r="J298" s="2" t="s">
        <v>714</v>
      </c>
      <c r="K298" s="2" t="s">
        <v>38</v>
      </c>
      <c r="L298" s="2" t="s">
        <v>38</v>
      </c>
      <c r="M298" s="2" t="s">
        <v>39</v>
      </c>
      <c r="N298" s="2" t="s">
        <v>38</v>
      </c>
      <c r="O298" s="2" t="s">
        <v>38</v>
      </c>
      <c r="P298" s="2" t="s">
        <v>38</v>
      </c>
      <c r="Q298" s="2" t="s">
        <v>1046</v>
      </c>
      <c r="R298" s="2" t="s">
        <v>1456</v>
      </c>
      <c r="S298" s="2" t="s">
        <v>1003</v>
      </c>
      <c r="T298" s="2" t="s">
        <v>406</v>
      </c>
      <c r="U298" s="2" t="s">
        <v>796</v>
      </c>
      <c r="V298" s="2" t="s">
        <v>1053</v>
      </c>
      <c r="W298" s="2" t="s">
        <v>38</v>
      </c>
      <c r="X298" s="3">
        <v>41205</v>
      </c>
      <c r="Y298" s="2" t="s">
        <v>2097</v>
      </c>
      <c r="Z298" s="35">
        <v>218</v>
      </c>
      <c r="AA298" s="2" t="s">
        <v>1988</v>
      </c>
      <c r="AB298" s="2" t="s">
        <v>1989</v>
      </c>
      <c r="AC298" s="12">
        <f t="shared" si="24"/>
        <v>2012</v>
      </c>
      <c r="AD298" s="12">
        <f t="shared" si="25"/>
        <v>10</v>
      </c>
      <c r="AE298" s="12">
        <f t="shared" si="26"/>
        <v>23</v>
      </c>
      <c r="AF298" s="16">
        <f t="shared" si="27"/>
        <v>20.100000000000001</v>
      </c>
      <c r="AG298" s="16" t="str">
        <f t="shared" si="28"/>
        <v/>
      </c>
      <c r="AH298" s="16">
        <f t="shared" si="29"/>
        <v>21.8</v>
      </c>
    </row>
    <row r="299" spans="1:34" x14ac:dyDescent="0.35">
      <c r="A299" s="2" t="s">
        <v>2098</v>
      </c>
      <c r="B299" s="2" t="s">
        <v>29</v>
      </c>
      <c r="C299" s="2" t="s">
        <v>49</v>
      </c>
      <c r="D299" s="2" t="s">
        <v>214</v>
      </c>
      <c r="E299" s="2" t="s">
        <v>50</v>
      </c>
      <c r="F299" s="2" t="s">
        <v>1967</v>
      </c>
      <c r="G299" s="2" t="s">
        <v>53</v>
      </c>
      <c r="H299" s="2" t="s">
        <v>295</v>
      </c>
      <c r="I299" s="2" t="s">
        <v>37</v>
      </c>
      <c r="J299" s="2" t="s">
        <v>50</v>
      </c>
      <c r="K299" s="2" t="s">
        <v>38</v>
      </c>
      <c r="L299" s="2" t="s">
        <v>38</v>
      </c>
      <c r="M299" s="2" t="s">
        <v>39</v>
      </c>
      <c r="N299" s="2" t="s">
        <v>38</v>
      </c>
      <c r="O299" s="2" t="s">
        <v>38</v>
      </c>
      <c r="P299" s="2" t="s">
        <v>38</v>
      </c>
      <c r="Q299" s="2" t="s">
        <v>1382</v>
      </c>
      <c r="R299" s="2" t="s">
        <v>358</v>
      </c>
      <c r="S299" s="2" t="s">
        <v>58</v>
      </c>
      <c r="T299" s="2" t="s">
        <v>1383</v>
      </c>
      <c r="U299" s="2" t="s">
        <v>1671</v>
      </c>
      <c r="V299" s="2" t="s">
        <v>1480</v>
      </c>
      <c r="W299" s="2" t="s">
        <v>38</v>
      </c>
      <c r="X299" s="3">
        <v>41206</v>
      </c>
      <c r="Y299" s="2" t="s">
        <v>2099</v>
      </c>
      <c r="Z299" s="5">
        <v>206</v>
      </c>
      <c r="AA299" s="2" t="s">
        <v>1988</v>
      </c>
      <c r="AB299" s="2" t="s">
        <v>1989</v>
      </c>
      <c r="AC299" s="12">
        <f t="shared" si="24"/>
        <v>2012</v>
      </c>
      <c r="AD299" s="12">
        <f t="shared" si="25"/>
        <v>10</v>
      </c>
      <c r="AE299" s="12">
        <f t="shared" si="26"/>
        <v>24</v>
      </c>
      <c r="AF299" s="16">
        <f t="shared" si="27"/>
        <v>21.1</v>
      </c>
      <c r="AG299" s="16" t="str">
        <f t="shared" si="28"/>
        <v/>
      </c>
      <c r="AH299" s="16">
        <f t="shared" si="29"/>
        <v>20.6</v>
      </c>
    </row>
    <row r="300" spans="1:34" x14ac:dyDescent="0.35">
      <c r="A300" s="2" t="s">
        <v>2103</v>
      </c>
      <c r="B300" s="2" t="s">
        <v>29</v>
      </c>
      <c r="C300" s="2" t="s">
        <v>49</v>
      </c>
      <c r="D300" s="2" t="s">
        <v>306</v>
      </c>
      <c r="E300" s="2" t="s">
        <v>50</v>
      </c>
      <c r="F300" s="2" t="s">
        <v>835</v>
      </c>
      <c r="G300" s="2" t="s">
        <v>2105</v>
      </c>
      <c r="H300" s="2" t="s">
        <v>331</v>
      </c>
      <c r="I300" s="2" t="s">
        <v>37</v>
      </c>
      <c r="J300" s="2" t="s">
        <v>579</v>
      </c>
      <c r="K300" s="2" t="s">
        <v>38</v>
      </c>
      <c r="L300" s="2" t="s">
        <v>38</v>
      </c>
      <c r="M300" s="2" t="s">
        <v>39</v>
      </c>
      <c r="N300" s="2" t="s">
        <v>38</v>
      </c>
      <c r="O300" s="2" t="s">
        <v>38</v>
      </c>
      <c r="P300" s="2" t="s">
        <v>38</v>
      </c>
      <c r="Q300" s="2" t="s">
        <v>1087</v>
      </c>
      <c r="R300" s="2" t="s">
        <v>2106</v>
      </c>
      <c r="S300" s="2" t="s">
        <v>122</v>
      </c>
      <c r="T300" s="2" t="s">
        <v>2107</v>
      </c>
      <c r="U300" s="2" t="s">
        <v>311</v>
      </c>
      <c r="V300" s="2" t="s">
        <v>1364</v>
      </c>
      <c r="W300" s="2" t="s">
        <v>38</v>
      </c>
      <c r="X300" s="3">
        <v>41207</v>
      </c>
      <c r="Y300" s="2" t="s">
        <v>2108</v>
      </c>
      <c r="Z300" s="35">
        <v>199</v>
      </c>
      <c r="AA300" s="2" t="s">
        <v>1988</v>
      </c>
      <c r="AB300" s="2" t="s">
        <v>1989</v>
      </c>
      <c r="AC300" s="12">
        <f t="shared" si="24"/>
        <v>2012</v>
      </c>
      <c r="AD300" s="12">
        <f t="shared" si="25"/>
        <v>10</v>
      </c>
      <c r="AE300" s="12">
        <f t="shared" si="26"/>
        <v>25</v>
      </c>
      <c r="AF300" s="16">
        <f t="shared" si="27"/>
        <v>20.7</v>
      </c>
      <c r="AG300" s="16" t="str">
        <f t="shared" si="28"/>
        <v/>
      </c>
      <c r="AH300" s="16">
        <f t="shared" si="29"/>
        <v>19.899999999999999</v>
      </c>
    </row>
    <row r="301" spans="1:34" x14ac:dyDescent="0.35">
      <c r="A301" s="2" t="s">
        <v>2109</v>
      </c>
      <c r="B301" s="2" t="s">
        <v>29</v>
      </c>
      <c r="C301" s="2" t="s">
        <v>49</v>
      </c>
      <c r="D301" s="2" t="s">
        <v>200</v>
      </c>
      <c r="E301" s="2" t="s">
        <v>50</v>
      </c>
      <c r="F301" s="2" t="s">
        <v>188</v>
      </c>
      <c r="G301" s="2" t="s">
        <v>931</v>
      </c>
      <c r="H301" s="2" t="s">
        <v>54</v>
      </c>
      <c r="I301" s="2" t="s">
        <v>37</v>
      </c>
      <c r="J301" s="2" t="s">
        <v>579</v>
      </c>
      <c r="K301" s="2" t="s">
        <v>38</v>
      </c>
      <c r="L301" s="2" t="s">
        <v>38</v>
      </c>
      <c r="M301" s="2" t="s">
        <v>39</v>
      </c>
      <c r="N301" s="2" t="s">
        <v>38</v>
      </c>
      <c r="O301" s="2" t="s">
        <v>38</v>
      </c>
      <c r="P301" s="2" t="s">
        <v>38</v>
      </c>
      <c r="Q301" s="2" t="s">
        <v>1111</v>
      </c>
      <c r="R301" s="2" t="s">
        <v>358</v>
      </c>
      <c r="S301" s="2" t="s">
        <v>503</v>
      </c>
      <c r="T301" s="2" t="s">
        <v>760</v>
      </c>
      <c r="U301" s="2" t="s">
        <v>858</v>
      </c>
      <c r="V301" s="2" t="s">
        <v>1480</v>
      </c>
      <c r="W301" s="2" t="s">
        <v>38</v>
      </c>
      <c r="X301" s="3">
        <v>41208</v>
      </c>
      <c r="Y301" s="2" t="s">
        <v>2111</v>
      </c>
      <c r="Z301" s="5">
        <v>202</v>
      </c>
      <c r="AA301" s="2" t="s">
        <v>1988</v>
      </c>
      <c r="AB301" s="2" t="s">
        <v>1989</v>
      </c>
      <c r="AC301" s="12">
        <f t="shared" si="24"/>
        <v>2012</v>
      </c>
      <c r="AD301" s="12">
        <f t="shared" si="25"/>
        <v>10</v>
      </c>
      <c r="AE301" s="12">
        <f t="shared" si="26"/>
        <v>26</v>
      </c>
      <c r="AF301" s="16">
        <f t="shared" si="27"/>
        <v>21.1</v>
      </c>
      <c r="AG301" s="16" t="str">
        <f t="shared" si="28"/>
        <v/>
      </c>
      <c r="AH301" s="16">
        <f t="shared" si="29"/>
        <v>20.2</v>
      </c>
    </row>
    <row r="302" spans="1:34" x14ac:dyDescent="0.35">
      <c r="A302" s="2" t="s">
        <v>2112</v>
      </c>
      <c r="B302" s="2" t="s">
        <v>29</v>
      </c>
      <c r="C302" s="2" t="s">
        <v>49</v>
      </c>
      <c r="D302" s="2" t="s">
        <v>306</v>
      </c>
      <c r="E302" s="2" t="s">
        <v>579</v>
      </c>
      <c r="F302" s="2" t="s">
        <v>216</v>
      </c>
      <c r="G302" s="2" t="s">
        <v>106</v>
      </c>
      <c r="H302" s="2" t="s">
        <v>127</v>
      </c>
      <c r="I302" s="2" t="s">
        <v>37</v>
      </c>
      <c r="J302" s="2" t="s">
        <v>55</v>
      </c>
      <c r="K302" s="2" t="s">
        <v>38</v>
      </c>
      <c r="L302" s="2" t="s">
        <v>38</v>
      </c>
      <c r="M302" s="2" t="s">
        <v>39</v>
      </c>
      <c r="N302" s="2" t="s">
        <v>38</v>
      </c>
      <c r="O302" s="2" t="s">
        <v>38</v>
      </c>
      <c r="P302" s="2" t="s">
        <v>38</v>
      </c>
      <c r="Q302" s="2" t="s">
        <v>898</v>
      </c>
      <c r="R302" s="2" t="s">
        <v>704</v>
      </c>
      <c r="S302" s="2" t="s">
        <v>89</v>
      </c>
      <c r="T302" s="2" t="s">
        <v>90</v>
      </c>
      <c r="U302" s="2" t="s">
        <v>1458</v>
      </c>
      <c r="V302" s="2" t="s">
        <v>1301</v>
      </c>
      <c r="W302" s="2" t="s">
        <v>38</v>
      </c>
      <c r="X302" s="3">
        <v>41209</v>
      </c>
      <c r="Y302" s="2" t="s">
        <v>2116</v>
      </c>
      <c r="Z302" s="5">
        <v>180</v>
      </c>
      <c r="AA302" s="2" t="s">
        <v>1988</v>
      </c>
      <c r="AB302" s="2" t="s">
        <v>1989</v>
      </c>
      <c r="AC302" s="12">
        <f t="shared" si="24"/>
        <v>2012</v>
      </c>
      <c r="AD302" s="12">
        <f t="shared" si="25"/>
        <v>10</v>
      </c>
      <c r="AE302" s="12">
        <f t="shared" si="26"/>
        <v>27</v>
      </c>
      <c r="AF302" s="16">
        <f t="shared" si="27"/>
        <v>20.2</v>
      </c>
      <c r="AG302" s="16" t="str">
        <f t="shared" si="28"/>
        <v/>
      </c>
      <c r="AH302" s="16">
        <f t="shared" si="29"/>
        <v>18</v>
      </c>
    </row>
    <row r="303" spans="1:34" x14ac:dyDescent="0.35">
      <c r="A303" s="2" t="s">
        <v>2117</v>
      </c>
      <c r="B303" s="2" t="s">
        <v>29</v>
      </c>
      <c r="C303" s="2" t="s">
        <v>49</v>
      </c>
      <c r="D303" s="2" t="s">
        <v>306</v>
      </c>
      <c r="E303" s="2" t="s">
        <v>596</v>
      </c>
      <c r="F303" s="2" t="s">
        <v>484</v>
      </c>
      <c r="G303" s="2" t="s">
        <v>106</v>
      </c>
      <c r="H303" s="2" t="s">
        <v>69</v>
      </c>
      <c r="I303" s="2" t="s">
        <v>37</v>
      </c>
      <c r="J303" s="2" t="s">
        <v>51</v>
      </c>
      <c r="K303" s="2" t="s">
        <v>38</v>
      </c>
      <c r="L303" s="2" t="s">
        <v>38</v>
      </c>
      <c r="M303" s="2" t="s">
        <v>39</v>
      </c>
      <c r="N303" s="2" t="s">
        <v>38</v>
      </c>
      <c r="O303" s="2" t="s">
        <v>38</v>
      </c>
      <c r="P303" s="2" t="s">
        <v>38</v>
      </c>
      <c r="Q303" s="2" t="s">
        <v>2057</v>
      </c>
      <c r="R303" s="2" t="s">
        <v>71</v>
      </c>
      <c r="S303" s="2" t="s">
        <v>89</v>
      </c>
      <c r="T303" s="2" t="s">
        <v>90</v>
      </c>
      <c r="U303" s="2" t="s">
        <v>1458</v>
      </c>
      <c r="V303" s="2" t="s">
        <v>1036</v>
      </c>
      <c r="W303" s="2" t="s">
        <v>38</v>
      </c>
      <c r="X303" s="3">
        <v>41210</v>
      </c>
      <c r="Y303" s="2" t="s">
        <v>2118</v>
      </c>
      <c r="Z303" s="35">
        <v>171</v>
      </c>
      <c r="AA303" s="2" t="s">
        <v>1988</v>
      </c>
      <c r="AB303" s="2" t="s">
        <v>1989</v>
      </c>
      <c r="AC303" s="12">
        <f t="shared" si="24"/>
        <v>2012</v>
      </c>
      <c r="AD303" s="12">
        <f t="shared" si="25"/>
        <v>10</v>
      </c>
      <c r="AE303" s="12">
        <f t="shared" si="26"/>
        <v>28</v>
      </c>
      <c r="AF303" s="16">
        <f t="shared" si="27"/>
        <v>19.100000000000001</v>
      </c>
      <c r="AG303" s="16" t="str">
        <f t="shared" si="28"/>
        <v/>
      </c>
      <c r="AH303" s="16">
        <f t="shared" si="29"/>
        <v>17.100000000000001</v>
      </c>
    </row>
    <row r="304" spans="1:34" x14ac:dyDescent="0.35">
      <c r="A304" s="2" t="s">
        <v>2121</v>
      </c>
      <c r="B304" s="2" t="s">
        <v>29</v>
      </c>
      <c r="C304" s="2" t="s">
        <v>49</v>
      </c>
      <c r="D304" s="2" t="s">
        <v>306</v>
      </c>
      <c r="E304" s="2" t="s">
        <v>596</v>
      </c>
      <c r="F304" s="2" t="s">
        <v>2124</v>
      </c>
      <c r="G304" s="2" t="s">
        <v>106</v>
      </c>
      <c r="H304" s="2" t="s">
        <v>173</v>
      </c>
      <c r="I304" s="2" t="s">
        <v>37</v>
      </c>
      <c r="J304" s="2" t="s">
        <v>55</v>
      </c>
      <c r="K304" s="2" t="s">
        <v>38</v>
      </c>
      <c r="L304" s="2" t="s">
        <v>38</v>
      </c>
      <c r="M304" s="2" t="s">
        <v>39</v>
      </c>
      <c r="N304" s="2" t="s">
        <v>38</v>
      </c>
      <c r="O304" s="2" t="s">
        <v>38</v>
      </c>
      <c r="P304" s="2" t="s">
        <v>38</v>
      </c>
      <c r="Q304" s="2" t="s">
        <v>2125</v>
      </c>
      <c r="R304" s="2" t="s">
        <v>71</v>
      </c>
      <c r="S304" s="2" t="s">
        <v>89</v>
      </c>
      <c r="T304" s="2" t="s">
        <v>90</v>
      </c>
      <c r="U304" s="2" t="s">
        <v>1517</v>
      </c>
      <c r="V304" s="2" t="s">
        <v>1036</v>
      </c>
      <c r="W304" s="2" t="s">
        <v>38</v>
      </c>
      <c r="X304" s="3">
        <v>41211</v>
      </c>
      <c r="Y304" s="2" t="s">
        <v>2126</v>
      </c>
      <c r="Z304" s="35">
        <v>177</v>
      </c>
      <c r="AA304" s="2" t="s">
        <v>1988</v>
      </c>
      <c r="AB304" s="2" t="s">
        <v>1989</v>
      </c>
      <c r="AC304" s="12">
        <f t="shared" si="24"/>
        <v>2012</v>
      </c>
      <c r="AD304" s="12">
        <f t="shared" si="25"/>
        <v>10</v>
      </c>
      <c r="AE304" s="12">
        <f t="shared" si="26"/>
        <v>29</v>
      </c>
      <c r="AF304" s="16">
        <f t="shared" si="27"/>
        <v>19.100000000000001</v>
      </c>
      <c r="AG304" s="16" t="str">
        <f t="shared" si="28"/>
        <v/>
      </c>
      <c r="AH304" s="16">
        <f t="shared" si="29"/>
        <v>17.7</v>
      </c>
    </row>
    <row r="305" spans="1:34" x14ac:dyDescent="0.35">
      <c r="A305" s="2" t="s">
        <v>2127</v>
      </c>
      <c r="B305" s="2" t="s">
        <v>29</v>
      </c>
      <c r="C305" s="2" t="s">
        <v>49</v>
      </c>
      <c r="D305" s="2" t="s">
        <v>50</v>
      </c>
      <c r="E305" s="2" t="s">
        <v>66</v>
      </c>
      <c r="F305" s="2" t="s">
        <v>615</v>
      </c>
      <c r="G305" s="2" t="s">
        <v>931</v>
      </c>
      <c r="H305" s="2" t="s">
        <v>295</v>
      </c>
      <c r="I305" s="2" t="s">
        <v>37</v>
      </c>
      <c r="J305" s="2" t="s">
        <v>104</v>
      </c>
      <c r="K305" s="2" t="s">
        <v>38</v>
      </c>
      <c r="L305" s="2" t="s">
        <v>38</v>
      </c>
      <c r="M305" s="2" t="s">
        <v>39</v>
      </c>
      <c r="N305" s="2" t="s">
        <v>38</v>
      </c>
      <c r="O305" s="2" t="s">
        <v>38</v>
      </c>
      <c r="P305" s="2" t="s">
        <v>38</v>
      </c>
      <c r="Q305" s="2" t="s">
        <v>446</v>
      </c>
      <c r="R305" s="2" t="s">
        <v>358</v>
      </c>
      <c r="S305" s="2" t="s">
        <v>1003</v>
      </c>
      <c r="T305" s="2" t="s">
        <v>73</v>
      </c>
      <c r="U305" s="2" t="s">
        <v>60</v>
      </c>
      <c r="V305" s="2" t="s">
        <v>924</v>
      </c>
      <c r="W305" s="2" t="s">
        <v>38</v>
      </c>
      <c r="X305" s="3">
        <v>41212</v>
      </c>
      <c r="Y305" s="2" t="s">
        <v>2128</v>
      </c>
      <c r="Z305" s="5">
        <v>127</v>
      </c>
      <c r="AA305" s="2" t="s">
        <v>1988</v>
      </c>
      <c r="AB305" s="2" t="s">
        <v>1989</v>
      </c>
      <c r="AC305" s="12">
        <f t="shared" si="24"/>
        <v>2012</v>
      </c>
      <c r="AD305" s="12">
        <f t="shared" si="25"/>
        <v>10</v>
      </c>
      <c r="AE305" s="12">
        <f t="shared" si="26"/>
        <v>30</v>
      </c>
      <c r="AF305" s="16">
        <f t="shared" si="27"/>
        <v>15.1</v>
      </c>
      <c r="AG305" s="16" t="str">
        <f t="shared" si="28"/>
        <v/>
      </c>
      <c r="AH305" s="16">
        <f t="shared" si="29"/>
        <v>12.7</v>
      </c>
    </row>
    <row r="306" spans="1:34" x14ac:dyDescent="0.35">
      <c r="A306" s="2" t="s">
        <v>2130</v>
      </c>
      <c r="B306" s="2" t="s">
        <v>29</v>
      </c>
      <c r="C306" s="2" t="s">
        <v>49</v>
      </c>
      <c r="D306" s="2" t="s">
        <v>50</v>
      </c>
      <c r="E306" s="2" t="s">
        <v>104</v>
      </c>
      <c r="F306" s="2" t="s">
        <v>810</v>
      </c>
      <c r="G306" s="2" t="s">
        <v>53</v>
      </c>
      <c r="H306" s="2" t="s">
        <v>295</v>
      </c>
      <c r="I306" s="2" t="s">
        <v>37</v>
      </c>
      <c r="J306" s="2" t="s">
        <v>104</v>
      </c>
      <c r="K306" s="2" t="s">
        <v>38</v>
      </c>
      <c r="L306" s="2" t="s">
        <v>38</v>
      </c>
      <c r="M306" s="2" t="s">
        <v>39</v>
      </c>
      <c r="N306" s="2" t="s">
        <v>38</v>
      </c>
      <c r="O306" s="2" t="s">
        <v>38</v>
      </c>
      <c r="P306" s="2" t="s">
        <v>38</v>
      </c>
      <c r="Q306" s="2" t="s">
        <v>436</v>
      </c>
      <c r="R306" s="2" t="s">
        <v>71</v>
      </c>
      <c r="S306" s="2" t="s">
        <v>167</v>
      </c>
      <c r="T306" s="2" t="s">
        <v>73</v>
      </c>
      <c r="U306" s="2" t="s">
        <v>60</v>
      </c>
      <c r="V306" s="2" t="s">
        <v>161</v>
      </c>
      <c r="W306" s="2" t="s">
        <v>38</v>
      </c>
      <c r="X306" s="3">
        <v>41213</v>
      </c>
      <c r="Y306" s="2" t="s">
        <v>2131</v>
      </c>
      <c r="Z306" s="5">
        <v>131</v>
      </c>
      <c r="AA306" s="2" t="s">
        <v>1988</v>
      </c>
      <c r="AB306" s="2" t="s">
        <v>1989</v>
      </c>
      <c r="AC306" s="12">
        <f t="shared" si="24"/>
        <v>2012</v>
      </c>
      <c r="AD306" s="12">
        <f t="shared" si="25"/>
        <v>10</v>
      </c>
      <c r="AE306" s="12">
        <f t="shared" si="26"/>
        <v>31</v>
      </c>
      <c r="AF306" s="16">
        <f t="shared" si="27"/>
        <v>12.9</v>
      </c>
      <c r="AG306" s="16" t="str">
        <f t="shared" si="28"/>
        <v/>
      </c>
      <c r="AH306" s="16">
        <f t="shared" si="29"/>
        <v>13.1</v>
      </c>
    </row>
    <row r="307" spans="1:34" x14ac:dyDescent="0.35">
      <c r="A307" s="2" t="s">
        <v>2136</v>
      </c>
      <c r="B307" s="2" t="s">
        <v>29</v>
      </c>
      <c r="C307" s="2" t="s">
        <v>49</v>
      </c>
      <c r="D307" s="2" t="s">
        <v>596</v>
      </c>
      <c r="E307" s="2" t="s">
        <v>51</v>
      </c>
      <c r="F307" s="2" t="s">
        <v>201</v>
      </c>
      <c r="G307" s="2" t="s">
        <v>53</v>
      </c>
      <c r="H307" s="2" t="s">
        <v>54</v>
      </c>
      <c r="I307" s="2" t="s">
        <v>37</v>
      </c>
      <c r="J307" s="2" t="s">
        <v>66</v>
      </c>
      <c r="K307" s="2" t="s">
        <v>38</v>
      </c>
      <c r="L307" s="2" t="s">
        <v>38</v>
      </c>
      <c r="M307" s="2" t="s">
        <v>39</v>
      </c>
      <c r="N307" s="2" t="s">
        <v>38</v>
      </c>
      <c r="O307" s="2" t="s">
        <v>38</v>
      </c>
      <c r="P307" s="2" t="s">
        <v>38</v>
      </c>
      <c r="Q307" s="2" t="s">
        <v>2137</v>
      </c>
      <c r="R307" s="2" t="s">
        <v>57</v>
      </c>
      <c r="S307" s="2" t="s">
        <v>1003</v>
      </c>
      <c r="T307" s="2" t="s">
        <v>1190</v>
      </c>
      <c r="U307" s="2" t="s">
        <v>617</v>
      </c>
      <c r="V307" s="2" t="s">
        <v>108</v>
      </c>
      <c r="W307" s="2" t="s">
        <v>38</v>
      </c>
      <c r="X307" s="3">
        <v>41214</v>
      </c>
      <c r="Y307" s="2" t="s">
        <v>2138</v>
      </c>
      <c r="Z307" s="35">
        <v>151</v>
      </c>
      <c r="AA307" s="2" t="s">
        <v>672</v>
      </c>
      <c r="AB307" s="2" t="s">
        <v>2135</v>
      </c>
      <c r="AC307" s="12">
        <f t="shared" si="24"/>
        <v>2012</v>
      </c>
      <c r="AD307" s="12">
        <f t="shared" si="25"/>
        <v>11</v>
      </c>
      <c r="AE307" s="12">
        <f t="shared" si="26"/>
        <v>1</v>
      </c>
      <c r="AF307" s="16">
        <f t="shared" si="27"/>
        <v>16.600000000000001</v>
      </c>
      <c r="AG307" s="16" t="str">
        <f t="shared" si="28"/>
        <v/>
      </c>
      <c r="AH307" s="16">
        <f t="shared" si="29"/>
        <v>15.1</v>
      </c>
    </row>
    <row r="308" spans="1:34" x14ac:dyDescent="0.35">
      <c r="A308" s="2" t="s">
        <v>2141</v>
      </c>
      <c r="B308" s="2" t="s">
        <v>29</v>
      </c>
      <c r="C308" s="2" t="s">
        <v>49</v>
      </c>
      <c r="D308" s="2" t="s">
        <v>306</v>
      </c>
      <c r="E308" s="2" t="s">
        <v>51</v>
      </c>
      <c r="F308" s="2" t="s">
        <v>1063</v>
      </c>
      <c r="G308" s="2" t="s">
        <v>34</v>
      </c>
      <c r="H308" s="2" t="s">
        <v>180</v>
      </c>
      <c r="I308" s="2" t="s">
        <v>37</v>
      </c>
      <c r="J308" s="2" t="s">
        <v>596</v>
      </c>
      <c r="K308" s="2" t="s">
        <v>38</v>
      </c>
      <c r="L308" s="2" t="s">
        <v>38</v>
      </c>
      <c r="M308" s="2" t="s">
        <v>39</v>
      </c>
      <c r="N308" s="2" t="s">
        <v>38</v>
      </c>
      <c r="O308" s="2" t="s">
        <v>38</v>
      </c>
      <c r="P308" s="2" t="s">
        <v>38</v>
      </c>
      <c r="Q308" s="2" t="s">
        <v>2143</v>
      </c>
      <c r="R308" s="2" t="s">
        <v>41</v>
      </c>
      <c r="S308" s="2" t="s">
        <v>122</v>
      </c>
      <c r="T308" s="2" t="s">
        <v>1383</v>
      </c>
      <c r="U308" s="2" t="s">
        <v>2018</v>
      </c>
      <c r="V308" s="2" t="s">
        <v>2114</v>
      </c>
      <c r="W308" s="2" t="s">
        <v>38</v>
      </c>
      <c r="X308" s="3">
        <v>41215</v>
      </c>
      <c r="Y308" s="2" t="s">
        <v>2144</v>
      </c>
      <c r="Z308" s="35">
        <v>190</v>
      </c>
      <c r="AA308" s="2" t="s">
        <v>672</v>
      </c>
      <c r="AB308" s="2" t="s">
        <v>2135</v>
      </c>
      <c r="AC308" s="12">
        <f t="shared" si="24"/>
        <v>2012</v>
      </c>
      <c r="AD308" s="12">
        <f t="shared" si="25"/>
        <v>11</v>
      </c>
      <c r="AE308" s="12">
        <f t="shared" si="26"/>
        <v>2</v>
      </c>
      <c r="AF308" s="16">
        <f t="shared" si="27"/>
        <v>17.3</v>
      </c>
      <c r="AG308" s="16" t="str">
        <f t="shared" si="28"/>
        <v/>
      </c>
      <c r="AH308" s="16">
        <f t="shared" si="29"/>
        <v>19</v>
      </c>
    </row>
    <row r="309" spans="1:34" x14ac:dyDescent="0.35">
      <c r="A309" s="2" t="s">
        <v>2145</v>
      </c>
      <c r="B309" s="2" t="s">
        <v>29</v>
      </c>
      <c r="C309" s="2" t="s">
        <v>49</v>
      </c>
      <c r="D309" s="2" t="s">
        <v>214</v>
      </c>
      <c r="E309" s="2" t="s">
        <v>579</v>
      </c>
      <c r="F309" s="2" t="s">
        <v>723</v>
      </c>
      <c r="G309" s="2" t="s">
        <v>106</v>
      </c>
      <c r="H309" s="2" t="s">
        <v>137</v>
      </c>
      <c r="I309" s="2" t="s">
        <v>37</v>
      </c>
      <c r="J309" s="2" t="s">
        <v>596</v>
      </c>
      <c r="K309" s="2" t="s">
        <v>38</v>
      </c>
      <c r="L309" s="2" t="s">
        <v>38</v>
      </c>
      <c r="M309" s="2" t="s">
        <v>39</v>
      </c>
      <c r="N309" s="2" t="s">
        <v>38</v>
      </c>
      <c r="O309" s="2" t="s">
        <v>38</v>
      </c>
      <c r="P309" s="2" t="s">
        <v>38</v>
      </c>
      <c r="Q309" s="2" t="s">
        <v>1735</v>
      </c>
      <c r="R309" s="2" t="s">
        <v>704</v>
      </c>
      <c r="S309" s="2" t="s">
        <v>159</v>
      </c>
      <c r="T309" s="2" t="s">
        <v>73</v>
      </c>
      <c r="U309" s="2" t="s">
        <v>1729</v>
      </c>
      <c r="V309" s="2" t="s">
        <v>1291</v>
      </c>
      <c r="W309" s="2" t="s">
        <v>38</v>
      </c>
      <c r="X309" s="3">
        <v>41216</v>
      </c>
      <c r="Y309" s="2" t="s">
        <v>2146</v>
      </c>
      <c r="Z309" s="5">
        <v>192</v>
      </c>
      <c r="AA309" s="2" t="s">
        <v>672</v>
      </c>
      <c r="AB309" s="2" t="s">
        <v>2135</v>
      </c>
      <c r="AC309" s="12">
        <f t="shared" si="24"/>
        <v>2012</v>
      </c>
      <c r="AD309" s="12">
        <f t="shared" si="25"/>
        <v>11</v>
      </c>
      <c r="AE309" s="12">
        <f t="shared" si="26"/>
        <v>3</v>
      </c>
      <c r="AF309" s="16">
        <f t="shared" si="27"/>
        <v>20.3</v>
      </c>
      <c r="AG309" s="16" t="str">
        <f t="shared" si="28"/>
        <v/>
      </c>
      <c r="AH309" s="16">
        <f t="shared" si="29"/>
        <v>19.2</v>
      </c>
    </row>
    <row r="310" spans="1:34" x14ac:dyDescent="0.35">
      <c r="A310" s="2" t="s">
        <v>2148</v>
      </c>
      <c r="B310" s="2" t="s">
        <v>29</v>
      </c>
      <c r="C310" s="2" t="s">
        <v>49</v>
      </c>
      <c r="D310" s="2" t="s">
        <v>214</v>
      </c>
      <c r="E310" s="2" t="s">
        <v>579</v>
      </c>
      <c r="F310" s="2" t="s">
        <v>188</v>
      </c>
      <c r="G310" s="2" t="s">
        <v>106</v>
      </c>
      <c r="H310" s="2" t="s">
        <v>69</v>
      </c>
      <c r="I310" s="2" t="s">
        <v>37</v>
      </c>
      <c r="J310" s="2" t="s">
        <v>55</v>
      </c>
      <c r="K310" s="2" t="s">
        <v>38</v>
      </c>
      <c r="L310" s="2" t="s">
        <v>38</v>
      </c>
      <c r="M310" s="2" t="s">
        <v>39</v>
      </c>
      <c r="N310" s="2" t="s">
        <v>38</v>
      </c>
      <c r="O310" s="2" t="s">
        <v>38</v>
      </c>
      <c r="P310" s="2" t="s">
        <v>38</v>
      </c>
      <c r="Q310" s="2" t="s">
        <v>56</v>
      </c>
      <c r="R310" s="2" t="s">
        <v>71</v>
      </c>
      <c r="S310" s="2" t="s">
        <v>89</v>
      </c>
      <c r="T310" s="2" t="s">
        <v>90</v>
      </c>
      <c r="U310" s="2" t="s">
        <v>1729</v>
      </c>
      <c r="V310" s="2" t="s">
        <v>1291</v>
      </c>
      <c r="W310" s="2" t="s">
        <v>38</v>
      </c>
      <c r="X310" s="3">
        <v>41217</v>
      </c>
      <c r="Y310" s="2" t="s">
        <v>2150</v>
      </c>
      <c r="Z310" s="5">
        <v>181</v>
      </c>
      <c r="AA310" s="2" t="s">
        <v>672</v>
      </c>
      <c r="AB310" s="2" t="s">
        <v>2135</v>
      </c>
      <c r="AC310" s="12">
        <f t="shared" si="24"/>
        <v>2012</v>
      </c>
      <c r="AD310" s="12">
        <f t="shared" si="25"/>
        <v>11</v>
      </c>
      <c r="AE310" s="12">
        <f t="shared" si="26"/>
        <v>4</v>
      </c>
      <c r="AF310" s="16">
        <f t="shared" si="27"/>
        <v>20.3</v>
      </c>
      <c r="AG310" s="16" t="str">
        <f t="shared" si="28"/>
        <v/>
      </c>
      <c r="AH310" s="16">
        <f t="shared" si="29"/>
        <v>18.100000000000001</v>
      </c>
    </row>
    <row r="311" spans="1:34" x14ac:dyDescent="0.35">
      <c r="A311" s="2" t="s">
        <v>2151</v>
      </c>
      <c r="B311" s="2" t="s">
        <v>29</v>
      </c>
      <c r="C311" s="2" t="s">
        <v>49</v>
      </c>
      <c r="D311" s="2" t="s">
        <v>306</v>
      </c>
      <c r="E311" s="2" t="s">
        <v>596</v>
      </c>
      <c r="F311" s="2" t="s">
        <v>650</v>
      </c>
      <c r="G311" s="2" t="s">
        <v>2153</v>
      </c>
      <c r="H311" s="2" t="s">
        <v>137</v>
      </c>
      <c r="I311" s="2" t="s">
        <v>37</v>
      </c>
      <c r="J311" s="2" t="s">
        <v>51</v>
      </c>
      <c r="K311" s="2" t="s">
        <v>38</v>
      </c>
      <c r="L311" s="2" t="s">
        <v>38</v>
      </c>
      <c r="M311" s="2" t="s">
        <v>39</v>
      </c>
      <c r="N311" s="2" t="s">
        <v>38</v>
      </c>
      <c r="O311" s="2" t="s">
        <v>38</v>
      </c>
      <c r="P311" s="2" t="s">
        <v>38</v>
      </c>
      <c r="Q311" s="2" t="s">
        <v>2154</v>
      </c>
      <c r="R311" s="2" t="s">
        <v>71</v>
      </c>
      <c r="S311" s="2" t="s">
        <v>159</v>
      </c>
      <c r="T311" s="2" t="s">
        <v>73</v>
      </c>
      <c r="U311" s="2" t="s">
        <v>1458</v>
      </c>
      <c r="V311" s="2" t="s">
        <v>1032</v>
      </c>
      <c r="W311" s="2" t="s">
        <v>38</v>
      </c>
      <c r="X311" s="3">
        <v>41218</v>
      </c>
      <c r="Y311" s="2" t="s">
        <v>2155</v>
      </c>
      <c r="Z311" s="35">
        <v>169</v>
      </c>
      <c r="AA311" s="2" t="s">
        <v>672</v>
      </c>
      <c r="AB311" s="2" t="s">
        <v>2135</v>
      </c>
      <c r="AC311" s="12">
        <f t="shared" si="24"/>
        <v>2012</v>
      </c>
      <c r="AD311" s="12">
        <f t="shared" si="25"/>
        <v>11</v>
      </c>
      <c r="AE311" s="12">
        <f t="shared" si="26"/>
        <v>5</v>
      </c>
      <c r="AF311" s="16">
        <f t="shared" si="27"/>
        <v>18.899999999999999</v>
      </c>
      <c r="AG311" s="16" t="str">
        <f t="shared" si="28"/>
        <v/>
      </c>
      <c r="AH311" s="16">
        <f t="shared" si="29"/>
        <v>16.899999999999999</v>
      </c>
    </row>
    <row r="312" spans="1:34" x14ac:dyDescent="0.35">
      <c r="A312" s="2" t="s">
        <v>2156</v>
      </c>
      <c r="B312" s="2" t="s">
        <v>29</v>
      </c>
      <c r="C312" s="2" t="s">
        <v>49</v>
      </c>
      <c r="D312" s="2" t="s">
        <v>306</v>
      </c>
      <c r="E312" s="2" t="s">
        <v>596</v>
      </c>
      <c r="F312" s="2" t="s">
        <v>2158</v>
      </c>
      <c r="G312" s="2" t="s">
        <v>86</v>
      </c>
      <c r="H312" s="2" t="s">
        <v>137</v>
      </c>
      <c r="I312" s="2" t="s">
        <v>37</v>
      </c>
      <c r="J312" s="2" t="s">
        <v>32</v>
      </c>
      <c r="K312" s="2" t="s">
        <v>38</v>
      </c>
      <c r="L312" s="2" t="s">
        <v>38</v>
      </c>
      <c r="M312" s="2" t="s">
        <v>39</v>
      </c>
      <c r="N312" s="2" t="s">
        <v>38</v>
      </c>
      <c r="O312" s="2" t="s">
        <v>38</v>
      </c>
      <c r="P312" s="2" t="s">
        <v>38</v>
      </c>
      <c r="Q312" s="2" t="s">
        <v>2159</v>
      </c>
      <c r="R312" s="2" t="s">
        <v>71</v>
      </c>
      <c r="S312" s="2" t="s">
        <v>89</v>
      </c>
      <c r="T312" s="2" t="s">
        <v>90</v>
      </c>
      <c r="U312" s="2" t="s">
        <v>1880</v>
      </c>
      <c r="V312" s="2" t="s">
        <v>639</v>
      </c>
      <c r="W312" s="2" t="s">
        <v>38</v>
      </c>
      <c r="X312" s="3">
        <v>41219</v>
      </c>
      <c r="Y312" s="2" t="s">
        <v>2160</v>
      </c>
      <c r="Z312" s="35">
        <v>156</v>
      </c>
      <c r="AA312" s="2" t="s">
        <v>672</v>
      </c>
      <c r="AB312" s="2" t="s">
        <v>2135</v>
      </c>
      <c r="AC312" s="12">
        <f t="shared" si="24"/>
        <v>2012</v>
      </c>
      <c r="AD312" s="12">
        <f t="shared" si="25"/>
        <v>11</v>
      </c>
      <c r="AE312" s="12">
        <f t="shared" si="26"/>
        <v>6</v>
      </c>
      <c r="AF312" s="16">
        <f t="shared" si="27"/>
        <v>19.2</v>
      </c>
      <c r="AG312" s="16" t="str">
        <f t="shared" si="28"/>
        <v/>
      </c>
      <c r="AH312" s="16">
        <f t="shared" si="29"/>
        <v>15.6</v>
      </c>
    </row>
    <row r="313" spans="1:34" x14ac:dyDescent="0.35">
      <c r="A313" s="2" t="s">
        <v>2161</v>
      </c>
      <c r="B313" s="2" t="s">
        <v>29</v>
      </c>
      <c r="C313" s="2" t="s">
        <v>49</v>
      </c>
      <c r="D313" s="2" t="s">
        <v>306</v>
      </c>
      <c r="E313" s="2" t="s">
        <v>51</v>
      </c>
      <c r="F313" s="2" t="s">
        <v>559</v>
      </c>
      <c r="G313" s="2" t="s">
        <v>53</v>
      </c>
      <c r="H313" s="2" t="s">
        <v>877</v>
      </c>
      <c r="I313" s="2" t="s">
        <v>37</v>
      </c>
      <c r="J313" s="2" t="s">
        <v>55</v>
      </c>
      <c r="K313" s="2" t="s">
        <v>38</v>
      </c>
      <c r="L313" s="2" t="s">
        <v>38</v>
      </c>
      <c r="M313" s="2" t="s">
        <v>39</v>
      </c>
      <c r="N313" s="2" t="s">
        <v>38</v>
      </c>
      <c r="O313" s="2" t="s">
        <v>38</v>
      </c>
      <c r="P313" s="2" t="s">
        <v>38</v>
      </c>
      <c r="Q313" s="2" t="s">
        <v>2163</v>
      </c>
      <c r="R313" s="2" t="s">
        <v>358</v>
      </c>
      <c r="S313" s="2" t="s">
        <v>503</v>
      </c>
      <c r="T313" s="2" t="s">
        <v>760</v>
      </c>
      <c r="U313" s="2" t="s">
        <v>1517</v>
      </c>
      <c r="V313" s="2" t="s">
        <v>91</v>
      </c>
      <c r="W313" s="2" t="s">
        <v>38</v>
      </c>
      <c r="X313" s="3">
        <v>41220</v>
      </c>
      <c r="Y313" s="2" t="s">
        <v>2164</v>
      </c>
      <c r="Z313" s="5">
        <v>182</v>
      </c>
      <c r="AA313" s="2" t="s">
        <v>672</v>
      </c>
      <c r="AB313" s="2" t="s">
        <v>2135</v>
      </c>
      <c r="AC313" s="12">
        <f t="shared" si="24"/>
        <v>2012</v>
      </c>
      <c r="AD313" s="12">
        <f t="shared" si="25"/>
        <v>11</v>
      </c>
      <c r="AE313" s="12">
        <f t="shared" si="26"/>
        <v>7</v>
      </c>
      <c r="AF313" s="16">
        <f t="shared" si="27"/>
        <v>17.399999999999999</v>
      </c>
      <c r="AG313" s="16" t="str">
        <f t="shared" si="28"/>
        <v/>
      </c>
      <c r="AH313" s="16">
        <f t="shared" si="29"/>
        <v>18.2</v>
      </c>
    </row>
    <row r="314" spans="1:34" x14ac:dyDescent="0.35">
      <c r="A314" s="2" t="s">
        <v>2165</v>
      </c>
      <c r="B314" s="2" t="s">
        <v>29</v>
      </c>
      <c r="C314" s="2" t="s">
        <v>49</v>
      </c>
      <c r="D314" s="2" t="s">
        <v>714</v>
      </c>
      <c r="E314" s="2" t="s">
        <v>51</v>
      </c>
      <c r="F314" s="2" t="s">
        <v>889</v>
      </c>
      <c r="G314" s="2" t="s">
        <v>106</v>
      </c>
      <c r="H314" s="2" t="s">
        <v>270</v>
      </c>
      <c r="I314" s="2" t="s">
        <v>37</v>
      </c>
      <c r="J314" s="2" t="s">
        <v>32</v>
      </c>
      <c r="K314" s="2" t="s">
        <v>38</v>
      </c>
      <c r="L314" s="2" t="s">
        <v>38</v>
      </c>
      <c r="M314" s="2" t="s">
        <v>39</v>
      </c>
      <c r="N314" s="2" t="s">
        <v>38</v>
      </c>
      <c r="O314" s="2" t="s">
        <v>38</v>
      </c>
      <c r="P314" s="2" t="s">
        <v>38</v>
      </c>
      <c r="Q314" s="2" t="s">
        <v>2166</v>
      </c>
      <c r="R314" s="2" t="s">
        <v>71</v>
      </c>
      <c r="S314" s="2" t="s">
        <v>89</v>
      </c>
      <c r="T314" s="2" t="s">
        <v>90</v>
      </c>
      <c r="U314" s="2" t="s">
        <v>1527</v>
      </c>
      <c r="V314" s="2" t="s">
        <v>979</v>
      </c>
      <c r="W314" s="2" t="s">
        <v>38</v>
      </c>
      <c r="X314" s="3">
        <v>41221</v>
      </c>
      <c r="Y314" s="2" t="s">
        <v>2167</v>
      </c>
      <c r="Z314" s="5">
        <v>159</v>
      </c>
      <c r="AA314" s="2" t="s">
        <v>672</v>
      </c>
      <c r="AB314" s="2" t="s">
        <v>2135</v>
      </c>
      <c r="AC314" s="12">
        <f t="shared" si="24"/>
        <v>2012</v>
      </c>
      <c r="AD314" s="12">
        <f t="shared" si="25"/>
        <v>11</v>
      </c>
      <c r="AE314" s="12">
        <f t="shared" si="26"/>
        <v>8</v>
      </c>
      <c r="AF314" s="16">
        <f t="shared" si="27"/>
        <v>16.5</v>
      </c>
      <c r="AG314" s="16" t="str">
        <f t="shared" si="28"/>
        <v/>
      </c>
      <c r="AH314" s="16">
        <f t="shared" si="29"/>
        <v>15.9</v>
      </c>
    </row>
    <row r="315" spans="1:34" x14ac:dyDescent="0.35">
      <c r="A315" s="2" t="s">
        <v>2169</v>
      </c>
      <c r="B315" s="2" t="s">
        <v>29</v>
      </c>
      <c r="C315" s="2" t="s">
        <v>49</v>
      </c>
      <c r="D315" s="2" t="s">
        <v>50</v>
      </c>
      <c r="E315" s="2" t="s">
        <v>66</v>
      </c>
      <c r="F315" s="2" t="s">
        <v>756</v>
      </c>
      <c r="G315" s="2" t="s">
        <v>106</v>
      </c>
      <c r="H315" s="2" t="s">
        <v>127</v>
      </c>
      <c r="I315" s="2" t="s">
        <v>37</v>
      </c>
      <c r="J315" s="2" t="s">
        <v>94</v>
      </c>
      <c r="K315" s="2" t="s">
        <v>38</v>
      </c>
      <c r="L315" s="2" t="s">
        <v>38</v>
      </c>
      <c r="M315" s="2" t="s">
        <v>39</v>
      </c>
      <c r="N315" s="2" t="s">
        <v>38</v>
      </c>
      <c r="O315" s="2" t="s">
        <v>38</v>
      </c>
      <c r="P315" s="2" t="s">
        <v>38</v>
      </c>
      <c r="Q315" s="2" t="s">
        <v>2170</v>
      </c>
      <c r="R315" s="2" t="s">
        <v>71</v>
      </c>
      <c r="S315" s="2" t="s">
        <v>89</v>
      </c>
      <c r="T315" s="2" t="s">
        <v>90</v>
      </c>
      <c r="U315" s="2" t="s">
        <v>701</v>
      </c>
      <c r="V315" s="2" t="s">
        <v>123</v>
      </c>
      <c r="W315" s="2" t="s">
        <v>38</v>
      </c>
      <c r="X315" s="3">
        <v>41222</v>
      </c>
      <c r="Y315" s="2" t="s">
        <v>2171</v>
      </c>
      <c r="Z315" s="35">
        <v>141</v>
      </c>
      <c r="AA315" s="2" t="s">
        <v>672</v>
      </c>
      <c r="AB315" s="2" t="s">
        <v>2135</v>
      </c>
      <c r="AC315" s="12">
        <f t="shared" si="24"/>
        <v>2012</v>
      </c>
      <c r="AD315" s="12">
        <f t="shared" si="25"/>
        <v>11</v>
      </c>
      <c r="AE315" s="12">
        <f t="shared" si="26"/>
        <v>9</v>
      </c>
      <c r="AF315" s="16">
        <f t="shared" si="27"/>
        <v>15.2</v>
      </c>
      <c r="AG315" s="16" t="str">
        <f t="shared" si="28"/>
        <v/>
      </c>
      <c r="AH315" s="16">
        <f t="shared" si="29"/>
        <v>14.1</v>
      </c>
    </row>
    <row r="316" spans="1:34" x14ac:dyDescent="0.35">
      <c r="A316" s="2" t="s">
        <v>2174</v>
      </c>
      <c r="B316" s="2" t="s">
        <v>29</v>
      </c>
      <c r="C316" s="2" t="s">
        <v>49</v>
      </c>
      <c r="D316" s="2" t="s">
        <v>50</v>
      </c>
      <c r="E316" s="2" t="s">
        <v>32</v>
      </c>
      <c r="F316" s="2" t="s">
        <v>420</v>
      </c>
      <c r="G316" s="2" t="s">
        <v>34</v>
      </c>
      <c r="H316" s="2" t="s">
        <v>209</v>
      </c>
      <c r="I316" s="2" t="s">
        <v>37</v>
      </c>
      <c r="J316" s="2" t="s">
        <v>66</v>
      </c>
      <c r="K316" s="2" t="s">
        <v>38</v>
      </c>
      <c r="L316" s="2" t="s">
        <v>38</v>
      </c>
      <c r="M316" s="2" t="s">
        <v>39</v>
      </c>
      <c r="N316" s="2" t="s">
        <v>38</v>
      </c>
      <c r="O316" s="2" t="s">
        <v>38</v>
      </c>
      <c r="P316" s="2" t="s">
        <v>38</v>
      </c>
      <c r="Q316" s="2" t="s">
        <v>2176</v>
      </c>
      <c r="R316" s="2" t="s">
        <v>98</v>
      </c>
      <c r="S316" s="2" t="s">
        <v>89</v>
      </c>
      <c r="T316" s="2" t="s">
        <v>90</v>
      </c>
      <c r="U316" s="2" t="s">
        <v>60</v>
      </c>
      <c r="V316" s="2" t="s">
        <v>92</v>
      </c>
      <c r="W316" s="2" t="s">
        <v>38</v>
      </c>
      <c r="X316" s="3">
        <v>41223</v>
      </c>
      <c r="Y316" s="2" t="s">
        <v>2177</v>
      </c>
      <c r="Z316" s="5">
        <v>150</v>
      </c>
      <c r="AA316" s="2" t="s">
        <v>672</v>
      </c>
      <c r="AB316" s="2" t="s">
        <v>2135</v>
      </c>
      <c r="AC316" s="12">
        <f t="shared" si="24"/>
        <v>2012</v>
      </c>
      <c r="AD316" s="12">
        <f t="shared" si="25"/>
        <v>11</v>
      </c>
      <c r="AE316" s="12">
        <f t="shared" si="26"/>
        <v>10</v>
      </c>
      <c r="AF316" s="16">
        <f t="shared" si="27"/>
        <v>15.8</v>
      </c>
      <c r="AG316" s="16" t="str">
        <f t="shared" si="28"/>
        <v/>
      </c>
      <c r="AH316" s="16">
        <f t="shared" si="29"/>
        <v>15</v>
      </c>
    </row>
    <row r="317" spans="1:34" x14ac:dyDescent="0.35">
      <c r="A317" s="2" t="s">
        <v>2178</v>
      </c>
      <c r="B317" s="2" t="s">
        <v>29</v>
      </c>
      <c r="C317" s="2" t="s">
        <v>49</v>
      </c>
      <c r="D317" s="2" t="s">
        <v>714</v>
      </c>
      <c r="E317" s="2" t="s">
        <v>596</v>
      </c>
      <c r="F317" s="2" t="s">
        <v>777</v>
      </c>
      <c r="G317" s="2" t="s">
        <v>501</v>
      </c>
      <c r="H317" s="2" t="s">
        <v>371</v>
      </c>
      <c r="I317" s="2" t="s">
        <v>37</v>
      </c>
      <c r="J317" s="2" t="s">
        <v>51</v>
      </c>
      <c r="K317" s="2" t="s">
        <v>38</v>
      </c>
      <c r="L317" s="2" t="s">
        <v>38</v>
      </c>
      <c r="M317" s="2" t="s">
        <v>39</v>
      </c>
      <c r="N317" s="2" t="s">
        <v>38</v>
      </c>
      <c r="O317" s="2" t="s">
        <v>38</v>
      </c>
      <c r="P317" s="2" t="s">
        <v>38</v>
      </c>
      <c r="Q317" s="2" t="s">
        <v>2180</v>
      </c>
      <c r="R317" s="2" t="s">
        <v>71</v>
      </c>
      <c r="S317" s="2" t="s">
        <v>89</v>
      </c>
      <c r="T317" s="2" t="s">
        <v>90</v>
      </c>
      <c r="U317" s="2" t="s">
        <v>1527</v>
      </c>
      <c r="V317" s="2" t="s">
        <v>1060</v>
      </c>
      <c r="W317" s="2" t="s">
        <v>38</v>
      </c>
      <c r="X317" s="3">
        <v>41224</v>
      </c>
      <c r="Y317" s="2" t="s">
        <v>2181</v>
      </c>
      <c r="Z317" s="35">
        <v>172</v>
      </c>
      <c r="AA317" s="2" t="s">
        <v>672</v>
      </c>
      <c r="AB317" s="2" t="s">
        <v>2135</v>
      </c>
      <c r="AC317" s="12">
        <f t="shared" si="24"/>
        <v>2012</v>
      </c>
      <c r="AD317" s="12">
        <f t="shared" si="25"/>
        <v>11</v>
      </c>
      <c r="AE317" s="12">
        <f t="shared" si="26"/>
        <v>11</v>
      </c>
      <c r="AF317" s="16">
        <f t="shared" si="27"/>
        <v>18.5</v>
      </c>
      <c r="AG317" s="16" t="str">
        <f t="shared" si="28"/>
        <v/>
      </c>
      <c r="AH317" s="16">
        <f t="shared" si="29"/>
        <v>17.2</v>
      </c>
    </row>
    <row r="318" spans="1:34" x14ac:dyDescent="0.35">
      <c r="A318" s="2" t="s">
        <v>2182</v>
      </c>
      <c r="B318" s="2" t="s">
        <v>29</v>
      </c>
      <c r="C318" s="2" t="s">
        <v>49</v>
      </c>
      <c r="D318" s="2" t="s">
        <v>50</v>
      </c>
      <c r="E318" s="2" t="s">
        <v>66</v>
      </c>
      <c r="F318" s="2" t="s">
        <v>399</v>
      </c>
      <c r="G318" s="2" t="s">
        <v>106</v>
      </c>
      <c r="H318" s="2" t="s">
        <v>180</v>
      </c>
      <c r="I318" s="2" t="s">
        <v>37</v>
      </c>
      <c r="J318" s="2" t="s">
        <v>51</v>
      </c>
      <c r="K318" s="2" t="s">
        <v>38</v>
      </c>
      <c r="L318" s="2" t="s">
        <v>38</v>
      </c>
      <c r="M318" s="2" t="s">
        <v>39</v>
      </c>
      <c r="N318" s="2" t="s">
        <v>38</v>
      </c>
      <c r="O318" s="2" t="s">
        <v>38</v>
      </c>
      <c r="P318" s="2" t="s">
        <v>38</v>
      </c>
      <c r="Q318" s="2" t="s">
        <v>868</v>
      </c>
      <c r="R318" s="2" t="s">
        <v>71</v>
      </c>
      <c r="S318" s="2" t="s">
        <v>89</v>
      </c>
      <c r="T318" s="2" t="s">
        <v>90</v>
      </c>
      <c r="U318" s="2" t="s">
        <v>1432</v>
      </c>
      <c r="V318" s="2" t="s">
        <v>75</v>
      </c>
      <c r="W318" s="2" t="s">
        <v>38</v>
      </c>
      <c r="X318" s="3">
        <v>41225</v>
      </c>
      <c r="Y318" s="2" t="s">
        <v>2184</v>
      </c>
      <c r="Z318" s="35">
        <v>167</v>
      </c>
      <c r="AA318" s="2" t="s">
        <v>672</v>
      </c>
      <c r="AB318" s="2" t="s">
        <v>2135</v>
      </c>
      <c r="AC318" s="12">
        <f t="shared" si="24"/>
        <v>2012</v>
      </c>
      <c r="AD318" s="12">
        <f t="shared" si="25"/>
        <v>11</v>
      </c>
      <c r="AE318" s="12">
        <f t="shared" si="26"/>
        <v>12</v>
      </c>
      <c r="AF318" s="16">
        <f t="shared" si="27"/>
        <v>15.3</v>
      </c>
      <c r="AG318" s="16" t="str">
        <f t="shared" si="28"/>
        <v/>
      </c>
      <c r="AH318" s="16">
        <f t="shared" si="29"/>
        <v>16.7</v>
      </c>
    </row>
    <row r="319" spans="1:34" x14ac:dyDescent="0.35">
      <c r="A319" s="2" t="s">
        <v>2185</v>
      </c>
      <c r="B319" s="2" t="s">
        <v>29</v>
      </c>
      <c r="C319" s="2" t="s">
        <v>49</v>
      </c>
      <c r="D319" s="2" t="s">
        <v>714</v>
      </c>
      <c r="E319" s="2" t="s">
        <v>94</v>
      </c>
      <c r="F319" s="2" t="s">
        <v>2187</v>
      </c>
      <c r="G319" s="2" t="s">
        <v>34</v>
      </c>
      <c r="H319" s="2" t="s">
        <v>342</v>
      </c>
      <c r="I319" s="2" t="s">
        <v>37</v>
      </c>
      <c r="J319" s="2" t="s">
        <v>55</v>
      </c>
      <c r="K319" s="2" t="s">
        <v>38</v>
      </c>
      <c r="L319" s="2" t="s">
        <v>38</v>
      </c>
      <c r="M319" s="2" t="s">
        <v>39</v>
      </c>
      <c r="N319" s="2" t="s">
        <v>38</v>
      </c>
      <c r="O319" s="2" t="s">
        <v>38</v>
      </c>
      <c r="P319" s="2" t="s">
        <v>38</v>
      </c>
      <c r="Q319" s="2" t="s">
        <v>2188</v>
      </c>
      <c r="R319" s="2" t="s">
        <v>1367</v>
      </c>
      <c r="S319" s="2" t="s">
        <v>159</v>
      </c>
      <c r="T319" s="2" t="s">
        <v>372</v>
      </c>
      <c r="U319" s="2" t="s">
        <v>1507</v>
      </c>
      <c r="V319" s="2" t="s">
        <v>133</v>
      </c>
      <c r="W319" s="2" t="s">
        <v>38</v>
      </c>
      <c r="X319" s="3">
        <v>41226</v>
      </c>
      <c r="Y319" s="2" t="s">
        <v>2189</v>
      </c>
      <c r="Z319" s="5">
        <v>178</v>
      </c>
      <c r="AA319" s="2" t="s">
        <v>672</v>
      </c>
      <c r="AB319" s="2" t="s">
        <v>2135</v>
      </c>
      <c r="AC319" s="12">
        <f t="shared" si="24"/>
        <v>2012</v>
      </c>
      <c r="AD319" s="12">
        <f t="shared" si="25"/>
        <v>11</v>
      </c>
      <c r="AE319" s="12">
        <f t="shared" si="26"/>
        <v>13</v>
      </c>
      <c r="AF319" s="16">
        <f t="shared" si="27"/>
        <v>14.1</v>
      </c>
      <c r="AG319" s="16" t="str">
        <f t="shared" si="28"/>
        <v/>
      </c>
      <c r="AH319" s="16">
        <f t="shared" si="29"/>
        <v>17.8</v>
      </c>
    </row>
    <row r="320" spans="1:34" x14ac:dyDescent="0.35">
      <c r="A320" s="2" t="s">
        <v>2190</v>
      </c>
      <c r="B320" s="2" t="s">
        <v>29</v>
      </c>
      <c r="C320" s="2" t="s">
        <v>49</v>
      </c>
      <c r="D320" s="2" t="s">
        <v>579</v>
      </c>
      <c r="E320" s="2" t="s">
        <v>66</v>
      </c>
      <c r="F320" s="2" t="s">
        <v>325</v>
      </c>
      <c r="G320" s="2" t="s">
        <v>86</v>
      </c>
      <c r="H320" s="2" t="s">
        <v>451</v>
      </c>
      <c r="I320" s="2" t="s">
        <v>37</v>
      </c>
      <c r="J320" s="2" t="s">
        <v>66</v>
      </c>
      <c r="K320" s="2" t="s">
        <v>38</v>
      </c>
      <c r="L320" s="2" t="s">
        <v>38</v>
      </c>
      <c r="M320" s="2" t="s">
        <v>39</v>
      </c>
      <c r="N320" s="2" t="s">
        <v>38</v>
      </c>
      <c r="O320" s="2" t="s">
        <v>38</v>
      </c>
      <c r="P320" s="2" t="s">
        <v>38</v>
      </c>
      <c r="Q320" s="2" t="s">
        <v>2176</v>
      </c>
      <c r="R320" s="2" t="s">
        <v>71</v>
      </c>
      <c r="S320" s="2" t="s">
        <v>89</v>
      </c>
      <c r="T320" s="2" t="s">
        <v>90</v>
      </c>
      <c r="U320" s="2" t="s">
        <v>1473</v>
      </c>
      <c r="V320" s="2" t="s">
        <v>315</v>
      </c>
      <c r="W320" s="2" t="s">
        <v>38</v>
      </c>
      <c r="X320" s="3">
        <v>41227</v>
      </c>
      <c r="Y320" s="2" t="s">
        <v>2191</v>
      </c>
      <c r="Z320" s="5">
        <v>150</v>
      </c>
      <c r="AA320" s="2" t="s">
        <v>672</v>
      </c>
      <c r="AB320" s="2" t="s">
        <v>2135</v>
      </c>
      <c r="AC320" s="12">
        <f t="shared" si="24"/>
        <v>2012</v>
      </c>
      <c r="AD320" s="12">
        <f t="shared" si="25"/>
        <v>11</v>
      </c>
      <c r="AE320" s="12">
        <f t="shared" si="26"/>
        <v>14</v>
      </c>
      <c r="AF320" s="16">
        <f t="shared" si="27"/>
        <v>14.8</v>
      </c>
      <c r="AG320" s="16" t="str">
        <f t="shared" si="28"/>
        <v/>
      </c>
      <c r="AH320" s="16">
        <f t="shared" si="29"/>
        <v>15</v>
      </c>
    </row>
    <row r="321" spans="1:34" x14ac:dyDescent="0.35">
      <c r="A321" s="2" t="s">
        <v>2194</v>
      </c>
      <c r="B321" s="2" t="s">
        <v>29</v>
      </c>
      <c r="C321" s="2" t="s">
        <v>49</v>
      </c>
      <c r="D321" s="2" t="s">
        <v>596</v>
      </c>
      <c r="E321" s="2" t="s">
        <v>32</v>
      </c>
      <c r="F321" s="2" t="s">
        <v>411</v>
      </c>
      <c r="G321" s="2" t="s">
        <v>1023</v>
      </c>
      <c r="H321" s="2" t="s">
        <v>180</v>
      </c>
      <c r="I321" s="2" t="s">
        <v>37</v>
      </c>
      <c r="J321" s="2" t="s">
        <v>94</v>
      </c>
      <c r="K321" s="2" t="s">
        <v>38</v>
      </c>
      <c r="L321" s="2" t="s">
        <v>38</v>
      </c>
      <c r="M321" s="2" t="s">
        <v>39</v>
      </c>
      <c r="N321" s="2" t="s">
        <v>38</v>
      </c>
      <c r="O321" s="2" t="s">
        <v>38</v>
      </c>
      <c r="P321" s="2" t="s">
        <v>38</v>
      </c>
      <c r="Q321" s="2" t="s">
        <v>715</v>
      </c>
      <c r="R321" s="2" t="s">
        <v>71</v>
      </c>
      <c r="S321" s="2" t="s">
        <v>89</v>
      </c>
      <c r="T321" s="2" t="s">
        <v>90</v>
      </c>
      <c r="U321" s="2" t="s">
        <v>1269</v>
      </c>
      <c r="V321" s="2" t="s">
        <v>359</v>
      </c>
      <c r="W321" s="2" t="s">
        <v>38</v>
      </c>
      <c r="X321" s="3">
        <v>41228</v>
      </c>
      <c r="Y321" s="2" t="s">
        <v>2196</v>
      </c>
      <c r="Z321" s="35">
        <v>137</v>
      </c>
      <c r="AA321" s="2" t="s">
        <v>672</v>
      </c>
      <c r="AB321" s="2" t="s">
        <v>2135</v>
      </c>
      <c r="AC321" s="12">
        <f t="shared" si="24"/>
        <v>2012</v>
      </c>
      <c r="AD321" s="12">
        <f t="shared" si="25"/>
        <v>11</v>
      </c>
      <c r="AE321" s="12">
        <f t="shared" si="26"/>
        <v>15</v>
      </c>
      <c r="AF321" s="16">
        <f t="shared" si="27"/>
        <v>15.6</v>
      </c>
      <c r="AG321" s="16" t="str">
        <f t="shared" si="28"/>
        <v/>
      </c>
      <c r="AH321" s="16">
        <f t="shared" si="29"/>
        <v>13.7</v>
      </c>
    </row>
    <row r="322" spans="1:34" x14ac:dyDescent="0.35">
      <c r="A322" s="2" t="s">
        <v>2197</v>
      </c>
      <c r="B322" s="2" t="s">
        <v>29</v>
      </c>
      <c r="C322" s="2" t="s">
        <v>49</v>
      </c>
      <c r="D322" s="2" t="s">
        <v>596</v>
      </c>
      <c r="E322" s="2" t="s">
        <v>104</v>
      </c>
      <c r="F322" s="2" t="s">
        <v>2199</v>
      </c>
      <c r="G322" s="2" t="s">
        <v>106</v>
      </c>
      <c r="H322" s="2" t="s">
        <v>121</v>
      </c>
      <c r="I322" s="2" t="s">
        <v>37</v>
      </c>
      <c r="J322" s="2" t="s">
        <v>30</v>
      </c>
      <c r="K322" s="2" t="s">
        <v>38</v>
      </c>
      <c r="L322" s="2" t="s">
        <v>38</v>
      </c>
      <c r="M322" s="2" t="s">
        <v>39</v>
      </c>
      <c r="N322" s="2" t="s">
        <v>38</v>
      </c>
      <c r="O322" s="2" t="s">
        <v>38</v>
      </c>
      <c r="P322" s="2" t="s">
        <v>38</v>
      </c>
      <c r="Q322" s="2" t="s">
        <v>538</v>
      </c>
      <c r="R322" s="2" t="s">
        <v>71</v>
      </c>
      <c r="S322" s="2" t="s">
        <v>89</v>
      </c>
      <c r="T322" s="2" t="s">
        <v>90</v>
      </c>
      <c r="U322" s="2" t="s">
        <v>627</v>
      </c>
      <c r="V322" s="2" t="s">
        <v>161</v>
      </c>
      <c r="W322" s="2" t="s">
        <v>38</v>
      </c>
      <c r="X322" s="3">
        <v>41229</v>
      </c>
      <c r="Y322" s="2" t="s">
        <v>2200</v>
      </c>
      <c r="Z322" s="5">
        <v>119</v>
      </c>
      <c r="AA322" s="2" t="s">
        <v>672</v>
      </c>
      <c r="AB322" s="2" t="s">
        <v>2135</v>
      </c>
      <c r="AC322" s="12">
        <f t="shared" ref="AC322:AC385" si="30">YEAR(X322)</f>
        <v>2012</v>
      </c>
      <c r="AD322" s="12">
        <f t="shared" ref="AD322:AD385" si="31">MONTH(X322)</f>
        <v>11</v>
      </c>
      <c r="AE322" s="12">
        <f t="shared" ref="AE322:AE385" si="32">DAY(X322)</f>
        <v>16</v>
      </c>
      <c r="AF322" s="16">
        <f t="shared" ref="AF322:AF385" si="33">IF(LEN(V322)&gt;0,V322/10,"")</f>
        <v>12.9</v>
      </c>
      <c r="AG322" s="16" t="str">
        <f t="shared" ref="AG322:AG385" si="34">IF(LEN(P322)&gt;0,P322/10,"")</f>
        <v/>
      </c>
      <c r="AH322" s="16">
        <f t="shared" ref="AH322:AH385" si="35">IF(LEN(Q322)&gt;0,Q322/10,"")</f>
        <v>11.9</v>
      </c>
    </row>
    <row r="323" spans="1:34" x14ac:dyDescent="0.35">
      <c r="A323" s="2" t="s">
        <v>2201</v>
      </c>
      <c r="B323" s="2" t="s">
        <v>29</v>
      </c>
      <c r="C323" s="2" t="s">
        <v>49</v>
      </c>
      <c r="D323" s="2" t="s">
        <v>51</v>
      </c>
      <c r="E323" s="2" t="s">
        <v>142</v>
      </c>
      <c r="F323" s="2" t="s">
        <v>2203</v>
      </c>
      <c r="G323" s="2" t="s">
        <v>34</v>
      </c>
      <c r="H323" s="2" t="s">
        <v>96</v>
      </c>
      <c r="I323" s="2" t="s">
        <v>37</v>
      </c>
      <c r="J323" s="2" t="s">
        <v>410</v>
      </c>
      <c r="K323" s="2" t="s">
        <v>38</v>
      </c>
      <c r="L323" s="2" t="s">
        <v>38</v>
      </c>
      <c r="M323" s="2" t="s">
        <v>39</v>
      </c>
      <c r="N323" s="2" t="s">
        <v>38</v>
      </c>
      <c r="O323" s="2" t="s">
        <v>38</v>
      </c>
      <c r="P323" s="2" t="s">
        <v>38</v>
      </c>
      <c r="Q323" s="2" t="s">
        <v>2204</v>
      </c>
      <c r="R323" s="2" t="s">
        <v>183</v>
      </c>
      <c r="S323" s="2" t="s">
        <v>89</v>
      </c>
      <c r="T323" s="2" t="s">
        <v>90</v>
      </c>
      <c r="U323" s="2" t="s">
        <v>91</v>
      </c>
      <c r="V323" s="2" t="s">
        <v>184</v>
      </c>
      <c r="W323" s="2" t="s">
        <v>38</v>
      </c>
      <c r="X323" s="3">
        <v>41230</v>
      </c>
      <c r="Y323" s="2" t="s">
        <v>2205</v>
      </c>
      <c r="Z323" s="35">
        <v>95</v>
      </c>
      <c r="AA323" s="2" t="s">
        <v>672</v>
      </c>
      <c r="AB323" s="2" t="s">
        <v>2135</v>
      </c>
      <c r="AC323" s="12">
        <f t="shared" si="30"/>
        <v>2012</v>
      </c>
      <c r="AD323" s="12">
        <f t="shared" si="31"/>
        <v>11</v>
      </c>
      <c r="AE323" s="12">
        <f t="shared" si="32"/>
        <v>17</v>
      </c>
      <c r="AF323" s="16">
        <f t="shared" si="33"/>
        <v>11.4</v>
      </c>
      <c r="AG323" s="16" t="str">
        <f t="shared" si="34"/>
        <v/>
      </c>
      <c r="AH323" s="16">
        <f t="shared" si="35"/>
        <v>9.5</v>
      </c>
    </row>
    <row r="324" spans="1:34" x14ac:dyDescent="0.35">
      <c r="A324" s="2" t="s">
        <v>2206</v>
      </c>
      <c r="B324" s="2" t="s">
        <v>29</v>
      </c>
      <c r="C324" s="2" t="s">
        <v>49</v>
      </c>
      <c r="D324" s="2" t="s">
        <v>32</v>
      </c>
      <c r="E324" s="2" t="s">
        <v>104</v>
      </c>
      <c r="F324" s="2" t="s">
        <v>2207</v>
      </c>
      <c r="G324" s="2" t="s">
        <v>86</v>
      </c>
      <c r="H324" s="2" t="s">
        <v>1564</v>
      </c>
      <c r="I324" s="2" t="s">
        <v>37</v>
      </c>
      <c r="J324" s="2" t="s">
        <v>165</v>
      </c>
      <c r="K324" s="2" t="s">
        <v>38</v>
      </c>
      <c r="L324" s="2" t="s">
        <v>38</v>
      </c>
      <c r="M324" s="2" t="s">
        <v>39</v>
      </c>
      <c r="N324" s="2" t="s">
        <v>38</v>
      </c>
      <c r="O324" s="2" t="s">
        <v>38</v>
      </c>
      <c r="P324" s="2" t="s">
        <v>38</v>
      </c>
      <c r="Q324" s="2" t="s">
        <v>571</v>
      </c>
      <c r="R324" s="2" t="s">
        <v>71</v>
      </c>
      <c r="S324" s="2" t="s">
        <v>89</v>
      </c>
      <c r="T324" s="2" t="s">
        <v>90</v>
      </c>
      <c r="U324" s="2" t="s">
        <v>45</v>
      </c>
      <c r="V324" s="2" t="s">
        <v>845</v>
      </c>
      <c r="W324" s="2" t="s">
        <v>38</v>
      </c>
      <c r="X324" s="3">
        <v>41231</v>
      </c>
      <c r="Y324" s="2" t="s">
        <v>2208</v>
      </c>
      <c r="Z324" s="35">
        <v>90</v>
      </c>
      <c r="AA324" s="2" t="s">
        <v>672</v>
      </c>
      <c r="AB324" s="2" t="s">
        <v>2135</v>
      </c>
      <c r="AC324" s="12">
        <f t="shared" si="30"/>
        <v>2012</v>
      </c>
      <c r="AD324" s="12">
        <f t="shared" si="31"/>
        <v>11</v>
      </c>
      <c r="AE324" s="12">
        <f t="shared" si="32"/>
        <v>18</v>
      </c>
      <c r="AF324" s="16">
        <f t="shared" si="33"/>
        <v>13.1</v>
      </c>
      <c r="AG324" s="16" t="str">
        <f t="shared" si="34"/>
        <v/>
      </c>
      <c r="AH324" s="16">
        <f t="shared" si="35"/>
        <v>9</v>
      </c>
    </row>
    <row r="325" spans="1:34" x14ac:dyDescent="0.35">
      <c r="A325" s="2" t="s">
        <v>2210</v>
      </c>
      <c r="B325" s="2" t="s">
        <v>29</v>
      </c>
      <c r="C325" s="2" t="s">
        <v>49</v>
      </c>
      <c r="D325" s="2" t="s">
        <v>32</v>
      </c>
      <c r="E325" s="2" t="s">
        <v>142</v>
      </c>
      <c r="F325" s="2" t="s">
        <v>411</v>
      </c>
      <c r="G325" s="2" t="s">
        <v>106</v>
      </c>
      <c r="H325" s="2" t="s">
        <v>246</v>
      </c>
      <c r="I325" s="2" t="s">
        <v>37</v>
      </c>
      <c r="J325" s="2" t="s">
        <v>195</v>
      </c>
      <c r="K325" s="2" t="s">
        <v>38</v>
      </c>
      <c r="L325" s="2" t="s">
        <v>38</v>
      </c>
      <c r="M325" s="2" t="s">
        <v>39</v>
      </c>
      <c r="N325" s="2" t="s">
        <v>38</v>
      </c>
      <c r="O325" s="2" t="s">
        <v>38</v>
      </c>
      <c r="P325" s="2" t="s">
        <v>38</v>
      </c>
      <c r="Q325" s="2" t="s">
        <v>2211</v>
      </c>
      <c r="R325" s="2" t="s">
        <v>71</v>
      </c>
      <c r="S325" s="2" t="s">
        <v>89</v>
      </c>
      <c r="T325" s="2" t="s">
        <v>90</v>
      </c>
      <c r="U325" s="2" t="s">
        <v>139</v>
      </c>
      <c r="V325" s="2" t="s">
        <v>197</v>
      </c>
      <c r="W325" s="2" t="s">
        <v>38</v>
      </c>
      <c r="X325" s="3">
        <v>41232</v>
      </c>
      <c r="Y325" s="2" t="s">
        <v>2212</v>
      </c>
      <c r="Z325" s="5">
        <v>79</v>
      </c>
      <c r="AA325" s="2" t="s">
        <v>672</v>
      </c>
      <c r="AB325" s="2" t="s">
        <v>2135</v>
      </c>
      <c r="AC325" s="12">
        <f t="shared" si="30"/>
        <v>2012</v>
      </c>
      <c r="AD325" s="12">
        <f t="shared" si="31"/>
        <v>11</v>
      </c>
      <c r="AE325" s="12">
        <f t="shared" si="32"/>
        <v>19</v>
      </c>
      <c r="AF325" s="16">
        <f t="shared" si="33"/>
        <v>10.6</v>
      </c>
      <c r="AG325" s="16" t="str">
        <f t="shared" si="34"/>
        <v/>
      </c>
      <c r="AH325" s="16">
        <f t="shared" si="35"/>
        <v>7.9</v>
      </c>
    </row>
    <row r="326" spans="1:34" x14ac:dyDescent="0.35">
      <c r="A326" s="2" t="s">
        <v>2215</v>
      </c>
      <c r="B326" s="2" t="s">
        <v>29</v>
      </c>
      <c r="C326" s="2" t="s">
        <v>49</v>
      </c>
      <c r="D326" s="2" t="s">
        <v>32</v>
      </c>
      <c r="E326" s="2" t="s">
        <v>112</v>
      </c>
      <c r="F326" s="2" t="s">
        <v>500</v>
      </c>
      <c r="G326" s="2" t="s">
        <v>106</v>
      </c>
      <c r="H326" s="2" t="s">
        <v>877</v>
      </c>
      <c r="I326" s="2" t="s">
        <v>37</v>
      </c>
      <c r="J326" s="2" t="s">
        <v>165</v>
      </c>
      <c r="K326" s="2" t="s">
        <v>38</v>
      </c>
      <c r="L326" s="2" t="s">
        <v>38</v>
      </c>
      <c r="M326" s="2" t="s">
        <v>39</v>
      </c>
      <c r="N326" s="2" t="s">
        <v>38</v>
      </c>
      <c r="O326" s="2" t="s">
        <v>38</v>
      </c>
      <c r="P326" s="2" t="s">
        <v>38</v>
      </c>
      <c r="Q326" s="2" t="s">
        <v>2217</v>
      </c>
      <c r="R326" s="2" t="s">
        <v>71</v>
      </c>
      <c r="S326" s="2" t="s">
        <v>89</v>
      </c>
      <c r="T326" s="2" t="s">
        <v>90</v>
      </c>
      <c r="U326" s="2" t="s">
        <v>92</v>
      </c>
      <c r="V326" s="2" t="s">
        <v>117</v>
      </c>
      <c r="W326" s="2" t="s">
        <v>38</v>
      </c>
      <c r="X326" s="3">
        <v>41233</v>
      </c>
      <c r="Y326" s="2" t="s">
        <v>2218</v>
      </c>
      <c r="Z326" s="5">
        <v>86</v>
      </c>
      <c r="AA326" s="2" t="s">
        <v>672</v>
      </c>
      <c r="AB326" s="2" t="s">
        <v>2135</v>
      </c>
      <c r="AC326" s="12">
        <f t="shared" si="30"/>
        <v>2012</v>
      </c>
      <c r="AD326" s="12">
        <f t="shared" si="31"/>
        <v>11</v>
      </c>
      <c r="AE326" s="12">
        <f t="shared" si="32"/>
        <v>20</v>
      </c>
      <c r="AF326" s="16">
        <f t="shared" si="33"/>
        <v>10.4</v>
      </c>
      <c r="AG326" s="16" t="str">
        <f t="shared" si="34"/>
        <v/>
      </c>
      <c r="AH326" s="16">
        <f t="shared" si="35"/>
        <v>8.6</v>
      </c>
    </row>
    <row r="327" spans="1:34" x14ac:dyDescent="0.35">
      <c r="A327" s="2" t="s">
        <v>2219</v>
      </c>
      <c r="B327" s="2" t="s">
        <v>29</v>
      </c>
      <c r="C327" s="2" t="s">
        <v>49</v>
      </c>
      <c r="D327" s="2" t="s">
        <v>32</v>
      </c>
      <c r="E327" s="2" t="s">
        <v>94</v>
      </c>
      <c r="F327" s="2" t="s">
        <v>2222</v>
      </c>
      <c r="G327" s="2" t="s">
        <v>106</v>
      </c>
      <c r="H327" s="2" t="s">
        <v>113</v>
      </c>
      <c r="I327" s="2" t="s">
        <v>37</v>
      </c>
      <c r="J327" s="2" t="s">
        <v>142</v>
      </c>
      <c r="K327" s="2" t="s">
        <v>38</v>
      </c>
      <c r="L327" s="2" t="s">
        <v>38</v>
      </c>
      <c r="M327" s="2" t="s">
        <v>39</v>
      </c>
      <c r="N327" s="2" t="s">
        <v>38</v>
      </c>
      <c r="O327" s="2" t="s">
        <v>38</v>
      </c>
      <c r="P327" s="2" t="s">
        <v>38</v>
      </c>
      <c r="Q327" s="2" t="s">
        <v>400</v>
      </c>
      <c r="R327" s="2" t="s">
        <v>358</v>
      </c>
      <c r="S327" s="2" t="s">
        <v>72</v>
      </c>
      <c r="T327" s="2" t="s">
        <v>903</v>
      </c>
      <c r="U327" s="2" t="s">
        <v>139</v>
      </c>
      <c r="V327" s="2" t="s">
        <v>421</v>
      </c>
      <c r="W327" s="2" t="s">
        <v>38</v>
      </c>
      <c r="X327" s="3">
        <v>41234</v>
      </c>
      <c r="Y327" s="2" t="s">
        <v>2223</v>
      </c>
      <c r="Z327" s="35">
        <v>108</v>
      </c>
      <c r="AA327" s="2" t="s">
        <v>672</v>
      </c>
      <c r="AB327" s="2" t="s">
        <v>2135</v>
      </c>
      <c r="AC327" s="12">
        <f t="shared" si="30"/>
        <v>2012</v>
      </c>
      <c r="AD327" s="12">
        <f t="shared" si="31"/>
        <v>11</v>
      </c>
      <c r="AE327" s="12">
        <f t="shared" si="32"/>
        <v>21</v>
      </c>
      <c r="AF327" s="16">
        <f t="shared" si="33"/>
        <v>13.6</v>
      </c>
      <c r="AG327" s="16" t="str">
        <f t="shared" si="34"/>
        <v/>
      </c>
      <c r="AH327" s="16">
        <f t="shared" si="35"/>
        <v>10.8</v>
      </c>
    </row>
    <row r="328" spans="1:34" x14ac:dyDescent="0.35">
      <c r="A328" s="2" t="s">
        <v>2224</v>
      </c>
      <c r="B328" s="2" t="s">
        <v>29</v>
      </c>
      <c r="C328" s="2" t="s">
        <v>49</v>
      </c>
      <c r="D328" s="2" t="s">
        <v>596</v>
      </c>
      <c r="E328" s="2" t="s">
        <v>32</v>
      </c>
      <c r="F328" s="2" t="s">
        <v>411</v>
      </c>
      <c r="G328" s="2" t="s">
        <v>106</v>
      </c>
      <c r="H328" s="2" t="s">
        <v>451</v>
      </c>
      <c r="I328" s="2" t="s">
        <v>37</v>
      </c>
      <c r="J328" s="2" t="s">
        <v>104</v>
      </c>
      <c r="K328" s="2" t="s">
        <v>38</v>
      </c>
      <c r="L328" s="2" t="s">
        <v>38</v>
      </c>
      <c r="M328" s="2" t="s">
        <v>39</v>
      </c>
      <c r="N328" s="2" t="s">
        <v>38</v>
      </c>
      <c r="O328" s="2" t="s">
        <v>38</v>
      </c>
      <c r="P328" s="2" t="s">
        <v>38</v>
      </c>
      <c r="Q328" s="2" t="s">
        <v>2227</v>
      </c>
      <c r="R328" s="2" t="s">
        <v>71</v>
      </c>
      <c r="S328" s="2" t="s">
        <v>89</v>
      </c>
      <c r="T328" s="2" t="s">
        <v>90</v>
      </c>
      <c r="U328" s="2" t="s">
        <v>627</v>
      </c>
      <c r="V328" s="2" t="s">
        <v>2228</v>
      </c>
      <c r="W328" s="2" t="s">
        <v>38</v>
      </c>
      <c r="X328" s="3">
        <v>41235</v>
      </c>
      <c r="Y328" s="2" t="s">
        <v>2229</v>
      </c>
      <c r="Z328" s="5">
        <v>134</v>
      </c>
      <c r="AA328" s="2" t="s">
        <v>672</v>
      </c>
      <c r="AB328" s="2" t="s">
        <v>2135</v>
      </c>
      <c r="AC328" s="12">
        <f t="shared" si="30"/>
        <v>2012</v>
      </c>
      <c r="AD328" s="12">
        <f t="shared" si="31"/>
        <v>11</v>
      </c>
      <c r="AE328" s="12">
        <f t="shared" si="32"/>
        <v>22</v>
      </c>
      <c r="AF328" s="16">
        <f t="shared" si="33"/>
        <v>16.100000000000001</v>
      </c>
      <c r="AG328" s="16" t="str">
        <f t="shared" si="34"/>
        <v/>
      </c>
      <c r="AH328" s="16">
        <f t="shared" si="35"/>
        <v>13.4</v>
      </c>
    </row>
    <row r="329" spans="1:34" x14ac:dyDescent="0.35">
      <c r="A329" s="2" t="s">
        <v>2230</v>
      </c>
      <c r="B329" s="2" t="s">
        <v>29</v>
      </c>
      <c r="C329" s="2" t="s">
        <v>49</v>
      </c>
      <c r="D329" s="2" t="s">
        <v>579</v>
      </c>
      <c r="E329" s="2" t="s">
        <v>51</v>
      </c>
      <c r="F329" s="2" t="s">
        <v>420</v>
      </c>
      <c r="G329" s="2" t="s">
        <v>106</v>
      </c>
      <c r="H329" s="2" t="s">
        <v>233</v>
      </c>
      <c r="I329" s="2" t="s">
        <v>37</v>
      </c>
      <c r="J329" s="2" t="s">
        <v>66</v>
      </c>
      <c r="K329" s="2" t="s">
        <v>38</v>
      </c>
      <c r="L329" s="2" t="s">
        <v>38</v>
      </c>
      <c r="M329" s="2" t="s">
        <v>39</v>
      </c>
      <c r="N329" s="2" t="s">
        <v>38</v>
      </c>
      <c r="O329" s="2" t="s">
        <v>38</v>
      </c>
      <c r="P329" s="2" t="s">
        <v>38</v>
      </c>
      <c r="Q329" s="2" t="s">
        <v>580</v>
      </c>
      <c r="R329" s="2" t="s">
        <v>71</v>
      </c>
      <c r="S329" s="2" t="s">
        <v>89</v>
      </c>
      <c r="T329" s="2" t="s">
        <v>90</v>
      </c>
      <c r="U329" s="2" t="s">
        <v>581</v>
      </c>
      <c r="V329" s="2" t="s">
        <v>1244</v>
      </c>
      <c r="W329" s="2" t="s">
        <v>38</v>
      </c>
      <c r="X329" s="3">
        <v>41236</v>
      </c>
      <c r="Y329" s="2" t="s">
        <v>2231</v>
      </c>
      <c r="Z329" s="35">
        <v>148</v>
      </c>
      <c r="AA329" s="2" t="s">
        <v>672</v>
      </c>
      <c r="AB329" s="2" t="s">
        <v>2135</v>
      </c>
      <c r="AC329" s="12">
        <f t="shared" si="30"/>
        <v>2012</v>
      </c>
      <c r="AD329" s="12">
        <f t="shared" si="31"/>
        <v>11</v>
      </c>
      <c r="AE329" s="12">
        <f t="shared" si="32"/>
        <v>23</v>
      </c>
      <c r="AF329" s="16">
        <f t="shared" si="33"/>
        <v>17.100000000000001</v>
      </c>
      <c r="AG329" s="16" t="str">
        <f t="shared" si="34"/>
        <v/>
      </c>
      <c r="AH329" s="16">
        <f t="shared" si="35"/>
        <v>14.8</v>
      </c>
    </row>
    <row r="330" spans="1:34" x14ac:dyDescent="0.35">
      <c r="A330" s="2" t="s">
        <v>2234</v>
      </c>
      <c r="B330" s="2" t="s">
        <v>29</v>
      </c>
      <c r="C330" s="2" t="s">
        <v>49</v>
      </c>
      <c r="D330" s="2" t="s">
        <v>579</v>
      </c>
      <c r="E330" s="2" t="s">
        <v>32</v>
      </c>
      <c r="F330" s="2" t="s">
        <v>399</v>
      </c>
      <c r="G330" s="2" t="s">
        <v>53</v>
      </c>
      <c r="H330" s="2" t="s">
        <v>35</v>
      </c>
      <c r="I330" s="2" t="s">
        <v>37</v>
      </c>
      <c r="J330" s="2" t="s">
        <v>66</v>
      </c>
      <c r="K330" s="2" t="s">
        <v>38</v>
      </c>
      <c r="L330" s="2" t="s">
        <v>38</v>
      </c>
      <c r="M330" s="2" t="s">
        <v>39</v>
      </c>
      <c r="N330" s="2" t="s">
        <v>38</v>
      </c>
      <c r="O330" s="2" t="s">
        <v>38</v>
      </c>
      <c r="P330" s="2" t="s">
        <v>38</v>
      </c>
      <c r="Q330" s="2" t="s">
        <v>70</v>
      </c>
      <c r="R330" s="2" t="s">
        <v>358</v>
      </c>
      <c r="S330" s="2" t="s">
        <v>122</v>
      </c>
      <c r="T330" s="2" t="s">
        <v>1329</v>
      </c>
      <c r="U330" s="2" t="s">
        <v>1473</v>
      </c>
      <c r="V330" s="2" t="s">
        <v>92</v>
      </c>
      <c r="W330" s="2" t="s">
        <v>38</v>
      </c>
      <c r="X330" s="3">
        <v>41237</v>
      </c>
      <c r="Y330" s="2" t="s">
        <v>2235</v>
      </c>
      <c r="Z330" s="35">
        <v>153</v>
      </c>
      <c r="AA330" s="2" t="s">
        <v>672</v>
      </c>
      <c r="AB330" s="2" t="s">
        <v>2135</v>
      </c>
      <c r="AC330" s="12">
        <f t="shared" si="30"/>
        <v>2012</v>
      </c>
      <c r="AD330" s="12">
        <f t="shared" si="31"/>
        <v>11</v>
      </c>
      <c r="AE330" s="12">
        <f t="shared" si="32"/>
        <v>24</v>
      </c>
      <c r="AF330" s="16">
        <f t="shared" si="33"/>
        <v>15.8</v>
      </c>
      <c r="AG330" s="16" t="str">
        <f t="shared" si="34"/>
        <v/>
      </c>
      <c r="AH330" s="16">
        <f t="shared" si="35"/>
        <v>15.3</v>
      </c>
    </row>
    <row r="331" spans="1:34" x14ac:dyDescent="0.35">
      <c r="A331" s="2" t="s">
        <v>2237</v>
      </c>
      <c r="B331" s="2" t="s">
        <v>29</v>
      </c>
      <c r="C331" s="2" t="s">
        <v>49</v>
      </c>
      <c r="D331" s="2" t="s">
        <v>579</v>
      </c>
      <c r="E331" s="2" t="s">
        <v>51</v>
      </c>
      <c r="F331" s="2" t="s">
        <v>325</v>
      </c>
      <c r="G331" s="2" t="s">
        <v>106</v>
      </c>
      <c r="H331" s="2" t="s">
        <v>127</v>
      </c>
      <c r="I331" s="2" t="s">
        <v>37</v>
      </c>
      <c r="J331" s="2" t="s">
        <v>32</v>
      </c>
      <c r="K331" s="2" t="s">
        <v>38</v>
      </c>
      <c r="L331" s="2" t="s">
        <v>38</v>
      </c>
      <c r="M331" s="2" t="s">
        <v>39</v>
      </c>
      <c r="N331" s="2" t="s">
        <v>38</v>
      </c>
      <c r="O331" s="2" t="s">
        <v>38</v>
      </c>
      <c r="P331" s="2" t="s">
        <v>38</v>
      </c>
      <c r="Q331" s="2" t="s">
        <v>2159</v>
      </c>
      <c r="R331" s="2" t="s">
        <v>358</v>
      </c>
      <c r="S331" s="2" t="s">
        <v>159</v>
      </c>
      <c r="T331" s="2" t="s">
        <v>372</v>
      </c>
      <c r="U331" s="2" t="s">
        <v>1305</v>
      </c>
      <c r="V331" s="2" t="s">
        <v>476</v>
      </c>
      <c r="W331" s="2" t="s">
        <v>38</v>
      </c>
      <c r="X331" s="3">
        <v>41238</v>
      </c>
      <c r="Y331" s="2" t="s">
        <v>2239</v>
      </c>
      <c r="Z331" s="5">
        <v>156</v>
      </c>
      <c r="AA331" s="2" t="s">
        <v>672</v>
      </c>
      <c r="AB331" s="2" t="s">
        <v>2135</v>
      </c>
      <c r="AC331" s="12">
        <f t="shared" si="30"/>
        <v>2012</v>
      </c>
      <c r="AD331" s="12">
        <f t="shared" si="31"/>
        <v>11</v>
      </c>
      <c r="AE331" s="12">
        <f t="shared" si="32"/>
        <v>25</v>
      </c>
      <c r="AF331" s="16">
        <f t="shared" si="33"/>
        <v>17</v>
      </c>
      <c r="AG331" s="16" t="str">
        <f t="shared" si="34"/>
        <v/>
      </c>
      <c r="AH331" s="16">
        <f t="shared" si="35"/>
        <v>15.6</v>
      </c>
    </row>
    <row r="332" spans="1:34" x14ac:dyDescent="0.35">
      <c r="A332" s="2" t="s">
        <v>2240</v>
      </c>
      <c r="B332" s="2" t="s">
        <v>29</v>
      </c>
      <c r="C332" s="2" t="s">
        <v>49</v>
      </c>
      <c r="D332" s="2" t="s">
        <v>579</v>
      </c>
      <c r="E332" s="2" t="s">
        <v>55</v>
      </c>
      <c r="F332" s="2" t="s">
        <v>474</v>
      </c>
      <c r="G332" s="2" t="s">
        <v>106</v>
      </c>
      <c r="H332" s="2" t="s">
        <v>331</v>
      </c>
      <c r="I332" s="2" t="s">
        <v>37</v>
      </c>
      <c r="J332" s="2" t="s">
        <v>32</v>
      </c>
      <c r="K332" s="2" t="s">
        <v>38</v>
      </c>
      <c r="L332" s="2" t="s">
        <v>38</v>
      </c>
      <c r="M332" s="2" t="s">
        <v>39</v>
      </c>
      <c r="N332" s="2" t="s">
        <v>38</v>
      </c>
      <c r="O332" s="2" t="s">
        <v>38</v>
      </c>
      <c r="P332" s="2" t="s">
        <v>38</v>
      </c>
      <c r="Q332" s="2" t="s">
        <v>832</v>
      </c>
      <c r="R332" s="2" t="s">
        <v>71</v>
      </c>
      <c r="S332" s="2" t="s">
        <v>89</v>
      </c>
      <c r="T332" s="2" t="s">
        <v>90</v>
      </c>
      <c r="U332" s="2" t="s">
        <v>1473</v>
      </c>
      <c r="V332" s="2" t="s">
        <v>1213</v>
      </c>
      <c r="W332" s="2" t="s">
        <v>38</v>
      </c>
      <c r="X332" s="3">
        <v>41239</v>
      </c>
      <c r="Y332" s="2" t="s">
        <v>2242</v>
      </c>
      <c r="Z332" s="5">
        <v>163</v>
      </c>
      <c r="AA332" s="2" t="s">
        <v>672</v>
      </c>
      <c r="AB332" s="2" t="s">
        <v>2135</v>
      </c>
      <c r="AC332" s="12">
        <f t="shared" si="30"/>
        <v>2012</v>
      </c>
      <c r="AD332" s="12">
        <f t="shared" si="31"/>
        <v>11</v>
      </c>
      <c r="AE332" s="12">
        <f t="shared" si="32"/>
        <v>26</v>
      </c>
      <c r="AF332" s="16">
        <f t="shared" si="33"/>
        <v>18.100000000000001</v>
      </c>
      <c r="AG332" s="16" t="str">
        <f t="shared" si="34"/>
        <v/>
      </c>
      <c r="AH332" s="16">
        <f t="shared" si="35"/>
        <v>16.3</v>
      </c>
    </row>
    <row r="333" spans="1:34" x14ac:dyDescent="0.35">
      <c r="A333" s="2" t="s">
        <v>2243</v>
      </c>
      <c r="B333" s="2" t="s">
        <v>29</v>
      </c>
      <c r="C333" s="2" t="s">
        <v>49</v>
      </c>
      <c r="D333" s="2" t="s">
        <v>50</v>
      </c>
      <c r="E333" s="2" t="s">
        <v>51</v>
      </c>
      <c r="F333" s="2" t="s">
        <v>879</v>
      </c>
      <c r="G333" s="2" t="s">
        <v>106</v>
      </c>
      <c r="H333" s="2" t="s">
        <v>173</v>
      </c>
      <c r="I333" s="2" t="s">
        <v>37</v>
      </c>
      <c r="J333" s="2" t="s">
        <v>51</v>
      </c>
      <c r="K333" s="2" t="s">
        <v>38</v>
      </c>
      <c r="L333" s="2" t="s">
        <v>38</v>
      </c>
      <c r="M333" s="2" t="s">
        <v>39</v>
      </c>
      <c r="N333" s="2" t="s">
        <v>38</v>
      </c>
      <c r="O333" s="2" t="s">
        <v>38</v>
      </c>
      <c r="P333" s="2" t="s">
        <v>38</v>
      </c>
      <c r="Q333" s="2" t="s">
        <v>2154</v>
      </c>
      <c r="R333" s="2" t="s">
        <v>71</v>
      </c>
      <c r="S333" s="2" t="s">
        <v>89</v>
      </c>
      <c r="T333" s="2" t="s">
        <v>90</v>
      </c>
      <c r="U333" s="2" t="s">
        <v>701</v>
      </c>
      <c r="V333" s="2" t="s">
        <v>933</v>
      </c>
      <c r="W333" s="2" t="s">
        <v>38</v>
      </c>
      <c r="X333" s="3">
        <v>41240</v>
      </c>
      <c r="Y333" s="2" t="s">
        <v>2244</v>
      </c>
      <c r="Z333" s="35">
        <v>169</v>
      </c>
      <c r="AA333" s="2" t="s">
        <v>672</v>
      </c>
      <c r="AB333" s="2" t="s">
        <v>2135</v>
      </c>
      <c r="AC333" s="12">
        <f t="shared" si="30"/>
        <v>2012</v>
      </c>
      <c r="AD333" s="12">
        <f t="shared" si="31"/>
        <v>11</v>
      </c>
      <c r="AE333" s="12">
        <f t="shared" si="32"/>
        <v>27</v>
      </c>
      <c r="AF333" s="16">
        <f t="shared" si="33"/>
        <v>16.899999999999999</v>
      </c>
      <c r="AG333" s="16" t="str">
        <f t="shared" si="34"/>
        <v/>
      </c>
      <c r="AH333" s="16">
        <f t="shared" si="35"/>
        <v>16.899999999999999</v>
      </c>
    </row>
    <row r="334" spans="1:34" x14ac:dyDescent="0.35">
      <c r="A334" s="2" t="s">
        <v>2246</v>
      </c>
      <c r="B334" s="2" t="s">
        <v>29</v>
      </c>
      <c r="C334" s="2" t="s">
        <v>49</v>
      </c>
      <c r="D334" s="2" t="s">
        <v>579</v>
      </c>
      <c r="E334" s="2" t="s">
        <v>55</v>
      </c>
      <c r="F334" s="2" t="s">
        <v>879</v>
      </c>
      <c r="G334" s="2" t="s">
        <v>106</v>
      </c>
      <c r="H334" s="2" t="s">
        <v>371</v>
      </c>
      <c r="I334" s="2" t="s">
        <v>37</v>
      </c>
      <c r="J334" s="2" t="s">
        <v>32</v>
      </c>
      <c r="K334" s="2" t="s">
        <v>38</v>
      </c>
      <c r="L334" s="2" t="s">
        <v>38</v>
      </c>
      <c r="M334" s="2" t="s">
        <v>39</v>
      </c>
      <c r="N334" s="2" t="s">
        <v>38</v>
      </c>
      <c r="O334" s="2" t="s">
        <v>38</v>
      </c>
      <c r="P334" s="2" t="s">
        <v>38</v>
      </c>
      <c r="Q334" s="2" t="s">
        <v>857</v>
      </c>
      <c r="R334" s="2" t="s">
        <v>71</v>
      </c>
      <c r="S334" s="2" t="s">
        <v>72</v>
      </c>
      <c r="T334" s="2" t="s">
        <v>73</v>
      </c>
      <c r="U334" s="2" t="s">
        <v>1358</v>
      </c>
      <c r="V334" s="2" t="s">
        <v>1346</v>
      </c>
      <c r="W334" s="2" t="s">
        <v>38</v>
      </c>
      <c r="X334" s="3">
        <v>41241</v>
      </c>
      <c r="Y334" s="2" t="s">
        <v>2248</v>
      </c>
      <c r="Z334" s="5">
        <v>157</v>
      </c>
      <c r="AA334" s="2" t="s">
        <v>672</v>
      </c>
      <c r="AB334" s="2" t="s">
        <v>2135</v>
      </c>
      <c r="AC334" s="12">
        <f t="shared" si="30"/>
        <v>2012</v>
      </c>
      <c r="AD334" s="12">
        <f t="shared" si="31"/>
        <v>11</v>
      </c>
      <c r="AE334" s="12">
        <f t="shared" si="32"/>
        <v>28</v>
      </c>
      <c r="AF334" s="16">
        <f t="shared" si="33"/>
        <v>17.899999999999999</v>
      </c>
      <c r="AG334" s="16" t="str">
        <f t="shared" si="34"/>
        <v/>
      </c>
      <c r="AH334" s="16">
        <f t="shared" si="35"/>
        <v>15.7</v>
      </c>
    </row>
    <row r="335" spans="1:34" x14ac:dyDescent="0.35">
      <c r="A335" s="2" t="s">
        <v>2249</v>
      </c>
      <c r="B335" s="2" t="s">
        <v>29</v>
      </c>
      <c r="C335" s="2" t="s">
        <v>49</v>
      </c>
      <c r="D335" s="2" t="s">
        <v>55</v>
      </c>
      <c r="E335" s="2" t="s">
        <v>66</v>
      </c>
      <c r="F335" s="2" t="s">
        <v>399</v>
      </c>
      <c r="G335" s="2" t="s">
        <v>34</v>
      </c>
      <c r="H335" s="2" t="s">
        <v>295</v>
      </c>
      <c r="I335" s="2" t="s">
        <v>37</v>
      </c>
      <c r="J335" s="2" t="s">
        <v>104</v>
      </c>
      <c r="K335" s="2" t="s">
        <v>38</v>
      </c>
      <c r="L335" s="2" t="s">
        <v>38</v>
      </c>
      <c r="M335" s="2" t="s">
        <v>39</v>
      </c>
      <c r="N335" s="2" t="s">
        <v>38</v>
      </c>
      <c r="O335" s="2" t="s">
        <v>38</v>
      </c>
      <c r="P335" s="2" t="s">
        <v>38</v>
      </c>
      <c r="Q335" s="2" t="s">
        <v>2227</v>
      </c>
      <c r="R335" s="2" t="s">
        <v>183</v>
      </c>
      <c r="S335" s="2" t="s">
        <v>167</v>
      </c>
      <c r="T335" s="2" t="s">
        <v>73</v>
      </c>
      <c r="U335" s="2" t="s">
        <v>663</v>
      </c>
      <c r="V335" s="2" t="s">
        <v>1005</v>
      </c>
      <c r="W335" s="2" t="s">
        <v>38</v>
      </c>
      <c r="X335" s="3">
        <v>41242</v>
      </c>
      <c r="Y335" s="2" t="s">
        <v>2251</v>
      </c>
      <c r="Z335" s="35">
        <v>134</v>
      </c>
      <c r="AA335" s="2" t="s">
        <v>672</v>
      </c>
      <c r="AB335" s="2" t="s">
        <v>2135</v>
      </c>
      <c r="AC335" s="12">
        <f t="shared" si="30"/>
        <v>2012</v>
      </c>
      <c r="AD335" s="12">
        <f t="shared" si="31"/>
        <v>11</v>
      </c>
      <c r="AE335" s="12">
        <f t="shared" si="32"/>
        <v>29</v>
      </c>
      <c r="AF335" s="16">
        <f t="shared" si="33"/>
        <v>15</v>
      </c>
      <c r="AG335" s="16" t="str">
        <f t="shared" si="34"/>
        <v/>
      </c>
      <c r="AH335" s="16">
        <f t="shared" si="35"/>
        <v>13.4</v>
      </c>
    </row>
    <row r="336" spans="1:34" x14ac:dyDescent="0.35">
      <c r="A336" s="2" t="s">
        <v>2252</v>
      </c>
      <c r="B336" s="2" t="s">
        <v>29</v>
      </c>
      <c r="C336" s="2" t="s">
        <v>49</v>
      </c>
      <c r="D336" s="2" t="s">
        <v>51</v>
      </c>
      <c r="E336" s="2" t="s">
        <v>94</v>
      </c>
      <c r="F336" s="2" t="s">
        <v>411</v>
      </c>
      <c r="G336" s="2" t="s">
        <v>34</v>
      </c>
      <c r="H336" s="2" t="s">
        <v>79</v>
      </c>
      <c r="I336" s="2" t="s">
        <v>37</v>
      </c>
      <c r="J336" s="2" t="s">
        <v>30</v>
      </c>
      <c r="K336" s="2" t="s">
        <v>38</v>
      </c>
      <c r="L336" s="2" t="s">
        <v>38</v>
      </c>
      <c r="M336" s="2" t="s">
        <v>39</v>
      </c>
      <c r="N336" s="2" t="s">
        <v>38</v>
      </c>
      <c r="O336" s="2" t="s">
        <v>38</v>
      </c>
      <c r="P336" s="2" t="s">
        <v>38</v>
      </c>
      <c r="Q336" s="2" t="s">
        <v>2253</v>
      </c>
      <c r="R336" s="2" t="s">
        <v>183</v>
      </c>
      <c r="S336" s="2" t="s">
        <v>159</v>
      </c>
      <c r="T336" s="2" t="s">
        <v>73</v>
      </c>
      <c r="U336" s="2" t="s">
        <v>91</v>
      </c>
      <c r="V336" s="2" t="s">
        <v>460</v>
      </c>
      <c r="W336" s="2" t="s">
        <v>38</v>
      </c>
      <c r="X336" s="3">
        <v>41243</v>
      </c>
      <c r="Y336" s="2" t="s">
        <v>2254</v>
      </c>
      <c r="Z336" s="35">
        <v>121</v>
      </c>
      <c r="AA336" s="2" t="s">
        <v>672</v>
      </c>
      <c r="AB336" s="2" t="s">
        <v>2135</v>
      </c>
      <c r="AC336" s="12">
        <f t="shared" si="30"/>
        <v>2012</v>
      </c>
      <c r="AD336" s="12">
        <f t="shared" si="31"/>
        <v>11</v>
      </c>
      <c r="AE336" s="12">
        <f t="shared" si="32"/>
        <v>30</v>
      </c>
      <c r="AF336" s="16">
        <f t="shared" si="33"/>
        <v>13.7</v>
      </c>
      <c r="AG336" s="16" t="str">
        <f t="shared" si="34"/>
        <v/>
      </c>
      <c r="AH336" s="16">
        <f t="shared" si="35"/>
        <v>12.1</v>
      </c>
    </row>
    <row r="337" spans="1:34" x14ac:dyDescent="0.35">
      <c r="A337" s="2" t="s">
        <v>2257</v>
      </c>
      <c r="B337" s="2" t="s">
        <v>29</v>
      </c>
      <c r="C337" s="2" t="s">
        <v>49</v>
      </c>
      <c r="D337" s="2" t="s">
        <v>55</v>
      </c>
      <c r="E337" s="2" t="s">
        <v>94</v>
      </c>
      <c r="F337" s="2" t="s">
        <v>2258</v>
      </c>
      <c r="G337" s="2" t="s">
        <v>68</v>
      </c>
      <c r="H337" s="2" t="s">
        <v>451</v>
      </c>
      <c r="I337" s="2" t="s">
        <v>37</v>
      </c>
      <c r="J337" s="2" t="s">
        <v>30</v>
      </c>
      <c r="K337" s="2" t="s">
        <v>38</v>
      </c>
      <c r="L337" s="2" t="s">
        <v>38</v>
      </c>
      <c r="M337" s="2" t="s">
        <v>39</v>
      </c>
      <c r="N337" s="2" t="s">
        <v>38</v>
      </c>
      <c r="O337" s="2" t="s">
        <v>38</v>
      </c>
      <c r="P337" s="2" t="s">
        <v>38</v>
      </c>
      <c r="Q337" s="2" t="s">
        <v>2259</v>
      </c>
      <c r="R337" s="2" t="s">
        <v>71</v>
      </c>
      <c r="S337" s="2" t="s">
        <v>89</v>
      </c>
      <c r="T337" s="2" t="s">
        <v>90</v>
      </c>
      <c r="U337" s="2" t="s">
        <v>590</v>
      </c>
      <c r="V337" s="2" t="s">
        <v>460</v>
      </c>
      <c r="W337" s="2" t="s">
        <v>38</v>
      </c>
      <c r="X337" s="3">
        <v>41244</v>
      </c>
      <c r="Y337" s="2" t="s">
        <v>2260</v>
      </c>
      <c r="Z337" s="5">
        <v>120</v>
      </c>
      <c r="AA337" s="2" t="s">
        <v>672</v>
      </c>
      <c r="AB337" s="2" t="s">
        <v>2256</v>
      </c>
      <c r="AC337" s="12">
        <f t="shared" si="30"/>
        <v>2012</v>
      </c>
      <c r="AD337" s="12">
        <f t="shared" si="31"/>
        <v>12</v>
      </c>
      <c r="AE337" s="12">
        <f t="shared" si="32"/>
        <v>1</v>
      </c>
      <c r="AF337" s="16">
        <f t="shared" si="33"/>
        <v>13.7</v>
      </c>
      <c r="AG337" s="16" t="str">
        <f t="shared" si="34"/>
        <v/>
      </c>
      <c r="AH337" s="16">
        <f t="shared" si="35"/>
        <v>12</v>
      </c>
    </row>
    <row r="338" spans="1:34" x14ac:dyDescent="0.35">
      <c r="A338" s="2" t="s">
        <v>2262</v>
      </c>
      <c r="B338" s="2" t="s">
        <v>29</v>
      </c>
      <c r="C338" s="2" t="s">
        <v>49</v>
      </c>
      <c r="D338" s="2" t="s">
        <v>55</v>
      </c>
      <c r="E338" s="2" t="s">
        <v>32</v>
      </c>
      <c r="F338" s="2" t="s">
        <v>474</v>
      </c>
      <c r="G338" s="2" t="s">
        <v>106</v>
      </c>
      <c r="H338" s="2" t="s">
        <v>69</v>
      </c>
      <c r="I338" s="2" t="s">
        <v>37</v>
      </c>
      <c r="J338" s="2" t="s">
        <v>94</v>
      </c>
      <c r="K338" s="2" t="s">
        <v>38</v>
      </c>
      <c r="L338" s="2" t="s">
        <v>38</v>
      </c>
      <c r="M338" s="2" t="s">
        <v>39</v>
      </c>
      <c r="N338" s="2" t="s">
        <v>38</v>
      </c>
      <c r="O338" s="2" t="s">
        <v>38</v>
      </c>
      <c r="P338" s="2" t="s">
        <v>38</v>
      </c>
      <c r="Q338" s="2" t="s">
        <v>138</v>
      </c>
      <c r="R338" s="2" t="s">
        <v>71</v>
      </c>
      <c r="S338" s="2" t="s">
        <v>89</v>
      </c>
      <c r="T338" s="2" t="s">
        <v>90</v>
      </c>
      <c r="U338" s="2" t="s">
        <v>663</v>
      </c>
      <c r="V338" s="2" t="s">
        <v>1008</v>
      </c>
      <c r="W338" s="2" t="s">
        <v>38</v>
      </c>
      <c r="X338" s="3">
        <v>41245</v>
      </c>
      <c r="Y338" s="2" t="s">
        <v>2263</v>
      </c>
      <c r="Z338" s="35">
        <v>136</v>
      </c>
      <c r="AA338" s="2" t="s">
        <v>672</v>
      </c>
      <c r="AB338" s="2" t="s">
        <v>2256</v>
      </c>
      <c r="AC338" s="12">
        <f t="shared" si="30"/>
        <v>2012</v>
      </c>
      <c r="AD338" s="12">
        <f t="shared" si="31"/>
        <v>12</v>
      </c>
      <c r="AE338" s="12">
        <f t="shared" si="32"/>
        <v>2</v>
      </c>
      <c r="AF338" s="16">
        <f t="shared" si="33"/>
        <v>15.7</v>
      </c>
      <c r="AG338" s="16" t="str">
        <f t="shared" si="34"/>
        <v/>
      </c>
      <c r="AH338" s="16">
        <f t="shared" si="35"/>
        <v>13.6</v>
      </c>
    </row>
    <row r="339" spans="1:34" x14ac:dyDescent="0.35">
      <c r="A339" s="2" t="s">
        <v>2265</v>
      </c>
      <c r="B339" s="2" t="s">
        <v>29</v>
      </c>
      <c r="C339" s="2" t="s">
        <v>49</v>
      </c>
      <c r="D339" s="2" t="s">
        <v>596</v>
      </c>
      <c r="E339" s="2" t="s">
        <v>32</v>
      </c>
      <c r="F339" s="2" t="s">
        <v>325</v>
      </c>
      <c r="G339" s="2" t="s">
        <v>106</v>
      </c>
      <c r="H339" s="2" t="s">
        <v>87</v>
      </c>
      <c r="I339" s="2" t="s">
        <v>37</v>
      </c>
      <c r="J339" s="2" t="s">
        <v>66</v>
      </c>
      <c r="K339" s="2" t="s">
        <v>38</v>
      </c>
      <c r="L339" s="2" t="s">
        <v>38</v>
      </c>
      <c r="M339" s="2" t="s">
        <v>39</v>
      </c>
      <c r="N339" s="2" t="s">
        <v>38</v>
      </c>
      <c r="O339" s="2" t="s">
        <v>38</v>
      </c>
      <c r="P339" s="2" t="s">
        <v>38</v>
      </c>
      <c r="Q339" s="2" t="s">
        <v>2137</v>
      </c>
      <c r="R339" s="2" t="s">
        <v>71</v>
      </c>
      <c r="S339" s="2" t="s">
        <v>89</v>
      </c>
      <c r="T339" s="2" t="s">
        <v>90</v>
      </c>
      <c r="U339" s="2" t="s">
        <v>639</v>
      </c>
      <c r="V339" s="2" t="s">
        <v>359</v>
      </c>
      <c r="W339" s="2" t="s">
        <v>38</v>
      </c>
      <c r="X339" s="3">
        <v>41246</v>
      </c>
      <c r="Y339" s="2" t="s">
        <v>2267</v>
      </c>
      <c r="Z339" s="5">
        <v>151</v>
      </c>
      <c r="AA339" s="2" t="s">
        <v>672</v>
      </c>
      <c r="AB339" s="2" t="s">
        <v>2256</v>
      </c>
      <c r="AC339" s="12">
        <f t="shared" si="30"/>
        <v>2012</v>
      </c>
      <c r="AD339" s="12">
        <f t="shared" si="31"/>
        <v>12</v>
      </c>
      <c r="AE339" s="12">
        <f t="shared" si="32"/>
        <v>3</v>
      </c>
      <c r="AF339" s="16">
        <f t="shared" si="33"/>
        <v>15.6</v>
      </c>
      <c r="AG339" s="16" t="str">
        <f t="shared" si="34"/>
        <v/>
      </c>
      <c r="AH339" s="16">
        <f t="shared" si="35"/>
        <v>15.1</v>
      </c>
    </row>
    <row r="340" spans="1:34" x14ac:dyDescent="0.35">
      <c r="A340" s="2" t="s">
        <v>2268</v>
      </c>
      <c r="B340" s="2" t="s">
        <v>29</v>
      </c>
      <c r="C340" s="2" t="s">
        <v>49</v>
      </c>
      <c r="D340" s="2" t="s">
        <v>55</v>
      </c>
      <c r="E340" s="2" t="s">
        <v>104</v>
      </c>
      <c r="F340" s="2" t="s">
        <v>2207</v>
      </c>
      <c r="G340" s="2" t="s">
        <v>1023</v>
      </c>
      <c r="H340" s="2" t="s">
        <v>113</v>
      </c>
      <c r="I340" s="2" t="s">
        <v>37</v>
      </c>
      <c r="J340" s="2" t="s">
        <v>104</v>
      </c>
      <c r="K340" s="2" t="s">
        <v>38</v>
      </c>
      <c r="L340" s="2" t="s">
        <v>38</v>
      </c>
      <c r="M340" s="2" t="s">
        <v>39</v>
      </c>
      <c r="N340" s="2" t="s">
        <v>38</v>
      </c>
      <c r="O340" s="2" t="s">
        <v>38</v>
      </c>
      <c r="P340" s="2" t="s">
        <v>38</v>
      </c>
      <c r="Q340" s="2" t="s">
        <v>2227</v>
      </c>
      <c r="R340" s="2" t="s">
        <v>71</v>
      </c>
      <c r="S340" s="2" t="s">
        <v>167</v>
      </c>
      <c r="T340" s="2" t="s">
        <v>417</v>
      </c>
      <c r="U340" s="2" t="s">
        <v>590</v>
      </c>
      <c r="V340" s="2" t="s">
        <v>892</v>
      </c>
      <c r="W340" s="2" t="s">
        <v>38</v>
      </c>
      <c r="X340" s="3">
        <v>41247</v>
      </c>
      <c r="Y340" s="2" t="s">
        <v>2271</v>
      </c>
      <c r="Z340" s="35">
        <v>134</v>
      </c>
      <c r="AA340" s="2" t="s">
        <v>672</v>
      </c>
      <c r="AB340" s="2" t="s">
        <v>2256</v>
      </c>
      <c r="AC340" s="12">
        <f t="shared" si="30"/>
        <v>2012</v>
      </c>
      <c r="AD340" s="12">
        <f t="shared" si="31"/>
        <v>12</v>
      </c>
      <c r="AE340" s="12">
        <f t="shared" si="32"/>
        <v>4</v>
      </c>
      <c r="AF340" s="16">
        <f t="shared" si="33"/>
        <v>13.3</v>
      </c>
      <c r="AG340" s="16" t="str">
        <f t="shared" si="34"/>
        <v/>
      </c>
      <c r="AH340" s="16">
        <f t="shared" si="35"/>
        <v>13.4</v>
      </c>
    </row>
    <row r="341" spans="1:34" x14ac:dyDescent="0.35">
      <c r="A341" s="2" t="s">
        <v>2272</v>
      </c>
      <c r="B341" s="2" t="s">
        <v>29</v>
      </c>
      <c r="C341" s="2" t="s">
        <v>49</v>
      </c>
      <c r="D341" s="2" t="s">
        <v>579</v>
      </c>
      <c r="E341" s="2" t="s">
        <v>30</v>
      </c>
      <c r="F341" s="2" t="s">
        <v>879</v>
      </c>
      <c r="G341" s="2" t="s">
        <v>1071</v>
      </c>
      <c r="H341" s="2" t="s">
        <v>153</v>
      </c>
      <c r="I341" s="2" t="s">
        <v>37</v>
      </c>
      <c r="J341" s="2" t="s">
        <v>94</v>
      </c>
      <c r="K341" s="2" t="s">
        <v>38</v>
      </c>
      <c r="L341" s="2" t="s">
        <v>38</v>
      </c>
      <c r="M341" s="2" t="s">
        <v>39</v>
      </c>
      <c r="N341" s="2" t="s">
        <v>38</v>
      </c>
      <c r="O341" s="2" t="s">
        <v>38</v>
      </c>
      <c r="P341" s="2" t="s">
        <v>38</v>
      </c>
      <c r="Q341" s="2" t="s">
        <v>138</v>
      </c>
      <c r="R341" s="2" t="s">
        <v>71</v>
      </c>
      <c r="S341" s="2" t="s">
        <v>503</v>
      </c>
      <c r="T341" s="2" t="s">
        <v>73</v>
      </c>
      <c r="U341" s="2" t="s">
        <v>1358</v>
      </c>
      <c r="V341" s="2" t="s">
        <v>859</v>
      </c>
      <c r="W341" s="2" t="s">
        <v>38</v>
      </c>
      <c r="X341" s="3">
        <v>41248</v>
      </c>
      <c r="Y341" s="2" t="s">
        <v>2274</v>
      </c>
      <c r="Z341" s="5">
        <v>136</v>
      </c>
      <c r="AA341" s="2" t="s">
        <v>672</v>
      </c>
      <c r="AB341" s="2" t="s">
        <v>2256</v>
      </c>
      <c r="AC341" s="12">
        <f t="shared" si="30"/>
        <v>2012</v>
      </c>
      <c r="AD341" s="12">
        <f t="shared" si="31"/>
        <v>12</v>
      </c>
      <c r="AE341" s="12">
        <f t="shared" si="32"/>
        <v>5</v>
      </c>
      <c r="AF341" s="16">
        <f t="shared" si="33"/>
        <v>12.2</v>
      </c>
      <c r="AG341" s="16" t="str">
        <f t="shared" si="34"/>
        <v/>
      </c>
      <c r="AH341" s="16">
        <f t="shared" si="35"/>
        <v>13.6</v>
      </c>
    </row>
    <row r="342" spans="1:34" x14ac:dyDescent="0.35">
      <c r="A342" s="2" t="s">
        <v>2275</v>
      </c>
      <c r="B342" s="2" t="s">
        <v>29</v>
      </c>
      <c r="C342" s="2" t="s">
        <v>49</v>
      </c>
      <c r="D342" s="2" t="s">
        <v>714</v>
      </c>
      <c r="E342" s="2" t="s">
        <v>32</v>
      </c>
      <c r="F342" s="2" t="s">
        <v>105</v>
      </c>
      <c r="G342" s="2" t="s">
        <v>53</v>
      </c>
      <c r="H342" s="2" t="s">
        <v>79</v>
      </c>
      <c r="I342" s="2" t="s">
        <v>37</v>
      </c>
      <c r="J342" s="2" t="s">
        <v>55</v>
      </c>
      <c r="K342" s="2" t="s">
        <v>38</v>
      </c>
      <c r="L342" s="2" t="s">
        <v>38</v>
      </c>
      <c r="M342" s="2" t="s">
        <v>39</v>
      </c>
      <c r="N342" s="2" t="s">
        <v>38</v>
      </c>
      <c r="O342" s="2" t="s">
        <v>38</v>
      </c>
      <c r="P342" s="2" t="s">
        <v>38</v>
      </c>
      <c r="Q342" s="2" t="s">
        <v>964</v>
      </c>
      <c r="R342" s="2" t="s">
        <v>71</v>
      </c>
      <c r="S342" s="2" t="s">
        <v>122</v>
      </c>
      <c r="T342" s="2" t="s">
        <v>73</v>
      </c>
      <c r="U342" s="2" t="s">
        <v>1743</v>
      </c>
      <c r="V342" s="2" t="s">
        <v>2228</v>
      </c>
      <c r="W342" s="2" t="s">
        <v>38</v>
      </c>
      <c r="X342" s="3">
        <v>41249</v>
      </c>
      <c r="Y342" s="2" t="s">
        <v>2278</v>
      </c>
      <c r="Z342" s="35">
        <v>179</v>
      </c>
      <c r="AA342" s="2" t="s">
        <v>672</v>
      </c>
      <c r="AB342" s="2" t="s">
        <v>2256</v>
      </c>
      <c r="AC342" s="12">
        <f t="shared" si="30"/>
        <v>2012</v>
      </c>
      <c r="AD342" s="12">
        <f t="shared" si="31"/>
        <v>12</v>
      </c>
      <c r="AE342" s="12">
        <f t="shared" si="32"/>
        <v>6</v>
      </c>
      <c r="AF342" s="16">
        <f t="shared" si="33"/>
        <v>16.100000000000001</v>
      </c>
      <c r="AG342" s="16" t="str">
        <f t="shared" si="34"/>
        <v/>
      </c>
      <c r="AH342" s="16">
        <f t="shared" si="35"/>
        <v>17.899999999999999</v>
      </c>
    </row>
    <row r="343" spans="1:34" x14ac:dyDescent="0.35">
      <c r="A343" s="2" t="s">
        <v>2279</v>
      </c>
      <c r="B343" s="2" t="s">
        <v>29</v>
      </c>
      <c r="C343" s="2" t="s">
        <v>49</v>
      </c>
      <c r="D343" s="2" t="s">
        <v>714</v>
      </c>
      <c r="E343" s="2" t="s">
        <v>596</v>
      </c>
      <c r="F343" s="2" t="s">
        <v>105</v>
      </c>
      <c r="G343" s="2" t="s">
        <v>68</v>
      </c>
      <c r="H343" s="2" t="s">
        <v>371</v>
      </c>
      <c r="I343" s="2" t="s">
        <v>37</v>
      </c>
      <c r="J343" s="2" t="s">
        <v>55</v>
      </c>
      <c r="K343" s="2" t="s">
        <v>38</v>
      </c>
      <c r="L343" s="2" t="s">
        <v>38</v>
      </c>
      <c r="M343" s="2" t="s">
        <v>39</v>
      </c>
      <c r="N343" s="2" t="s">
        <v>38</v>
      </c>
      <c r="O343" s="2" t="s">
        <v>38</v>
      </c>
      <c r="P343" s="2" t="s">
        <v>38</v>
      </c>
      <c r="Q343" s="2" t="s">
        <v>2125</v>
      </c>
      <c r="R343" s="2" t="s">
        <v>71</v>
      </c>
      <c r="S343" s="2" t="s">
        <v>167</v>
      </c>
      <c r="T343" s="2" t="s">
        <v>73</v>
      </c>
      <c r="U343" s="2" t="s">
        <v>1524</v>
      </c>
      <c r="V343" s="2" t="s">
        <v>1269</v>
      </c>
      <c r="W343" s="2" t="s">
        <v>38</v>
      </c>
      <c r="X343" s="3">
        <v>41250</v>
      </c>
      <c r="Y343" s="2" t="s">
        <v>2281</v>
      </c>
      <c r="Z343" s="5">
        <v>177</v>
      </c>
      <c r="AA343" s="2" t="s">
        <v>672</v>
      </c>
      <c r="AB343" s="2" t="s">
        <v>2256</v>
      </c>
      <c r="AC343" s="12">
        <f t="shared" si="30"/>
        <v>2012</v>
      </c>
      <c r="AD343" s="12">
        <f t="shared" si="31"/>
        <v>12</v>
      </c>
      <c r="AE343" s="12">
        <f t="shared" si="32"/>
        <v>7</v>
      </c>
      <c r="AF343" s="16">
        <f t="shared" si="33"/>
        <v>19.5</v>
      </c>
      <c r="AG343" s="16" t="str">
        <f t="shared" si="34"/>
        <v/>
      </c>
      <c r="AH343" s="16">
        <f t="shared" si="35"/>
        <v>17.7</v>
      </c>
    </row>
    <row r="344" spans="1:34" x14ac:dyDescent="0.35">
      <c r="A344" s="2" t="s">
        <v>2282</v>
      </c>
      <c r="B344" s="2" t="s">
        <v>29</v>
      </c>
      <c r="C344" s="2" t="s">
        <v>49</v>
      </c>
      <c r="D344" s="2" t="s">
        <v>579</v>
      </c>
      <c r="E344" s="2" t="s">
        <v>596</v>
      </c>
      <c r="F344" s="2" t="s">
        <v>105</v>
      </c>
      <c r="G344" s="2" t="s">
        <v>34</v>
      </c>
      <c r="H344" s="2" t="s">
        <v>202</v>
      </c>
      <c r="I344" s="2" t="s">
        <v>37</v>
      </c>
      <c r="J344" s="2" t="s">
        <v>55</v>
      </c>
      <c r="K344" s="2" t="s">
        <v>38</v>
      </c>
      <c r="L344" s="2" t="s">
        <v>38</v>
      </c>
      <c r="M344" s="2" t="s">
        <v>39</v>
      </c>
      <c r="N344" s="2" t="s">
        <v>38</v>
      </c>
      <c r="O344" s="2" t="s">
        <v>38</v>
      </c>
      <c r="P344" s="2" t="s">
        <v>38</v>
      </c>
      <c r="Q344" s="2" t="s">
        <v>2048</v>
      </c>
      <c r="R344" s="2" t="s">
        <v>183</v>
      </c>
      <c r="S344" s="2" t="s">
        <v>167</v>
      </c>
      <c r="T344" s="2" t="s">
        <v>73</v>
      </c>
      <c r="U344" s="2" t="s">
        <v>1358</v>
      </c>
      <c r="V344" s="2" t="s">
        <v>1032</v>
      </c>
      <c r="W344" s="2" t="s">
        <v>38</v>
      </c>
      <c r="X344" s="3">
        <v>41251</v>
      </c>
      <c r="Y344" s="2" t="s">
        <v>2284</v>
      </c>
      <c r="Z344" s="5">
        <v>176</v>
      </c>
      <c r="AA344" s="2" t="s">
        <v>672</v>
      </c>
      <c r="AB344" s="2" t="s">
        <v>2256</v>
      </c>
      <c r="AC344" s="12">
        <f t="shared" si="30"/>
        <v>2012</v>
      </c>
      <c r="AD344" s="12">
        <f t="shared" si="31"/>
        <v>12</v>
      </c>
      <c r="AE344" s="12">
        <f t="shared" si="32"/>
        <v>8</v>
      </c>
      <c r="AF344" s="16">
        <f t="shared" si="33"/>
        <v>18.899999999999999</v>
      </c>
      <c r="AG344" s="16" t="str">
        <f t="shared" si="34"/>
        <v/>
      </c>
      <c r="AH344" s="16">
        <f t="shared" si="35"/>
        <v>17.600000000000001</v>
      </c>
    </row>
    <row r="345" spans="1:34" x14ac:dyDescent="0.35">
      <c r="A345" s="2" t="s">
        <v>2285</v>
      </c>
      <c r="B345" s="2" t="s">
        <v>29</v>
      </c>
      <c r="C345" s="2" t="s">
        <v>49</v>
      </c>
      <c r="D345" s="2" t="s">
        <v>50</v>
      </c>
      <c r="E345" s="2" t="s">
        <v>596</v>
      </c>
      <c r="F345" s="2" t="s">
        <v>807</v>
      </c>
      <c r="G345" s="2" t="s">
        <v>501</v>
      </c>
      <c r="H345" s="2" t="s">
        <v>295</v>
      </c>
      <c r="I345" s="2" t="s">
        <v>37</v>
      </c>
      <c r="J345" s="2" t="s">
        <v>55</v>
      </c>
      <c r="K345" s="2" t="s">
        <v>38</v>
      </c>
      <c r="L345" s="2" t="s">
        <v>38</v>
      </c>
      <c r="M345" s="2" t="s">
        <v>39</v>
      </c>
      <c r="N345" s="2" t="s">
        <v>38</v>
      </c>
      <c r="O345" s="2" t="s">
        <v>38</v>
      </c>
      <c r="P345" s="2" t="s">
        <v>38</v>
      </c>
      <c r="Q345" s="2" t="s">
        <v>2048</v>
      </c>
      <c r="R345" s="2" t="s">
        <v>71</v>
      </c>
      <c r="S345" s="2" t="s">
        <v>159</v>
      </c>
      <c r="T345" s="2" t="s">
        <v>73</v>
      </c>
      <c r="U345" s="2" t="s">
        <v>701</v>
      </c>
      <c r="V345" s="2" t="s">
        <v>1269</v>
      </c>
      <c r="W345" s="2" t="s">
        <v>38</v>
      </c>
      <c r="X345" s="3">
        <v>41252</v>
      </c>
      <c r="Y345" s="2" t="s">
        <v>2286</v>
      </c>
      <c r="Z345" s="35">
        <v>176</v>
      </c>
      <c r="AA345" s="2" t="s">
        <v>672</v>
      </c>
      <c r="AB345" s="2" t="s">
        <v>2256</v>
      </c>
      <c r="AC345" s="12">
        <f t="shared" si="30"/>
        <v>2012</v>
      </c>
      <c r="AD345" s="12">
        <f t="shared" si="31"/>
        <v>12</v>
      </c>
      <c r="AE345" s="12">
        <f t="shared" si="32"/>
        <v>9</v>
      </c>
      <c r="AF345" s="16">
        <f t="shared" si="33"/>
        <v>19.5</v>
      </c>
      <c r="AG345" s="16" t="str">
        <f t="shared" si="34"/>
        <v/>
      </c>
      <c r="AH345" s="16">
        <f t="shared" si="35"/>
        <v>17.600000000000001</v>
      </c>
    </row>
    <row r="346" spans="1:34" x14ac:dyDescent="0.35">
      <c r="A346" s="2" t="s">
        <v>2288</v>
      </c>
      <c r="B346" s="2" t="s">
        <v>29</v>
      </c>
      <c r="C346" s="2" t="s">
        <v>49</v>
      </c>
      <c r="D346" s="2" t="s">
        <v>596</v>
      </c>
      <c r="E346" s="2" t="s">
        <v>55</v>
      </c>
      <c r="F346" s="2" t="s">
        <v>2124</v>
      </c>
      <c r="G346" s="2" t="s">
        <v>106</v>
      </c>
      <c r="H346" s="2" t="s">
        <v>35</v>
      </c>
      <c r="I346" s="2" t="s">
        <v>37</v>
      </c>
      <c r="J346" s="2" t="s">
        <v>32</v>
      </c>
      <c r="K346" s="2" t="s">
        <v>38</v>
      </c>
      <c r="L346" s="2" t="s">
        <v>38</v>
      </c>
      <c r="M346" s="2" t="s">
        <v>39</v>
      </c>
      <c r="N346" s="2" t="s">
        <v>38</v>
      </c>
      <c r="O346" s="2" t="s">
        <v>38</v>
      </c>
      <c r="P346" s="2" t="s">
        <v>38</v>
      </c>
      <c r="Q346" s="2" t="s">
        <v>2289</v>
      </c>
      <c r="R346" s="2" t="s">
        <v>71</v>
      </c>
      <c r="S346" s="2" t="s">
        <v>89</v>
      </c>
      <c r="T346" s="2" t="s">
        <v>90</v>
      </c>
      <c r="U346" s="2" t="s">
        <v>639</v>
      </c>
      <c r="V346" s="2" t="s">
        <v>1346</v>
      </c>
      <c r="W346" s="2" t="s">
        <v>38</v>
      </c>
      <c r="X346" s="3">
        <v>41253</v>
      </c>
      <c r="Y346" s="2" t="s">
        <v>2290</v>
      </c>
      <c r="Z346" s="5">
        <v>161</v>
      </c>
      <c r="AA346" s="2" t="s">
        <v>672</v>
      </c>
      <c r="AB346" s="2" t="s">
        <v>2256</v>
      </c>
      <c r="AC346" s="12">
        <f t="shared" si="30"/>
        <v>2012</v>
      </c>
      <c r="AD346" s="12">
        <f t="shared" si="31"/>
        <v>12</v>
      </c>
      <c r="AE346" s="12">
        <f t="shared" si="32"/>
        <v>10</v>
      </c>
      <c r="AF346" s="16">
        <f t="shared" si="33"/>
        <v>17.899999999999999</v>
      </c>
      <c r="AG346" s="16" t="str">
        <f t="shared" si="34"/>
        <v/>
      </c>
      <c r="AH346" s="16">
        <f t="shared" si="35"/>
        <v>16.100000000000001</v>
      </c>
    </row>
    <row r="347" spans="1:34" x14ac:dyDescent="0.35">
      <c r="A347" s="2" t="s">
        <v>2292</v>
      </c>
      <c r="B347" s="2" t="s">
        <v>29</v>
      </c>
      <c r="C347" s="2" t="s">
        <v>49</v>
      </c>
      <c r="D347" s="2" t="s">
        <v>596</v>
      </c>
      <c r="E347" s="2" t="s">
        <v>66</v>
      </c>
      <c r="F347" s="2" t="s">
        <v>282</v>
      </c>
      <c r="G347" s="2" t="s">
        <v>34</v>
      </c>
      <c r="H347" s="2" t="s">
        <v>113</v>
      </c>
      <c r="I347" s="2" t="s">
        <v>37</v>
      </c>
      <c r="J347" s="2" t="s">
        <v>104</v>
      </c>
      <c r="K347" s="2" t="s">
        <v>38</v>
      </c>
      <c r="L347" s="2" t="s">
        <v>38</v>
      </c>
      <c r="M347" s="2" t="s">
        <v>39</v>
      </c>
      <c r="N347" s="2" t="s">
        <v>38</v>
      </c>
      <c r="O347" s="2" t="s">
        <v>38</v>
      </c>
      <c r="P347" s="2" t="s">
        <v>38</v>
      </c>
      <c r="Q347" s="2" t="s">
        <v>458</v>
      </c>
      <c r="R347" s="2" t="s">
        <v>183</v>
      </c>
      <c r="S347" s="2" t="s">
        <v>89</v>
      </c>
      <c r="T347" s="2" t="s">
        <v>90</v>
      </c>
      <c r="U347" s="2" t="s">
        <v>627</v>
      </c>
      <c r="V347" s="2" t="s">
        <v>924</v>
      </c>
      <c r="W347" s="2" t="s">
        <v>38</v>
      </c>
      <c r="X347" s="3">
        <v>41254</v>
      </c>
      <c r="Y347" s="2" t="s">
        <v>2294</v>
      </c>
      <c r="Z347" s="35">
        <v>130</v>
      </c>
      <c r="AA347" s="2" t="s">
        <v>672</v>
      </c>
      <c r="AB347" s="2" t="s">
        <v>2256</v>
      </c>
      <c r="AC347" s="12">
        <f t="shared" si="30"/>
        <v>2012</v>
      </c>
      <c r="AD347" s="12">
        <f t="shared" si="31"/>
        <v>12</v>
      </c>
      <c r="AE347" s="12">
        <f t="shared" si="32"/>
        <v>11</v>
      </c>
      <c r="AF347" s="16">
        <f t="shared" si="33"/>
        <v>15.1</v>
      </c>
      <c r="AG347" s="16" t="str">
        <f t="shared" si="34"/>
        <v/>
      </c>
      <c r="AH347" s="16">
        <f t="shared" si="35"/>
        <v>13</v>
      </c>
    </row>
    <row r="348" spans="1:34" x14ac:dyDescent="0.35">
      <c r="A348" s="2" t="s">
        <v>2295</v>
      </c>
      <c r="B348" s="2" t="s">
        <v>29</v>
      </c>
      <c r="C348" s="2" t="s">
        <v>49</v>
      </c>
      <c r="D348" s="2" t="s">
        <v>51</v>
      </c>
      <c r="E348" s="2" t="s">
        <v>32</v>
      </c>
      <c r="F348" s="2" t="s">
        <v>2076</v>
      </c>
      <c r="G348" s="2" t="s">
        <v>106</v>
      </c>
      <c r="H348" s="2" t="s">
        <v>137</v>
      </c>
      <c r="I348" s="2" t="s">
        <v>37</v>
      </c>
      <c r="J348" s="2" t="s">
        <v>104</v>
      </c>
      <c r="K348" s="2" t="s">
        <v>38</v>
      </c>
      <c r="L348" s="2" t="s">
        <v>38</v>
      </c>
      <c r="M348" s="2" t="s">
        <v>39</v>
      </c>
      <c r="N348" s="2" t="s">
        <v>38</v>
      </c>
      <c r="O348" s="2" t="s">
        <v>38</v>
      </c>
      <c r="P348" s="2" t="s">
        <v>38</v>
      </c>
      <c r="Q348" s="2" t="s">
        <v>643</v>
      </c>
      <c r="R348" s="2" t="s">
        <v>71</v>
      </c>
      <c r="S348" s="2" t="s">
        <v>89</v>
      </c>
      <c r="T348" s="2" t="s">
        <v>90</v>
      </c>
      <c r="U348" s="2" t="s">
        <v>61</v>
      </c>
      <c r="V348" s="2" t="s">
        <v>92</v>
      </c>
      <c r="W348" s="2" t="s">
        <v>38</v>
      </c>
      <c r="X348" s="3">
        <v>41255</v>
      </c>
      <c r="Y348" s="2" t="s">
        <v>2298</v>
      </c>
      <c r="Z348" s="5">
        <v>125</v>
      </c>
      <c r="AA348" s="2" t="s">
        <v>672</v>
      </c>
      <c r="AB348" s="2" t="s">
        <v>2256</v>
      </c>
      <c r="AC348" s="12">
        <f t="shared" si="30"/>
        <v>2012</v>
      </c>
      <c r="AD348" s="12">
        <f t="shared" si="31"/>
        <v>12</v>
      </c>
      <c r="AE348" s="12">
        <f t="shared" si="32"/>
        <v>12</v>
      </c>
      <c r="AF348" s="16">
        <f t="shared" si="33"/>
        <v>15.8</v>
      </c>
      <c r="AG348" s="16" t="str">
        <f t="shared" si="34"/>
        <v/>
      </c>
      <c r="AH348" s="16">
        <f t="shared" si="35"/>
        <v>12.5</v>
      </c>
    </row>
    <row r="349" spans="1:34" x14ac:dyDescent="0.35">
      <c r="A349" s="2" t="s">
        <v>2299</v>
      </c>
      <c r="B349" s="2" t="s">
        <v>29</v>
      </c>
      <c r="C349" s="2" t="s">
        <v>49</v>
      </c>
      <c r="D349" s="2" t="s">
        <v>32</v>
      </c>
      <c r="E349" s="2" t="s">
        <v>94</v>
      </c>
      <c r="F349" s="2" t="s">
        <v>411</v>
      </c>
      <c r="G349" s="2" t="s">
        <v>106</v>
      </c>
      <c r="H349" s="2" t="s">
        <v>233</v>
      </c>
      <c r="I349" s="2" t="s">
        <v>37</v>
      </c>
      <c r="J349" s="2" t="s">
        <v>142</v>
      </c>
      <c r="K349" s="2" t="s">
        <v>38</v>
      </c>
      <c r="L349" s="2" t="s">
        <v>38</v>
      </c>
      <c r="M349" s="2" t="s">
        <v>39</v>
      </c>
      <c r="N349" s="2" t="s">
        <v>38</v>
      </c>
      <c r="O349" s="2" t="s">
        <v>38</v>
      </c>
      <c r="P349" s="2" t="s">
        <v>38</v>
      </c>
      <c r="Q349" s="2" t="s">
        <v>2301</v>
      </c>
      <c r="R349" s="2" t="s">
        <v>71</v>
      </c>
      <c r="S349" s="2" t="s">
        <v>89</v>
      </c>
      <c r="T349" s="2" t="s">
        <v>90</v>
      </c>
      <c r="U349" s="2" t="s">
        <v>912</v>
      </c>
      <c r="V349" s="2" t="s">
        <v>1226</v>
      </c>
      <c r="W349" s="2" t="s">
        <v>38</v>
      </c>
      <c r="X349" s="3">
        <v>41256</v>
      </c>
      <c r="Y349" s="2" t="s">
        <v>2302</v>
      </c>
      <c r="Z349" s="35">
        <v>105</v>
      </c>
      <c r="AA349" s="2" t="s">
        <v>672</v>
      </c>
      <c r="AB349" s="2" t="s">
        <v>2256</v>
      </c>
      <c r="AC349" s="12">
        <f t="shared" si="30"/>
        <v>2012</v>
      </c>
      <c r="AD349" s="12">
        <f t="shared" si="31"/>
        <v>12</v>
      </c>
      <c r="AE349" s="12">
        <f t="shared" si="32"/>
        <v>13</v>
      </c>
      <c r="AF349" s="16">
        <f t="shared" si="33"/>
        <v>14.2</v>
      </c>
      <c r="AG349" s="16" t="str">
        <f t="shared" si="34"/>
        <v/>
      </c>
      <c r="AH349" s="16">
        <f t="shared" si="35"/>
        <v>10.5</v>
      </c>
    </row>
    <row r="350" spans="1:34" x14ac:dyDescent="0.35">
      <c r="A350" s="2" t="s">
        <v>2303</v>
      </c>
      <c r="B350" s="2" t="s">
        <v>29</v>
      </c>
      <c r="C350" s="2" t="s">
        <v>49</v>
      </c>
      <c r="D350" s="2" t="s">
        <v>66</v>
      </c>
      <c r="E350" s="2" t="s">
        <v>66</v>
      </c>
      <c r="F350" s="2" t="s">
        <v>2199</v>
      </c>
      <c r="G350" s="2" t="s">
        <v>2304</v>
      </c>
      <c r="H350" s="2" t="s">
        <v>121</v>
      </c>
      <c r="I350" s="2" t="s">
        <v>37</v>
      </c>
      <c r="J350" s="2" t="s">
        <v>104</v>
      </c>
      <c r="K350" s="2" t="s">
        <v>38</v>
      </c>
      <c r="L350" s="2" t="s">
        <v>38</v>
      </c>
      <c r="M350" s="2" t="s">
        <v>39</v>
      </c>
      <c r="N350" s="2" t="s">
        <v>38</v>
      </c>
      <c r="O350" s="2" t="s">
        <v>38</v>
      </c>
      <c r="P350" s="2" t="s">
        <v>38</v>
      </c>
      <c r="Q350" s="2" t="s">
        <v>616</v>
      </c>
      <c r="R350" s="2" t="s">
        <v>2305</v>
      </c>
      <c r="S350" s="2" t="s">
        <v>89</v>
      </c>
      <c r="T350" s="2" t="s">
        <v>90</v>
      </c>
      <c r="U350" s="2" t="s">
        <v>459</v>
      </c>
      <c r="V350" s="2" t="s">
        <v>140</v>
      </c>
      <c r="W350" s="2" t="s">
        <v>38</v>
      </c>
      <c r="X350" s="3">
        <v>41257</v>
      </c>
      <c r="Y350" s="2" t="s">
        <v>2306</v>
      </c>
      <c r="Z350" s="5">
        <v>129</v>
      </c>
      <c r="AA350" s="2" t="s">
        <v>672</v>
      </c>
      <c r="AB350" s="2" t="s">
        <v>2256</v>
      </c>
      <c r="AC350" s="12">
        <f t="shared" si="30"/>
        <v>2012</v>
      </c>
      <c r="AD350" s="12">
        <f t="shared" si="31"/>
        <v>12</v>
      </c>
      <c r="AE350" s="12">
        <f t="shared" si="32"/>
        <v>14</v>
      </c>
      <c r="AF350" s="16">
        <f t="shared" si="33"/>
        <v>14.7</v>
      </c>
      <c r="AG350" s="16" t="str">
        <f t="shared" si="34"/>
        <v/>
      </c>
      <c r="AH350" s="16">
        <f t="shared" si="35"/>
        <v>12.9</v>
      </c>
    </row>
    <row r="351" spans="1:34" x14ac:dyDescent="0.35">
      <c r="A351" s="2" t="s">
        <v>2309</v>
      </c>
      <c r="B351" s="2" t="s">
        <v>29</v>
      </c>
      <c r="C351" s="2" t="s">
        <v>49</v>
      </c>
      <c r="D351" s="2" t="s">
        <v>32</v>
      </c>
      <c r="E351" s="2" t="s">
        <v>94</v>
      </c>
      <c r="F351" s="2" t="s">
        <v>2310</v>
      </c>
      <c r="G351" s="2" t="s">
        <v>106</v>
      </c>
      <c r="H351" s="2" t="s">
        <v>877</v>
      </c>
      <c r="I351" s="2" t="s">
        <v>37</v>
      </c>
      <c r="J351" s="2" t="s">
        <v>142</v>
      </c>
      <c r="K351" s="2" t="s">
        <v>38</v>
      </c>
      <c r="L351" s="2" t="s">
        <v>38</v>
      </c>
      <c r="M351" s="2" t="s">
        <v>39</v>
      </c>
      <c r="N351" s="2" t="s">
        <v>38</v>
      </c>
      <c r="O351" s="2" t="s">
        <v>38</v>
      </c>
      <c r="P351" s="2" t="s">
        <v>38</v>
      </c>
      <c r="Q351" s="2" t="s">
        <v>545</v>
      </c>
      <c r="R351" s="2" t="s">
        <v>71</v>
      </c>
      <c r="S351" s="2" t="s">
        <v>89</v>
      </c>
      <c r="T351" s="2" t="s">
        <v>90</v>
      </c>
      <c r="U351" s="2" t="s">
        <v>139</v>
      </c>
      <c r="V351" s="2" t="s">
        <v>338</v>
      </c>
      <c r="W351" s="2" t="s">
        <v>38</v>
      </c>
      <c r="X351" s="3">
        <v>41258</v>
      </c>
      <c r="Y351" s="2" t="s">
        <v>2311</v>
      </c>
      <c r="Z351" s="35">
        <v>115</v>
      </c>
      <c r="AA351" s="2" t="s">
        <v>672</v>
      </c>
      <c r="AB351" s="2" t="s">
        <v>2256</v>
      </c>
      <c r="AC351" s="12">
        <f t="shared" si="30"/>
        <v>2012</v>
      </c>
      <c r="AD351" s="12">
        <f t="shared" si="31"/>
        <v>12</v>
      </c>
      <c r="AE351" s="12">
        <f t="shared" si="32"/>
        <v>15</v>
      </c>
      <c r="AF351" s="16">
        <f t="shared" si="33"/>
        <v>14</v>
      </c>
      <c r="AG351" s="16" t="str">
        <f t="shared" si="34"/>
        <v/>
      </c>
      <c r="AH351" s="16">
        <f t="shared" si="35"/>
        <v>11.5</v>
      </c>
    </row>
    <row r="352" spans="1:34" x14ac:dyDescent="0.35">
      <c r="A352" s="2" t="s">
        <v>2314</v>
      </c>
      <c r="B352" s="2" t="s">
        <v>29</v>
      </c>
      <c r="C352" s="2" t="s">
        <v>49</v>
      </c>
      <c r="D352" s="2" t="s">
        <v>32</v>
      </c>
      <c r="E352" s="2" t="s">
        <v>66</v>
      </c>
      <c r="F352" s="2" t="s">
        <v>2315</v>
      </c>
      <c r="G352" s="2" t="s">
        <v>53</v>
      </c>
      <c r="H352" s="2" t="s">
        <v>173</v>
      </c>
      <c r="I352" s="2" t="s">
        <v>37</v>
      </c>
      <c r="J352" s="2" t="s">
        <v>104</v>
      </c>
      <c r="K352" s="2" t="s">
        <v>38</v>
      </c>
      <c r="L352" s="2" t="s">
        <v>38</v>
      </c>
      <c r="M352" s="2" t="s">
        <v>39</v>
      </c>
      <c r="N352" s="2" t="s">
        <v>38</v>
      </c>
      <c r="O352" s="2" t="s">
        <v>38</v>
      </c>
      <c r="P352" s="2" t="s">
        <v>38</v>
      </c>
      <c r="Q352" s="2" t="s">
        <v>367</v>
      </c>
      <c r="R352" s="2" t="s">
        <v>71</v>
      </c>
      <c r="S352" s="2" t="s">
        <v>122</v>
      </c>
      <c r="T352" s="2" t="s">
        <v>73</v>
      </c>
      <c r="U352" s="2" t="s">
        <v>139</v>
      </c>
      <c r="V352" s="2" t="s">
        <v>123</v>
      </c>
      <c r="W352" s="2" t="s">
        <v>38</v>
      </c>
      <c r="X352" s="3">
        <v>41259</v>
      </c>
      <c r="Y352" s="2" t="s">
        <v>2316</v>
      </c>
      <c r="Z352" s="35">
        <v>135</v>
      </c>
      <c r="AA352" s="2" t="s">
        <v>672</v>
      </c>
      <c r="AB352" s="2" t="s">
        <v>2256</v>
      </c>
      <c r="AC352" s="12">
        <f t="shared" si="30"/>
        <v>2012</v>
      </c>
      <c r="AD352" s="12">
        <f t="shared" si="31"/>
        <v>12</v>
      </c>
      <c r="AE352" s="12">
        <f t="shared" si="32"/>
        <v>16</v>
      </c>
      <c r="AF352" s="16">
        <f t="shared" si="33"/>
        <v>15.2</v>
      </c>
      <c r="AG352" s="16" t="str">
        <f t="shared" si="34"/>
        <v/>
      </c>
      <c r="AH352" s="16">
        <f t="shared" si="35"/>
        <v>13.5</v>
      </c>
    </row>
    <row r="353" spans="1:34" x14ac:dyDescent="0.35">
      <c r="A353" s="2" t="s">
        <v>2318</v>
      </c>
      <c r="B353" s="2" t="s">
        <v>29</v>
      </c>
      <c r="C353" s="2" t="s">
        <v>49</v>
      </c>
      <c r="D353" s="2" t="s">
        <v>32</v>
      </c>
      <c r="E353" s="2" t="s">
        <v>94</v>
      </c>
      <c r="F353" s="2" t="s">
        <v>2320</v>
      </c>
      <c r="G353" s="2" t="s">
        <v>106</v>
      </c>
      <c r="H353" s="2" t="s">
        <v>79</v>
      </c>
      <c r="I353" s="2" t="s">
        <v>37</v>
      </c>
      <c r="J353" s="2" t="s">
        <v>104</v>
      </c>
      <c r="K353" s="2" t="s">
        <v>38</v>
      </c>
      <c r="L353" s="2" t="s">
        <v>38</v>
      </c>
      <c r="M353" s="2" t="s">
        <v>39</v>
      </c>
      <c r="N353" s="2" t="s">
        <v>38</v>
      </c>
      <c r="O353" s="2" t="s">
        <v>38</v>
      </c>
      <c r="P353" s="2" t="s">
        <v>38</v>
      </c>
      <c r="Q353" s="2" t="s">
        <v>643</v>
      </c>
      <c r="R353" s="2" t="s">
        <v>71</v>
      </c>
      <c r="S353" s="2" t="s">
        <v>503</v>
      </c>
      <c r="T353" s="2" t="s">
        <v>73</v>
      </c>
      <c r="U353" s="2" t="s">
        <v>912</v>
      </c>
      <c r="V353" s="2" t="s">
        <v>2321</v>
      </c>
      <c r="W353" s="2" t="s">
        <v>38</v>
      </c>
      <c r="X353" s="3">
        <v>41260</v>
      </c>
      <c r="Y353" s="2" t="s">
        <v>2322</v>
      </c>
      <c r="Z353" s="5">
        <v>125</v>
      </c>
      <c r="AA353" s="2" t="s">
        <v>672</v>
      </c>
      <c r="AB353" s="2" t="s">
        <v>2256</v>
      </c>
      <c r="AC353" s="12">
        <f t="shared" si="30"/>
        <v>2012</v>
      </c>
      <c r="AD353" s="12">
        <f t="shared" si="31"/>
        <v>12</v>
      </c>
      <c r="AE353" s="12">
        <f t="shared" si="32"/>
        <v>17</v>
      </c>
      <c r="AF353" s="16">
        <f t="shared" si="33"/>
        <v>13.8</v>
      </c>
      <c r="AG353" s="16" t="str">
        <f t="shared" si="34"/>
        <v/>
      </c>
      <c r="AH353" s="16">
        <f t="shared" si="35"/>
        <v>12.5</v>
      </c>
    </row>
    <row r="354" spans="1:34" x14ac:dyDescent="0.35">
      <c r="A354" s="2" t="s">
        <v>2323</v>
      </c>
      <c r="B354" s="2" t="s">
        <v>29</v>
      </c>
      <c r="C354" s="2" t="s">
        <v>49</v>
      </c>
      <c r="D354" s="2" t="s">
        <v>55</v>
      </c>
      <c r="E354" s="2" t="s">
        <v>94</v>
      </c>
      <c r="F354" s="2" t="s">
        <v>2325</v>
      </c>
      <c r="G354" s="2" t="s">
        <v>106</v>
      </c>
      <c r="H354" s="2" t="s">
        <v>87</v>
      </c>
      <c r="I354" s="2" t="s">
        <v>37</v>
      </c>
      <c r="J354" s="2" t="s">
        <v>104</v>
      </c>
      <c r="K354" s="2" t="s">
        <v>38</v>
      </c>
      <c r="L354" s="2" t="s">
        <v>38</v>
      </c>
      <c r="M354" s="2" t="s">
        <v>39</v>
      </c>
      <c r="N354" s="2" t="s">
        <v>38</v>
      </c>
      <c r="O354" s="2" t="s">
        <v>38</v>
      </c>
      <c r="P354" s="2" t="s">
        <v>38</v>
      </c>
      <c r="Q354" s="2" t="s">
        <v>436</v>
      </c>
      <c r="R354" s="2" t="s">
        <v>71</v>
      </c>
      <c r="S354" s="2" t="s">
        <v>89</v>
      </c>
      <c r="T354" s="2" t="s">
        <v>90</v>
      </c>
      <c r="U354" s="2" t="s">
        <v>74</v>
      </c>
      <c r="V354" s="2" t="s">
        <v>101</v>
      </c>
      <c r="W354" s="2" t="s">
        <v>38</v>
      </c>
      <c r="X354" s="3">
        <v>41261</v>
      </c>
      <c r="Y354" s="2" t="s">
        <v>2326</v>
      </c>
      <c r="Z354" s="35">
        <v>131</v>
      </c>
      <c r="AA354" s="2" t="s">
        <v>672</v>
      </c>
      <c r="AB354" s="2" t="s">
        <v>2256</v>
      </c>
      <c r="AC354" s="12">
        <f t="shared" si="30"/>
        <v>2012</v>
      </c>
      <c r="AD354" s="12">
        <f t="shared" si="31"/>
        <v>12</v>
      </c>
      <c r="AE354" s="12">
        <f t="shared" si="32"/>
        <v>18</v>
      </c>
      <c r="AF354" s="16">
        <f t="shared" si="33"/>
        <v>13.9</v>
      </c>
      <c r="AG354" s="16" t="str">
        <f t="shared" si="34"/>
        <v/>
      </c>
      <c r="AH354" s="16">
        <f t="shared" si="35"/>
        <v>13.1</v>
      </c>
    </row>
    <row r="355" spans="1:34" x14ac:dyDescent="0.35">
      <c r="A355" s="2" t="s">
        <v>2327</v>
      </c>
      <c r="B355" s="2" t="s">
        <v>29</v>
      </c>
      <c r="C355" s="2" t="s">
        <v>49</v>
      </c>
      <c r="D355" s="2" t="s">
        <v>104</v>
      </c>
      <c r="E355" s="2" t="s">
        <v>30</v>
      </c>
      <c r="F355" s="2" t="s">
        <v>2325</v>
      </c>
      <c r="G355" s="2" t="s">
        <v>53</v>
      </c>
      <c r="H355" s="2" t="s">
        <v>734</v>
      </c>
      <c r="I355" s="2" t="s">
        <v>37</v>
      </c>
      <c r="J355" s="2" t="s">
        <v>112</v>
      </c>
      <c r="K355" s="2" t="s">
        <v>38</v>
      </c>
      <c r="L355" s="2" t="s">
        <v>38</v>
      </c>
      <c r="M355" s="2" t="s">
        <v>39</v>
      </c>
      <c r="N355" s="2" t="s">
        <v>38</v>
      </c>
      <c r="O355" s="2" t="s">
        <v>38</v>
      </c>
      <c r="P355" s="2" t="s">
        <v>38</v>
      </c>
      <c r="Q355" s="2" t="s">
        <v>724</v>
      </c>
      <c r="R355" s="2" t="s">
        <v>71</v>
      </c>
      <c r="S355" s="2" t="s">
        <v>122</v>
      </c>
      <c r="T355" s="2" t="s">
        <v>73</v>
      </c>
      <c r="U355" s="2" t="s">
        <v>168</v>
      </c>
      <c r="V355" s="2" t="s">
        <v>783</v>
      </c>
      <c r="W355" s="2" t="s">
        <v>38</v>
      </c>
      <c r="X355" s="3">
        <v>41262</v>
      </c>
      <c r="Y355" s="2" t="s">
        <v>2328</v>
      </c>
      <c r="Z355" s="5">
        <v>103</v>
      </c>
      <c r="AA355" s="2" t="s">
        <v>672</v>
      </c>
      <c r="AB355" s="2" t="s">
        <v>2256</v>
      </c>
      <c r="AC355" s="12">
        <f t="shared" si="30"/>
        <v>2012</v>
      </c>
      <c r="AD355" s="12">
        <f t="shared" si="31"/>
        <v>12</v>
      </c>
      <c r="AE355" s="12">
        <f t="shared" si="32"/>
        <v>19</v>
      </c>
      <c r="AF355" s="16">
        <f t="shared" si="33"/>
        <v>11.6</v>
      </c>
      <c r="AG355" s="16" t="str">
        <f t="shared" si="34"/>
        <v/>
      </c>
      <c r="AH355" s="16">
        <f t="shared" si="35"/>
        <v>10.3</v>
      </c>
    </row>
    <row r="356" spans="1:34" x14ac:dyDescent="0.35">
      <c r="A356" s="2" t="s">
        <v>2330</v>
      </c>
      <c r="B356" s="2" t="s">
        <v>29</v>
      </c>
      <c r="C356" s="2" t="s">
        <v>49</v>
      </c>
      <c r="D356" s="2" t="s">
        <v>66</v>
      </c>
      <c r="E356" s="2" t="s">
        <v>30</v>
      </c>
      <c r="F356" s="2" t="s">
        <v>269</v>
      </c>
      <c r="G356" s="2" t="s">
        <v>53</v>
      </c>
      <c r="H356" s="2" t="s">
        <v>1173</v>
      </c>
      <c r="I356" s="2" t="s">
        <v>37</v>
      </c>
      <c r="J356" s="2" t="s">
        <v>112</v>
      </c>
      <c r="K356" s="2" t="s">
        <v>38</v>
      </c>
      <c r="L356" s="2" t="s">
        <v>38</v>
      </c>
      <c r="M356" s="2" t="s">
        <v>39</v>
      </c>
      <c r="N356" s="2" t="s">
        <v>38</v>
      </c>
      <c r="O356" s="2" t="s">
        <v>38</v>
      </c>
      <c r="P356" s="2" t="s">
        <v>38</v>
      </c>
      <c r="Q356" s="2" t="s">
        <v>727</v>
      </c>
      <c r="R356" s="2" t="s">
        <v>71</v>
      </c>
      <c r="S356" s="2" t="s">
        <v>1003</v>
      </c>
      <c r="T356" s="2" t="s">
        <v>73</v>
      </c>
      <c r="U356" s="2" t="s">
        <v>459</v>
      </c>
      <c r="V356" s="2" t="s">
        <v>298</v>
      </c>
      <c r="W356" s="2" t="s">
        <v>38</v>
      </c>
      <c r="X356" s="3">
        <v>41263</v>
      </c>
      <c r="Y356" s="2" t="s">
        <v>2331</v>
      </c>
      <c r="Z356" s="35">
        <v>101</v>
      </c>
      <c r="AA356" s="2" t="s">
        <v>672</v>
      </c>
      <c r="AB356" s="2" t="s">
        <v>2256</v>
      </c>
      <c r="AC356" s="12">
        <f t="shared" si="30"/>
        <v>2012</v>
      </c>
      <c r="AD356" s="12">
        <f t="shared" si="31"/>
        <v>12</v>
      </c>
      <c r="AE356" s="12">
        <f t="shared" si="32"/>
        <v>20</v>
      </c>
      <c r="AF356" s="16">
        <f t="shared" si="33"/>
        <v>11.9</v>
      </c>
      <c r="AG356" s="16" t="str">
        <f t="shared" si="34"/>
        <v/>
      </c>
      <c r="AH356" s="16">
        <f t="shared" si="35"/>
        <v>10.1</v>
      </c>
    </row>
    <row r="357" spans="1:34" x14ac:dyDescent="0.35">
      <c r="A357" s="2" t="s">
        <v>2334</v>
      </c>
      <c r="B357" s="2" t="s">
        <v>29</v>
      </c>
      <c r="C357" s="2" t="s">
        <v>49</v>
      </c>
      <c r="D357" s="2" t="s">
        <v>66</v>
      </c>
      <c r="E357" s="2" t="s">
        <v>104</v>
      </c>
      <c r="F357" s="2" t="s">
        <v>411</v>
      </c>
      <c r="G357" s="2" t="s">
        <v>106</v>
      </c>
      <c r="H357" s="2" t="s">
        <v>153</v>
      </c>
      <c r="I357" s="2" t="s">
        <v>37</v>
      </c>
      <c r="J357" s="2" t="s">
        <v>112</v>
      </c>
      <c r="K357" s="2" t="s">
        <v>38</v>
      </c>
      <c r="L357" s="2" t="s">
        <v>38</v>
      </c>
      <c r="M357" s="2" t="s">
        <v>39</v>
      </c>
      <c r="N357" s="2" t="s">
        <v>38</v>
      </c>
      <c r="O357" s="2" t="s">
        <v>38</v>
      </c>
      <c r="P357" s="2" t="s">
        <v>38</v>
      </c>
      <c r="Q357" s="2" t="s">
        <v>2335</v>
      </c>
      <c r="R357" s="2" t="s">
        <v>71</v>
      </c>
      <c r="S357" s="2" t="s">
        <v>89</v>
      </c>
      <c r="T357" s="2" t="s">
        <v>90</v>
      </c>
      <c r="U357" s="2" t="s">
        <v>160</v>
      </c>
      <c r="V357" s="2" t="s">
        <v>376</v>
      </c>
      <c r="W357" s="2" t="s">
        <v>38</v>
      </c>
      <c r="X357" s="3">
        <v>41264</v>
      </c>
      <c r="Y357" s="2" t="s">
        <v>2336</v>
      </c>
      <c r="Z357" s="5">
        <v>100</v>
      </c>
      <c r="AA357" s="2" t="s">
        <v>672</v>
      </c>
      <c r="AB357" s="2" t="s">
        <v>2256</v>
      </c>
      <c r="AC357" s="12">
        <f t="shared" si="30"/>
        <v>2012</v>
      </c>
      <c r="AD357" s="12">
        <f t="shared" si="31"/>
        <v>12</v>
      </c>
      <c r="AE357" s="12">
        <f t="shared" si="32"/>
        <v>21</v>
      </c>
      <c r="AF357" s="16">
        <f t="shared" si="33"/>
        <v>12.5</v>
      </c>
      <c r="AG357" s="16" t="str">
        <f t="shared" si="34"/>
        <v/>
      </c>
      <c r="AH357" s="16">
        <f t="shared" si="35"/>
        <v>10</v>
      </c>
    </row>
    <row r="358" spans="1:34" x14ac:dyDescent="0.35">
      <c r="A358" s="2" t="s">
        <v>2338</v>
      </c>
      <c r="B358" s="2" t="s">
        <v>29</v>
      </c>
      <c r="C358" s="2" t="s">
        <v>49</v>
      </c>
      <c r="D358" s="2" t="s">
        <v>32</v>
      </c>
      <c r="E358" s="2" t="s">
        <v>66</v>
      </c>
      <c r="F358" s="2" t="s">
        <v>2063</v>
      </c>
      <c r="G358" s="2" t="s">
        <v>106</v>
      </c>
      <c r="H358" s="2" t="s">
        <v>877</v>
      </c>
      <c r="I358" s="2" t="s">
        <v>37</v>
      </c>
      <c r="J358" s="2" t="s">
        <v>104</v>
      </c>
      <c r="K358" s="2" t="s">
        <v>38</v>
      </c>
      <c r="L358" s="2" t="s">
        <v>38</v>
      </c>
      <c r="M358" s="2" t="s">
        <v>39</v>
      </c>
      <c r="N358" s="2" t="s">
        <v>38</v>
      </c>
      <c r="O358" s="2" t="s">
        <v>38</v>
      </c>
      <c r="P358" s="2" t="s">
        <v>38</v>
      </c>
      <c r="Q358" s="2" t="s">
        <v>107</v>
      </c>
      <c r="R358" s="2" t="s">
        <v>71</v>
      </c>
      <c r="S358" s="2" t="s">
        <v>167</v>
      </c>
      <c r="T358" s="2" t="s">
        <v>73</v>
      </c>
      <c r="U358" s="2" t="s">
        <v>139</v>
      </c>
      <c r="V358" s="2" t="s">
        <v>75</v>
      </c>
      <c r="W358" s="2" t="s">
        <v>38</v>
      </c>
      <c r="X358" s="3">
        <v>41265</v>
      </c>
      <c r="Y358" s="2" t="s">
        <v>2340</v>
      </c>
      <c r="Z358" s="5">
        <v>126</v>
      </c>
      <c r="AA358" s="2" t="s">
        <v>672</v>
      </c>
      <c r="AB358" s="2" t="s">
        <v>2256</v>
      </c>
      <c r="AC358" s="12">
        <f t="shared" si="30"/>
        <v>2012</v>
      </c>
      <c r="AD358" s="12">
        <f t="shared" si="31"/>
        <v>12</v>
      </c>
      <c r="AE358" s="12">
        <f t="shared" si="32"/>
        <v>22</v>
      </c>
      <c r="AF358" s="16">
        <f t="shared" si="33"/>
        <v>15.3</v>
      </c>
      <c r="AG358" s="16" t="str">
        <f t="shared" si="34"/>
        <v/>
      </c>
      <c r="AH358" s="16">
        <f t="shared" si="35"/>
        <v>12.6</v>
      </c>
    </row>
    <row r="359" spans="1:34" x14ac:dyDescent="0.35">
      <c r="A359" s="2" t="s">
        <v>2341</v>
      </c>
      <c r="B359" s="2" t="s">
        <v>29</v>
      </c>
      <c r="C359" s="2" t="s">
        <v>49</v>
      </c>
      <c r="D359" s="2" t="s">
        <v>32</v>
      </c>
      <c r="E359" s="2" t="s">
        <v>66</v>
      </c>
      <c r="F359" s="2" t="s">
        <v>2187</v>
      </c>
      <c r="G359" s="2" t="s">
        <v>106</v>
      </c>
      <c r="H359" s="2" t="s">
        <v>331</v>
      </c>
      <c r="I359" s="2" t="s">
        <v>37</v>
      </c>
      <c r="J359" s="2" t="s">
        <v>94</v>
      </c>
      <c r="K359" s="2" t="s">
        <v>38</v>
      </c>
      <c r="L359" s="2" t="s">
        <v>38</v>
      </c>
      <c r="M359" s="2" t="s">
        <v>39</v>
      </c>
      <c r="N359" s="2" t="s">
        <v>38</v>
      </c>
      <c r="O359" s="2" t="s">
        <v>38</v>
      </c>
      <c r="P359" s="2" t="s">
        <v>38</v>
      </c>
      <c r="Q359" s="2" t="s">
        <v>626</v>
      </c>
      <c r="R359" s="2" t="s">
        <v>71</v>
      </c>
      <c r="S359" s="2" t="s">
        <v>89</v>
      </c>
      <c r="T359" s="2" t="s">
        <v>90</v>
      </c>
      <c r="U359" s="2" t="s">
        <v>139</v>
      </c>
      <c r="V359" s="2" t="s">
        <v>1005</v>
      </c>
      <c r="W359" s="2" t="s">
        <v>38</v>
      </c>
      <c r="X359" s="3">
        <v>41266</v>
      </c>
      <c r="Y359" s="2" t="s">
        <v>2342</v>
      </c>
      <c r="Z359" s="35">
        <v>140</v>
      </c>
      <c r="AA359" s="2" t="s">
        <v>672</v>
      </c>
      <c r="AB359" s="2" t="s">
        <v>2256</v>
      </c>
      <c r="AC359" s="12">
        <f t="shared" si="30"/>
        <v>2012</v>
      </c>
      <c r="AD359" s="12">
        <f t="shared" si="31"/>
        <v>12</v>
      </c>
      <c r="AE359" s="12">
        <f t="shared" si="32"/>
        <v>23</v>
      </c>
      <c r="AF359" s="16">
        <f t="shared" si="33"/>
        <v>15</v>
      </c>
      <c r="AG359" s="16" t="str">
        <f t="shared" si="34"/>
        <v/>
      </c>
      <c r="AH359" s="16">
        <f t="shared" si="35"/>
        <v>14</v>
      </c>
    </row>
    <row r="360" spans="1:34" x14ac:dyDescent="0.35">
      <c r="A360" s="2" t="s">
        <v>2344</v>
      </c>
      <c r="B360" s="2" t="s">
        <v>29</v>
      </c>
      <c r="C360" s="2" t="s">
        <v>49</v>
      </c>
      <c r="D360" s="2" t="s">
        <v>32</v>
      </c>
      <c r="E360" s="2" t="s">
        <v>94</v>
      </c>
      <c r="F360" s="2" t="s">
        <v>642</v>
      </c>
      <c r="G360" s="2" t="s">
        <v>53</v>
      </c>
      <c r="H360" s="2" t="s">
        <v>276</v>
      </c>
      <c r="I360" s="2" t="s">
        <v>37</v>
      </c>
      <c r="J360" s="2" t="s">
        <v>94</v>
      </c>
      <c r="K360" s="2" t="s">
        <v>38</v>
      </c>
      <c r="L360" s="2" t="s">
        <v>38</v>
      </c>
      <c r="M360" s="2" t="s">
        <v>39</v>
      </c>
      <c r="N360" s="2" t="s">
        <v>38</v>
      </c>
      <c r="O360" s="2" t="s">
        <v>38</v>
      </c>
      <c r="P360" s="2" t="s">
        <v>38</v>
      </c>
      <c r="Q360" s="2" t="s">
        <v>626</v>
      </c>
      <c r="R360" s="2" t="s">
        <v>57</v>
      </c>
      <c r="S360" s="2" t="s">
        <v>122</v>
      </c>
      <c r="T360" s="2" t="s">
        <v>1190</v>
      </c>
      <c r="U360" s="2" t="s">
        <v>359</v>
      </c>
      <c r="V360" s="2" t="s">
        <v>101</v>
      </c>
      <c r="W360" s="2" t="s">
        <v>38</v>
      </c>
      <c r="X360" s="3">
        <v>41267</v>
      </c>
      <c r="Y360" s="2" t="s">
        <v>2345</v>
      </c>
      <c r="Z360" s="35">
        <v>140</v>
      </c>
      <c r="AA360" s="2" t="s">
        <v>672</v>
      </c>
      <c r="AB360" s="2" t="s">
        <v>2256</v>
      </c>
      <c r="AC360" s="12">
        <f t="shared" si="30"/>
        <v>2012</v>
      </c>
      <c r="AD360" s="12">
        <f t="shared" si="31"/>
        <v>12</v>
      </c>
      <c r="AE360" s="12">
        <f t="shared" si="32"/>
        <v>24</v>
      </c>
      <c r="AF360" s="16">
        <f t="shared" si="33"/>
        <v>13.9</v>
      </c>
      <c r="AG360" s="16" t="str">
        <f t="shared" si="34"/>
        <v/>
      </c>
      <c r="AH360" s="16">
        <f t="shared" si="35"/>
        <v>14</v>
      </c>
    </row>
    <row r="361" spans="1:34" x14ac:dyDescent="0.35">
      <c r="A361" s="2" t="s">
        <v>2347</v>
      </c>
      <c r="B361" s="2" t="s">
        <v>29</v>
      </c>
      <c r="C361" s="2" t="s">
        <v>49</v>
      </c>
      <c r="D361" s="2" t="s">
        <v>32</v>
      </c>
      <c r="E361" s="2" t="s">
        <v>66</v>
      </c>
      <c r="F361" s="2" t="s">
        <v>336</v>
      </c>
      <c r="G361" s="2" t="s">
        <v>1071</v>
      </c>
      <c r="H361" s="2" t="s">
        <v>276</v>
      </c>
      <c r="I361" s="2" t="s">
        <v>37</v>
      </c>
      <c r="J361" s="2" t="s">
        <v>104</v>
      </c>
      <c r="K361" s="2" t="s">
        <v>38</v>
      </c>
      <c r="L361" s="2" t="s">
        <v>38</v>
      </c>
      <c r="M361" s="2" t="s">
        <v>39</v>
      </c>
      <c r="N361" s="2" t="s">
        <v>38</v>
      </c>
      <c r="O361" s="2" t="s">
        <v>38</v>
      </c>
      <c r="P361" s="2" t="s">
        <v>38</v>
      </c>
      <c r="Q361" s="2" t="s">
        <v>436</v>
      </c>
      <c r="R361" s="2" t="s">
        <v>71</v>
      </c>
      <c r="S361" s="2" t="s">
        <v>159</v>
      </c>
      <c r="T361" s="2" t="s">
        <v>73</v>
      </c>
      <c r="U361" s="2" t="s">
        <v>912</v>
      </c>
      <c r="V361" s="2" t="s">
        <v>123</v>
      </c>
      <c r="W361" s="2" t="s">
        <v>38</v>
      </c>
      <c r="X361" s="3">
        <v>41268</v>
      </c>
      <c r="Y361" s="2" t="s">
        <v>2350</v>
      </c>
      <c r="Z361" s="5">
        <v>131</v>
      </c>
      <c r="AA361" s="2" t="s">
        <v>672</v>
      </c>
      <c r="AB361" s="2" t="s">
        <v>2256</v>
      </c>
      <c r="AC361" s="12">
        <f t="shared" si="30"/>
        <v>2012</v>
      </c>
      <c r="AD361" s="12">
        <f t="shared" si="31"/>
        <v>12</v>
      </c>
      <c r="AE361" s="12">
        <f t="shared" si="32"/>
        <v>25</v>
      </c>
      <c r="AF361" s="16">
        <f t="shared" si="33"/>
        <v>15.2</v>
      </c>
      <c r="AG361" s="16" t="str">
        <f t="shared" si="34"/>
        <v/>
      </c>
      <c r="AH361" s="16">
        <f t="shared" si="35"/>
        <v>13.1</v>
      </c>
    </row>
    <row r="362" spans="1:34" x14ac:dyDescent="0.35">
      <c r="A362" s="2" t="s">
        <v>2351</v>
      </c>
      <c r="B362" s="2" t="s">
        <v>29</v>
      </c>
      <c r="C362" s="2" t="s">
        <v>49</v>
      </c>
      <c r="D362" s="2" t="s">
        <v>94</v>
      </c>
      <c r="E362" s="2" t="s">
        <v>142</v>
      </c>
      <c r="F362" s="2" t="s">
        <v>269</v>
      </c>
      <c r="G362" s="2" t="s">
        <v>106</v>
      </c>
      <c r="H362" s="2" t="s">
        <v>331</v>
      </c>
      <c r="I362" s="2" t="s">
        <v>37</v>
      </c>
      <c r="J362" s="2" t="s">
        <v>112</v>
      </c>
      <c r="K362" s="2" t="s">
        <v>38</v>
      </c>
      <c r="L362" s="2" t="s">
        <v>38</v>
      </c>
      <c r="M362" s="2" t="s">
        <v>39</v>
      </c>
      <c r="N362" s="2" t="s">
        <v>38</v>
      </c>
      <c r="O362" s="2" t="s">
        <v>38</v>
      </c>
      <c r="P362" s="2" t="s">
        <v>38</v>
      </c>
      <c r="Q362" s="2" t="s">
        <v>314</v>
      </c>
      <c r="R362" s="2" t="s">
        <v>71</v>
      </c>
      <c r="S362" s="2" t="s">
        <v>72</v>
      </c>
      <c r="T362" s="2" t="s">
        <v>73</v>
      </c>
      <c r="U362" s="2" t="s">
        <v>421</v>
      </c>
      <c r="V362" s="2" t="s">
        <v>184</v>
      </c>
      <c r="W362" s="2" t="s">
        <v>38</v>
      </c>
      <c r="X362" s="3">
        <v>41269</v>
      </c>
      <c r="Y362" s="2" t="s">
        <v>2352</v>
      </c>
      <c r="Z362" s="35">
        <v>99</v>
      </c>
      <c r="AA362" s="2" t="s">
        <v>672</v>
      </c>
      <c r="AB362" s="2" t="s">
        <v>2256</v>
      </c>
      <c r="AC362" s="12">
        <f t="shared" si="30"/>
        <v>2012</v>
      </c>
      <c r="AD362" s="12">
        <f t="shared" si="31"/>
        <v>12</v>
      </c>
      <c r="AE362" s="12">
        <f t="shared" si="32"/>
        <v>26</v>
      </c>
      <c r="AF362" s="16">
        <f t="shared" si="33"/>
        <v>11.4</v>
      </c>
      <c r="AG362" s="16" t="str">
        <f t="shared" si="34"/>
        <v/>
      </c>
      <c r="AH362" s="16">
        <f t="shared" si="35"/>
        <v>9.9</v>
      </c>
    </row>
    <row r="363" spans="1:34" x14ac:dyDescent="0.35">
      <c r="A363" s="2" t="s">
        <v>2355</v>
      </c>
      <c r="B363" s="2" t="s">
        <v>29</v>
      </c>
      <c r="C363" s="2" t="s">
        <v>49</v>
      </c>
      <c r="D363" s="2" t="s">
        <v>112</v>
      </c>
      <c r="E363" s="2" t="s">
        <v>165</v>
      </c>
      <c r="F363" s="2" t="s">
        <v>2063</v>
      </c>
      <c r="G363" s="2" t="s">
        <v>106</v>
      </c>
      <c r="H363" s="2" t="s">
        <v>331</v>
      </c>
      <c r="I363" s="2" t="s">
        <v>37</v>
      </c>
      <c r="J363" s="2" t="s">
        <v>181</v>
      </c>
      <c r="K363" s="2" t="s">
        <v>38</v>
      </c>
      <c r="L363" s="2" t="s">
        <v>38</v>
      </c>
      <c r="M363" s="2" t="s">
        <v>39</v>
      </c>
      <c r="N363" s="2" t="s">
        <v>38</v>
      </c>
      <c r="O363" s="2" t="s">
        <v>38</v>
      </c>
      <c r="P363" s="2" t="s">
        <v>38</v>
      </c>
      <c r="Q363" s="2" t="s">
        <v>259</v>
      </c>
      <c r="R363" s="2" t="s">
        <v>71</v>
      </c>
      <c r="S363" s="2" t="s">
        <v>89</v>
      </c>
      <c r="T363" s="2" t="s">
        <v>90</v>
      </c>
      <c r="U363" s="2" t="s">
        <v>117</v>
      </c>
      <c r="V363" s="2" t="s">
        <v>273</v>
      </c>
      <c r="W363" s="2" t="s">
        <v>38</v>
      </c>
      <c r="X363" s="3">
        <v>41270</v>
      </c>
      <c r="Y363" s="2" t="s">
        <v>2356</v>
      </c>
      <c r="Z363" s="5">
        <v>74</v>
      </c>
      <c r="AA363" s="2" t="s">
        <v>672</v>
      </c>
      <c r="AB363" s="2" t="s">
        <v>2256</v>
      </c>
      <c r="AC363" s="12">
        <f t="shared" si="30"/>
        <v>2012</v>
      </c>
      <c r="AD363" s="12">
        <f t="shared" si="31"/>
        <v>12</v>
      </c>
      <c r="AE363" s="12">
        <f t="shared" si="32"/>
        <v>27</v>
      </c>
      <c r="AF363" s="16">
        <f t="shared" si="33"/>
        <v>8.9</v>
      </c>
      <c r="AG363" s="16" t="str">
        <f t="shared" si="34"/>
        <v/>
      </c>
      <c r="AH363" s="16">
        <f t="shared" si="35"/>
        <v>7.4</v>
      </c>
    </row>
    <row r="364" spans="1:34" x14ac:dyDescent="0.35">
      <c r="A364" s="2" t="s">
        <v>2358</v>
      </c>
      <c r="B364" s="2" t="s">
        <v>29</v>
      </c>
      <c r="C364" s="2" t="s">
        <v>49</v>
      </c>
      <c r="D364" s="2" t="s">
        <v>142</v>
      </c>
      <c r="E364" s="2" t="s">
        <v>112</v>
      </c>
      <c r="F364" s="2" t="s">
        <v>2258</v>
      </c>
      <c r="G364" s="2" t="s">
        <v>68</v>
      </c>
      <c r="H364" s="2" t="s">
        <v>597</v>
      </c>
      <c r="I364" s="2" t="s">
        <v>37</v>
      </c>
      <c r="J364" s="2" t="s">
        <v>195</v>
      </c>
      <c r="K364" s="2" t="s">
        <v>38</v>
      </c>
      <c r="L364" s="2" t="s">
        <v>38</v>
      </c>
      <c r="M364" s="2" t="s">
        <v>39</v>
      </c>
      <c r="N364" s="2" t="s">
        <v>38</v>
      </c>
      <c r="O364" s="2" t="s">
        <v>38</v>
      </c>
      <c r="P364" s="2" t="s">
        <v>38</v>
      </c>
      <c r="Q364" s="2" t="s">
        <v>196</v>
      </c>
      <c r="R364" s="2" t="s">
        <v>71</v>
      </c>
      <c r="S364" s="2" t="s">
        <v>159</v>
      </c>
      <c r="T364" s="2" t="s">
        <v>73</v>
      </c>
      <c r="U364" s="2" t="s">
        <v>184</v>
      </c>
      <c r="V364" s="2" t="s">
        <v>471</v>
      </c>
      <c r="W364" s="2" t="s">
        <v>38</v>
      </c>
      <c r="X364" s="3">
        <v>41271</v>
      </c>
      <c r="Y364" s="2" t="s">
        <v>2360</v>
      </c>
      <c r="Z364" s="35">
        <v>78</v>
      </c>
      <c r="AA364" s="2" t="s">
        <v>672</v>
      </c>
      <c r="AB364" s="2" t="s">
        <v>2256</v>
      </c>
      <c r="AC364" s="12">
        <f t="shared" si="30"/>
        <v>2012</v>
      </c>
      <c r="AD364" s="12">
        <f t="shared" si="31"/>
        <v>12</v>
      </c>
      <c r="AE364" s="12">
        <f t="shared" si="32"/>
        <v>28</v>
      </c>
      <c r="AF364" s="16">
        <f t="shared" si="33"/>
        <v>10.3</v>
      </c>
      <c r="AG364" s="16" t="str">
        <f t="shared" si="34"/>
        <v/>
      </c>
      <c r="AH364" s="16">
        <f t="shared" si="35"/>
        <v>7.8</v>
      </c>
    </row>
    <row r="365" spans="1:34" x14ac:dyDescent="0.35">
      <c r="A365" s="2" t="s">
        <v>2361</v>
      </c>
      <c r="B365" s="2" t="s">
        <v>29</v>
      </c>
      <c r="C365" s="2" t="s">
        <v>49</v>
      </c>
      <c r="D365" s="2" t="s">
        <v>104</v>
      </c>
      <c r="E365" s="2" t="s">
        <v>30</v>
      </c>
      <c r="F365" s="2" t="s">
        <v>2258</v>
      </c>
      <c r="G365" s="2" t="s">
        <v>53</v>
      </c>
      <c r="H365" s="2" t="s">
        <v>113</v>
      </c>
      <c r="I365" s="2" t="s">
        <v>37</v>
      </c>
      <c r="J365" s="2" t="s">
        <v>112</v>
      </c>
      <c r="K365" s="2" t="s">
        <v>38</v>
      </c>
      <c r="L365" s="2" t="s">
        <v>38</v>
      </c>
      <c r="M365" s="2" t="s">
        <v>39</v>
      </c>
      <c r="N365" s="2" t="s">
        <v>38</v>
      </c>
      <c r="O365" s="2" t="s">
        <v>38</v>
      </c>
      <c r="P365" s="2" t="s">
        <v>38</v>
      </c>
      <c r="Q365" s="2" t="s">
        <v>2363</v>
      </c>
      <c r="R365" s="2" t="s">
        <v>71</v>
      </c>
      <c r="S365" s="2" t="s">
        <v>503</v>
      </c>
      <c r="T365" s="2" t="s">
        <v>73</v>
      </c>
      <c r="U365" s="2" t="s">
        <v>168</v>
      </c>
      <c r="V365" s="2" t="s">
        <v>298</v>
      </c>
      <c r="W365" s="2" t="s">
        <v>38</v>
      </c>
      <c r="X365" s="3">
        <v>41272</v>
      </c>
      <c r="Y365" s="2" t="s">
        <v>2364</v>
      </c>
      <c r="Z365" s="5">
        <v>96</v>
      </c>
      <c r="AA365" s="2" t="s">
        <v>672</v>
      </c>
      <c r="AB365" s="2" t="s">
        <v>2256</v>
      </c>
      <c r="AC365" s="12">
        <f t="shared" si="30"/>
        <v>2012</v>
      </c>
      <c r="AD365" s="12">
        <f t="shared" si="31"/>
        <v>12</v>
      </c>
      <c r="AE365" s="12">
        <f t="shared" si="32"/>
        <v>29</v>
      </c>
      <c r="AF365" s="16">
        <f t="shared" si="33"/>
        <v>11.9</v>
      </c>
      <c r="AG365" s="16" t="str">
        <f t="shared" si="34"/>
        <v/>
      </c>
      <c r="AH365" s="16">
        <f t="shared" si="35"/>
        <v>9.6</v>
      </c>
    </row>
    <row r="366" spans="1:34" x14ac:dyDescent="0.35">
      <c r="A366" s="2" t="s">
        <v>2365</v>
      </c>
      <c r="B366" s="2" t="s">
        <v>29</v>
      </c>
      <c r="C366" s="2" t="s">
        <v>49</v>
      </c>
      <c r="D366" s="2" t="s">
        <v>94</v>
      </c>
      <c r="E366" s="2" t="s">
        <v>104</v>
      </c>
      <c r="F366" s="2" t="s">
        <v>1967</v>
      </c>
      <c r="G366" s="2" t="s">
        <v>68</v>
      </c>
      <c r="H366" s="2" t="s">
        <v>202</v>
      </c>
      <c r="I366" s="2" t="s">
        <v>37</v>
      </c>
      <c r="J366" s="2" t="s">
        <v>142</v>
      </c>
      <c r="K366" s="2" t="s">
        <v>38</v>
      </c>
      <c r="L366" s="2" t="s">
        <v>38</v>
      </c>
      <c r="M366" s="2" t="s">
        <v>39</v>
      </c>
      <c r="N366" s="2" t="s">
        <v>38</v>
      </c>
      <c r="O366" s="2" t="s">
        <v>38</v>
      </c>
      <c r="P366" s="2" t="s">
        <v>38</v>
      </c>
      <c r="Q366" s="2" t="s">
        <v>391</v>
      </c>
      <c r="R366" s="2" t="s">
        <v>71</v>
      </c>
      <c r="S366" s="2" t="s">
        <v>72</v>
      </c>
      <c r="T366" s="2" t="s">
        <v>73</v>
      </c>
      <c r="U366" s="2" t="s">
        <v>421</v>
      </c>
      <c r="V366" s="2" t="s">
        <v>376</v>
      </c>
      <c r="W366" s="2" t="s">
        <v>38</v>
      </c>
      <c r="X366" s="3">
        <v>41273</v>
      </c>
      <c r="Y366" s="2" t="s">
        <v>2367</v>
      </c>
      <c r="Z366" s="35">
        <v>109</v>
      </c>
      <c r="AA366" s="2" t="s">
        <v>672</v>
      </c>
      <c r="AB366" s="2" t="s">
        <v>2256</v>
      </c>
      <c r="AC366" s="12">
        <f t="shared" si="30"/>
        <v>2012</v>
      </c>
      <c r="AD366" s="12">
        <f t="shared" si="31"/>
        <v>12</v>
      </c>
      <c r="AE366" s="12">
        <f t="shared" si="32"/>
        <v>30</v>
      </c>
      <c r="AF366" s="16">
        <f t="shared" si="33"/>
        <v>12.5</v>
      </c>
      <c r="AG366" s="16" t="str">
        <f t="shared" si="34"/>
        <v/>
      </c>
      <c r="AH366" s="16">
        <f t="shared" si="35"/>
        <v>10.9</v>
      </c>
    </row>
    <row r="367" spans="1:34" x14ac:dyDescent="0.35">
      <c r="A367" s="2" t="s">
        <v>2368</v>
      </c>
      <c r="B367" s="2" t="s">
        <v>29</v>
      </c>
      <c r="C367" s="2" t="s">
        <v>49</v>
      </c>
      <c r="D367" s="2" t="s">
        <v>579</v>
      </c>
      <c r="E367" s="2" t="s">
        <v>55</v>
      </c>
      <c r="F367" s="2" t="s">
        <v>889</v>
      </c>
      <c r="G367" s="2" t="s">
        <v>53</v>
      </c>
      <c r="H367" s="2" t="s">
        <v>233</v>
      </c>
      <c r="I367" s="2" t="s">
        <v>37</v>
      </c>
      <c r="J367" s="2" t="s">
        <v>51</v>
      </c>
      <c r="K367" s="2" t="s">
        <v>38</v>
      </c>
      <c r="L367" s="2" t="s">
        <v>38</v>
      </c>
      <c r="M367" s="2" t="s">
        <v>39</v>
      </c>
      <c r="N367" s="2" t="s">
        <v>38</v>
      </c>
      <c r="O367" s="2" t="s">
        <v>38</v>
      </c>
      <c r="P367" s="2" t="s">
        <v>38</v>
      </c>
      <c r="Q367" s="2" t="s">
        <v>2180</v>
      </c>
      <c r="R367" s="2" t="s">
        <v>57</v>
      </c>
      <c r="S367" s="2" t="s">
        <v>58</v>
      </c>
      <c r="T367" s="2" t="s">
        <v>2369</v>
      </c>
      <c r="U367" s="2" t="s">
        <v>1473</v>
      </c>
      <c r="V367" s="2" t="s">
        <v>590</v>
      </c>
      <c r="W367" s="2" t="s">
        <v>38</v>
      </c>
      <c r="X367" s="3">
        <v>41274</v>
      </c>
      <c r="Y367" s="2" t="s">
        <v>2370</v>
      </c>
      <c r="Z367" s="5">
        <v>172</v>
      </c>
      <c r="AA367" s="2" t="s">
        <v>672</v>
      </c>
      <c r="AB367" s="2" t="s">
        <v>2256</v>
      </c>
      <c r="AC367" s="12">
        <f t="shared" si="30"/>
        <v>2012</v>
      </c>
      <c r="AD367" s="12">
        <f t="shared" si="31"/>
        <v>12</v>
      </c>
      <c r="AE367" s="12">
        <f t="shared" si="32"/>
        <v>31</v>
      </c>
      <c r="AF367" s="16">
        <f t="shared" si="33"/>
        <v>18.399999999999999</v>
      </c>
      <c r="AG367" s="16" t="str">
        <f t="shared" si="34"/>
        <v/>
      </c>
      <c r="AH367" s="16">
        <f t="shared" si="35"/>
        <v>17.2</v>
      </c>
    </row>
    <row r="368" spans="1:34" x14ac:dyDescent="0.35">
      <c r="A368" s="2" t="s">
        <v>28</v>
      </c>
      <c r="B368" s="2" t="s">
        <v>29</v>
      </c>
      <c r="C368" s="2" t="s">
        <v>30</v>
      </c>
      <c r="D368" s="2" t="s">
        <v>31</v>
      </c>
      <c r="E368" s="2" t="s">
        <v>32</v>
      </c>
      <c r="F368" s="2" t="s">
        <v>33</v>
      </c>
      <c r="G368" s="2" t="s">
        <v>34</v>
      </c>
      <c r="H368" s="2" t="s">
        <v>35</v>
      </c>
      <c r="I368" s="2" t="s">
        <v>36</v>
      </c>
      <c r="J368" s="2" t="s">
        <v>37</v>
      </c>
      <c r="K368" s="2" t="s">
        <v>38</v>
      </c>
      <c r="L368" s="2" t="s">
        <v>38</v>
      </c>
      <c r="M368" s="2" t="s">
        <v>39</v>
      </c>
      <c r="N368" s="2" t="s">
        <v>38</v>
      </c>
      <c r="O368" s="2" t="s">
        <v>38</v>
      </c>
      <c r="P368" s="2" t="s">
        <v>40</v>
      </c>
      <c r="Q368" s="2" t="s">
        <v>38</v>
      </c>
      <c r="R368" s="2" t="s">
        <v>41</v>
      </c>
      <c r="S368" s="2" t="s">
        <v>42</v>
      </c>
      <c r="T368" s="2" t="s">
        <v>43</v>
      </c>
      <c r="U368" s="2" t="s">
        <v>44</v>
      </c>
      <c r="V368" s="2" t="s">
        <v>45</v>
      </c>
      <c r="W368" s="2" t="s">
        <v>38</v>
      </c>
      <c r="X368" s="3">
        <v>40909</v>
      </c>
      <c r="Y368" s="2" t="s">
        <v>46</v>
      </c>
      <c r="Z368" s="34"/>
      <c r="AA368" s="2" t="s">
        <v>47</v>
      </c>
      <c r="AB368" s="2" t="s">
        <v>48</v>
      </c>
      <c r="AC368" s="12">
        <f t="shared" si="30"/>
        <v>2012</v>
      </c>
      <c r="AD368" s="12">
        <f t="shared" si="31"/>
        <v>1</v>
      </c>
      <c r="AE368" s="12">
        <f t="shared" si="32"/>
        <v>1</v>
      </c>
      <c r="AF368" s="16">
        <f t="shared" si="33"/>
        <v>16.399999999999999</v>
      </c>
      <c r="AG368" s="16">
        <f t="shared" si="34"/>
        <v>30.6</v>
      </c>
      <c r="AH368" s="16" t="str">
        <f t="shared" si="35"/>
        <v/>
      </c>
    </row>
    <row r="369" spans="1:34" x14ac:dyDescent="0.35">
      <c r="A369" s="2" t="s">
        <v>65</v>
      </c>
      <c r="B369" s="2" t="s">
        <v>29</v>
      </c>
      <c r="C369" s="2" t="s">
        <v>30</v>
      </c>
      <c r="D369" s="2" t="s">
        <v>77</v>
      </c>
      <c r="E369" s="2" t="s">
        <v>55</v>
      </c>
      <c r="F369" s="2" t="s">
        <v>78</v>
      </c>
      <c r="G369" s="2" t="s">
        <v>34</v>
      </c>
      <c r="H369" s="2" t="s">
        <v>79</v>
      </c>
      <c r="I369" s="2" t="s">
        <v>36</v>
      </c>
      <c r="J369" s="2" t="s">
        <v>37</v>
      </c>
      <c r="K369" s="2" t="s">
        <v>38</v>
      </c>
      <c r="L369" s="2" t="s">
        <v>38</v>
      </c>
      <c r="M369" s="2" t="s">
        <v>39</v>
      </c>
      <c r="N369" s="2" t="s">
        <v>38</v>
      </c>
      <c r="O369" s="2" t="s">
        <v>38</v>
      </c>
      <c r="P369" s="2" t="s">
        <v>80</v>
      </c>
      <c r="Q369" s="2" t="s">
        <v>38</v>
      </c>
      <c r="R369" s="2" t="s">
        <v>41</v>
      </c>
      <c r="S369" s="2" t="s">
        <v>42</v>
      </c>
      <c r="T369" s="2" t="s">
        <v>43</v>
      </c>
      <c r="U369" s="2" t="s">
        <v>81</v>
      </c>
      <c r="V369" s="2" t="s">
        <v>82</v>
      </c>
      <c r="W369" s="2" t="s">
        <v>38</v>
      </c>
      <c r="X369" s="3">
        <v>40910</v>
      </c>
      <c r="Y369" s="2" t="s">
        <v>83</v>
      </c>
      <c r="Z369" s="4"/>
      <c r="AA369" s="2" t="s">
        <v>47</v>
      </c>
      <c r="AB369" s="2" t="s">
        <v>48</v>
      </c>
      <c r="AC369" s="12">
        <f t="shared" si="30"/>
        <v>2012</v>
      </c>
      <c r="AD369" s="12">
        <f t="shared" si="31"/>
        <v>1</v>
      </c>
      <c r="AE369" s="12">
        <f t="shared" si="32"/>
        <v>2</v>
      </c>
      <c r="AF369" s="16">
        <f t="shared" si="33"/>
        <v>17.8</v>
      </c>
      <c r="AG369" s="16">
        <f t="shared" si="34"/>
        <v>30.9</v>
      </c>
      <c r="AH369" s="16" t="str">
        <f t="shared" si="35"/>
        <v/>
      </c>
    </row>
    <row r="370" spans="1:34" x14ac:dyDescent="0.35">
      <c r="A370" s="2" t="s">
        <v>84</v>
      </c>
      <c r="B370" s="2" t="s">
        <v>29</v>
      </c>
      <c r="C370" s="2" t="s">
        <v>30</v>
      </c>
      <c r="D370" s="2" t="s">
        <v>31</v>
      </c>
      <c r="E370" s="2" t="s">
        <v>94</v>
      </c>
      <c r="F370" s="2" t="s">
        <v>95</v>
      </c>
      <c r="G370" s="2" t="s">
        <v>34</v>
      </c>
      <c r="H370" s="2" t="s">
        <v>96</v>
      </c>
      <c r="I370" s="2" t="s">
        <v>36</v>
      </c>
      <c r="J370" s="2" t="s">
        <v>37</v>
      </c>
      <c r="K370" s="2" t="s">
        <v>38</v>
      </c>
      <c r="L370" s="2" t="s">
        <v>38</v>
      </c>
      <c r="M370" s="2" t="s">
        <v>39</v>
      </c>
      <c r="N370" s="2" t="s">
        <v>38</v>
      </c>
      <c r="O370" s="2" t="s">
        <v>38</v>
      </c>
      <c r="P370" s="2" t="s">
        <v>97</v>
      </c>
      <c r="Q370" s="2" t="s">
        <v>38</v>
      </c>
      <c r="R370" s="2" t="s">
        <v>98</v>
      </c>
      <c r="S370" s="2" t="s">
        <v>99</v>
      </c>
      <c r="T370" s="2" t="s">
        <v>90</v>
      </c>
      <c r="U370" s="2" t="s">
        <v>100</v>
      </c>
      <c r="V370" s="2" t="s">
        <v>101</v>
      </c>
      <c r="W370" s="2" t="s">
        <v>38</v>
      </c>
      <c r="X370" s="3">
        <v>40911</v>
      </c>
      <c r="Y370" s="2" t="s">
        <v>102</v>
      </c>
      <c r="Z370" s="34"/>
      <c r="AA370" s="2" t="s">
        <v>47</v>
      </c>
      <c r="AB370" s="2" t="s">
        <v>48</v>
      </c>
      <c r="AC370" s="12">
        <f t="shared" si="30"/>
        <v>2012</v>
      </c>
      <c r="AD370" s="12">
        <f t="shared" si="31"/>
        <v>1</v>
      </c>
      <c r="AE370" s="12">
        <f t="shared" si="32"/>
        <v>3</v>
      </c>
      <c r="AF370" s="16">
        <f t="shared" si="33"/>
        <v>13.9</v>
      </c>
      <c r="AG370" s="16">
        <f t="shared" si="34"/>
        <v>31.4</v>
      </c>
      <c r="AH370" s="16" t="str">
        <f t="shared" si="35"/>
        <v/>
      </c>
    </row>
    <row r="371" spans="1:34" x14ac:dyDescent="0.35">
      <c r="A371" s="2" t="s">
        <v>103</v>
      </c>
      <c r="B371" s="2" t="s">
        <v>29</v>
      </c>
      <c r="C371" s="2" t="s">
        <v>30</v>
      </c>
      <c r="D371" s="2" t="s">
        <v>111</v>
      </c>
      <c r="E371" s="2" t="s">
        <v>112</v>
      </c>
      <c r="F371" s="2" t="s">
        <v>95</v>
      </c>
      <c r="G371" s="2" t="s">
        <v>34</v>
      </c>
      <c r="H371" s="2" t="s">
        <v>113</v>
      </c>
      <c r="I371" s="2" t="s">
        <v>114</v>
      </c>
      <c r="J371" s="2" t="s">
        <v>37</v>
      </c>
      <c r="K371" s="2" t="s">
        <v>38</v>
      </c>
      <c r="L371" s="2" t="s">
        <v>38</v>
      </c>
      <c r="M371" s="2" t="s">
        <v>39</v>
      </c>
      <c r="N371" s="2" t="s">
        <v>38</v>
      </c>
      <c r="O371" s="2" t="s">
        <v>38</v>
      </c>
      <c r="P371" s="2" t="s">
        <v>115</v>
      </c>
      <c r="Q371" s="2" t="s">
        <v>38</v>
      </c>
      <c r="R371" s="2" t="s">
        <v>98</v>
      </c>
      <c r="S371" s="2" t="s">
        <v>99</v>
      </c>
      <c r="T371" s="2" t="s">
        <v>90</v>
      </c>
      <c r="U371" s="2" t="s">
        <v>116</v>
      </c>
      <c r="V371" s="2" t="s">
        <v>117</v>
      </c>
      <c r="W371" s="2" t="s">
        <v>38</v>
      </c>
      <c r="X371" s="3">
        <v>40912</v>
      </c>
      <c r="Y371" s="2" t="s">
        <v>118</v>
      </c>
      <c r="Z371" s="4"/>
      <c r="AA371" s="2" t="s">
        <v>47</v>
      </c>
      <c r="AB371" s="2" t="s">
        <v>48</v>
      </c>
      <c r="AC371" s="12">
        <f t="shared" si="30"/>
        <v>2012</v>
      </c>
      <c r="AD371" s="12">
        <f t="shared" si="31"/>
        <v>1</v>
      </c>
      <c r="AE371" s="12">
        <f t="shared" si="32"/>
        <v>4</v>
      </c>
      <c r="AF371" s="16">
        <f t="shared" si="33"/>
        <v>10.4</v>
      </c>
      <c r="AG371" s="16">
        <f t="shared" si="34"/>
        <v>32.5</v>
      </c>
      <c r="AH371" s="16" t="str">
        <f t="shared" si="35"/>
        <v/>
      </c>
    </row>
    <row r="372" spans="1:34" x14ac:dyDescent="0.35">
      <c r="A372" s="2" t="s">
        <v>119</v>
      </c>
      <c r="B372" s="2" t="s">
        <v>29</v>
      </c>
      <c r="C372" s="2" t="s">
        <v>30</v>
      </c>
      <c r="D372" s="2" t="s">
        <v>77</v>
      </c>
      <c r="E372" s="2" t="s">
        <v>94</v>
      </c>
      <c r="F372" s="2" t="s">
        <v>126</v>
      </c>
      <c r="G372" s="2" t="s">
        <v>34</v>
      </c>
      <c r="H372" s="2" t="s">
        <v>127</v>
      </c>
      <c r="I372" s="2" t="s">
        <v>128</v>
      </c>
      <c r="J372" s="2" t="s">
        <v>37</v>
      </c>
      <c r="K372" s="2" t="s">
        <v>38</v>
      </c>
      <c r="L372" s="2" t="s">
        <v>38</v>
      </c>
      <c r="M372" s="2" t="s">
        <v>39</v>
      </c>
      <c r="N372" s="2" t="s">
        <v>38</v>
      </c>
      <c r="O372" s="2" t="s">
        <v>38</v>
      </c>
      <c r="P372" s="2" t="s">
        <v>129</v>
      </c>
      <c r="Q372" s="2" t="s">
        <v>38</v>
      </c>
      <c r="R372" s="2" t="s">
        <v>41</v>
      </c>
      <c r="S372" s="2" t="s">
        <v>130</v>
      </c>
      <c r="T372" s="2" t="s">
        <v>131</v>
      </c>
      <c r="U372" s="2" t="s">
        <v>132</v>
      </c>
      <c r="V372" s="2" t="s">
        <v>133</v>
      </c>
      <c r="W372" s="2" t="s">
        <v>38</v>
      </c>
      <c r="X372" s="3">
        <v>40913</v>
      </c>
      <c r="Y372" s="2" t="s">
        <v>134</v>
      </c>
      <c r="Z372" s="34"/>
      <c r="AA372" s="2" t="s">
        <v>47</v>
      </c>
      <c r="AB372" s="2" t="s">
        <v>48</v>
      </c>
      <c r="AC372" s="12">
        <f t="shared" si="30"/>
        <v>2012</v>
      </c>
      <c r="AD372" s="12">
        <f t="shared" si="31"/>
        <v>1</v>
      </c>
      <c r="AE372" s="12">
        <f t="shared" si="32"/>
        <v>5</v>
      </c>
      <c r="AF372" s="16">
        <f t="shared" si="33"/>
        <v>14.1</v>
      </c>
      <c r="AG372" s="16">
        <f t="shared" si="34"/>
        <v>32.299999999999997</v>
      </c>
      <c r="AH372" s="16" t="str">
        <f t="shared" si="35"/>
        <v/>
      </c>
    </row>
    <row r="373" spans="1:34" x14ac:dyDescent="0.35">
      <c r="A373" s="2" t="s">
        <v>135</v>
      </c>
      <c r="B373" s="2" t="s">
        <v>29</v>
      </c>
      <c r="C373" s="2" t="s">
        <v>30</v>
      </c>
      <c r="D373" s="2" t="s">
        <v>77</v>
      </c>
      <c r="E373" s="2" t="s">
        <v>142</v>
      </c>
      <c r="F373" s="2" t="s">
        <v>143</v>
      </c>
      <c r="G373" s="2" t="s">
        <v>34</v>
      </c>
      <c r="H373" s="2" t="s">
        <v>144</v>
      </c>
      <c r="I373" s="2" t="s">
        <v>128</v>
      </c>
      <c r="J373" s="2" t="s">
        <v>37</v>
      </c>
      <c r="K373" s="2" t="s">
        <v>38</v>
      </c>
      <c r="L373" s="2" t="s">
        <v>38</v>
      </c>
      <c r="M373" s="2" t="s">
        <v>39</v>
      </c>
      <c r="N373" s="2" t="s">
        <v>38</v>
      </c>
      <c r="O373" s="2" t="s">
        <v>38</v>
      </c>
      <c r="P373" s="2" t="s">
        <v>145</v>
      </c>
      <c r="Q373" s="2" t="s">
        <v>38</v>
      </c>
      <c r="R373" s="2" t="s">
        <v>98</v>
      </c>
      <c r="S373" s="2" t="s">
        <v>146</v>
      </c>
      <c r="T373" s="2" t="s">
        <v>90</v>
      </c>
      <c r="U373" s="2" t="s">
        <v>147</v>
      </c>
      <c r="V373" s="2" t="s">
        <v>148</v>
      </c>
      <c r="W373" s="2" t="s">
        <v>38</v>
      </c>
      <c r="X373" s="3">
        <v>40914</v>
      </c>
      <c r="Y373" s="2" t="s">
        <v>149</v>
      </c>
      <c r="Z373" s="4"/>
      <c r="AA373" s="2" t="s">
        <v>47</v>
      </c>
      <c r="AB373" s="2" t="s">
        <v>48</v>
      </c>
      <c r="AC373" s="12">
        <f t="shared" si="30"/>
        <v>2012</v>
      </c>
      <c r="AD373" s="12">
        <f t="shared" si="31"/>
        <v>1</v>
      </c>
      <c r="AE373" s="12">
        <f t="shared" si="32"/>
        <v>6</v>
      </c>
      <c r="AF373" s="16">
        <f t="shared" si="33"/>
        <v>10.7</v>
      </c>
      <c r="AG373" s="16">
        <f t="shared" si="34"/>
        <v>31.9</v>
      </c>
      <c r="AH373" s="16" t="str">
        <f t="shared" si="35"/>
        <v/>
      </c>
    </row>
    <row r="374" spans="1:34" x14ac:dyDescent="0.35">
      <c r="A374" s="2" t="s">
        <v>150</v>
      </c>
      <c r="B374" s="2" t="s">
        <v>29</v>
      </c>
      <c r="C374" s="2" t="s">
        <v>30</v>
      </c>
      <c r="D374" s="2" t="s">
        <v>31</v>
      </c>
      <c r="E374" s="2" t="s">
        <v>151</v>
      </c>
      <c r="F374" s="2" t="s">
        <v>152</v>
      </c>
      <c r="G374" s="2" t="s">
        <v>34</v>
      </c>
      <c r="H374" s="2" t="s">
        <v>153</v>
      </c>
      <c r="I374" s="2" t="s">
        <v>36</v>
      </c>
      <c r="J374" s="2" t="s">
        <v>37</v>
      </c>
      <c r="K374" s="2" t="s">
        <v>38</v>
      </c>
      <c r="L374" s="2" t="s">
        <v>38</v>
      </c>
      <c r="M374" s="2" t="s">
        <v>39</v>
      </c>
      <c r="N374" s="2" t="s">
        <v>38</v>
      </c>
      <c r="O374" s="2" t="s">
        <v>38</v>
      </c>
      <c r="P374" s="2" t="s">
        <v>97</v>
      </c>
      <c r="Q374" s="2" t="s">
        <v>38</v>
      </c>
      <c r="R374" s="2" t="s">
        <v>98</v>
      </c>
      <c r="S374" s="2" t="s">
        <v>99</v>
      </c>
      <c r="T374" s="2" t="s">
        <v>90</v>
      </c>
      <c r="U374" s="2" t="s">
        <v>100</v>
      </c>
      <c r="V374" s="2" t="s">
        <v>154</v>
      </c>
      <c r="W374" s="2" t="s">
        <v>38</v>
      </c>
      <c r="X374" s="3">
        <v>40915</v>
      </c>
      <c r="Y374" s="2" t="s">
        <v>155</v>
      </c>
      <c r="Z374" s="34"/>
      <c r="AA374" s="2" t="s">
        <v>47</v>
      </c>
      <c r="AB374" s="2" t="s">
        <v>48</v>
      </c>
      <c r="AC374" s="12">
        <f t="shared" si="30"/>
        <v>2012</v>
      </c>
      <c r="AD374" s="12">
        <f t="shared" si="31"/>
        <v>1</v>
      </c>
      <c r="AE374" s="12">
        <f t="shared" si="32"/>
        <v>7</v>
      </c>
      <c r="AF374" s="16">
        <f t="shared" si="33"/>
        <v>3.2</v>
      </c>
      <c r="AG374" s="16">
        <f t="shared" si="34"/>
        <v>31.4</v>
      </c>
      <c r="AH374" s="16" t="str">
        <f t="shared" si="35"/>
        <v/>
      </c>
    </row>
    <row r="375" spans="1:34" x14ac:dyDescent="0.35">
      <c r="A375" s="2" t="s">
        <v>163</v>
      </c>
      <c r="B375" s="2" t="s">
        <v>29</v>
      </c>
      <c r="C375" s="2" t="s">
        <v>30</v>
      </c>
      <c r="D375" s="2" t="s">
        <v>171</v>
      </c>
      <c r="E375" s="2" t="s">
        <v>172</v>
      </c>
      <c r="F375" s="2" t="s">
        <v>152</v>
      </c>
      <c r="G375" s="2" t="s">
        <v>34</v>
      </c>
      <c r="H375" s="2" t="s">
        <v>173</v>
      </c>
      <c r="I375" s="2" t="s">
        <v>111</v>
      </c>
      <c r="J375" s="2" t="s">
        <v>37</v>
      </c>
      <c r="K375" s="2" t="s">
        <v>38</v>
      </c>
      <c r="L375" s="2" t="s">
        <v>38</v>
      </c>
      <c r="M375" s="2" t="s">
        <v>39</v>
      </c>
      <c r="N375" s="2" t="s">
        <v>38</v>
      </c>
      <c r="O375" s="2" t="s">
        <v>38</v>
      </c>
      <c r="P375" s="2" t="s">
        <v>174</v>
      </c>
      <c r="Q375" s="2" t="s">
        <v>38</v>
      </c>
      <c r="R375" s="2" t="s">
        <v>98</v>
      </c>
      <c r="S375" s="2" t="s">
        <v>146</v>
      </c>
      <c r="T375" s="2" t="s">
        <v>90</v>
      </c>
      <c r="U375" s="2" t="s">
        <v>175</v>
      </c>
      <c r="V375" s="2" t="s">
        <v>176</v>
      </c>
      <c r="W375" s="2" t="s">
        <v>38</v>
      </c>
      <c r="X375" s="3">
        <v>40916</v>
      </c>
      <c r="Y375" s="2" t="s">
        <v>177</v>
      </c>
      <c r="Z375" s="4"/>
      <c r="AA375" s="2" t="s">
        <v>47</v>
      </c>
      <c r="AB375" s="2" t="s">
        <v>48</v>
      </c>
      <c r="AC375" s="12">
        <f t="shared" si="30"/>
        <v>2012</v>
      </c>
      <c r="AD375" s="12">
        <f t="shared" si="31"/>
        <v>1</v>
      </c>
      <c r="AE375" s="12">
        <f t="shared" si="32"/>
        <v>8</v>
      </c>
      <c r="AF375" s="16">
        <f t="shared" si="33"/>
        <v>5.4</v>
      </c>
      <c r="AG375" s="16">
        <f t="shared" si="34"/>
        <v>30.4</v>
      </c>
      <c r="AH375" s="16" t="str">
        <f t="shared" si="35"/>
        <v/>
      </c>
    </row>
    <row r="376" spans="1:34" x14ac:dyDescent="0.35">
      <c r="A376" s="2" t="s">
        <v>178</v>
      </c>
      <c r="B376" s="2" t="s">
        <v>29</v>
      </c>
      <c r="C376" s="2" t="s">
        <v>30</v>
      </c>
      <c r="D376" s="2" t="s">
        <v>187</v>
      </c>
      <c r="E376" s="2" t="s">
        <v>172</v>
      </c>
      <c r="F376" s="2" t="s">
        <v>188</v>
      </c>
      <c r="G376" s="2" t="s">
        <v>34</v>
      </c>
      <c r="H376" s="2" t="s">
        <v>180</v>
      </c>
      <c r="I376" s="2" t="s">
        <v>31</v>
      </c>
      <c r="J376" s="2" t="s">
        <v>37</v>
      </c>
      <c r="K376" s="2" t="s">
        <v>38</v>
      </c>
      <c r="L376" s="2" t="s">
        <v>38</v>
      </c>
      <c r="M376" s="2" t="s">
        <v>39</v>
      </c>
      <c r="N376" s="2" t="s">
        <v>38</v>
      </c>
      <c r="O376" s="2" t="s">
        <v>38</v>
      </c>
      <c r="P376" s="2" t="s">
        <v>189</v>
      </c>
      <c r="Q376" s="2" t="s">
        <v>38</v>
      </c>
      <c r="R376" s="2" t="s">
        <v>98</v>
      </c>
      <c r="S376" s="2" t="s">
        <v>89</v>
      </c>
      <c r="T376" s="2" t="s">
        <v>90</v>
      </c>
      <c r="U376" s="2" t="s">
        <v>190</v>
      </c>
      <c r="V376" s="2" t="s">
        <v>191</v>
      </c>
      <c r="W376" s="2" t="s">
        <v>38</v>
      </c>
      <c r="X376" s="3">
        <v>40917</v>
      </c>
      <c r="Y376" s="2" t="s">
        <v>192</v>
      </c>
      <c r="Z376" s="34"/>
      <c r="AA376" s="2" t="s">
        <v>47</v>
      </c>
      <c r="AB376" s="2" t="s">
        <v>48</v>
      </c>
      <c r="AC376" s="12">
        <f t="shared" si="30"/>
        <v>2012</v>
      </c>
      <c r="AD376" s="12">
        <f t="shared" si="31"/>
        <v>1</v>
      </c>
      <c r="AE376" s="12">
        <f t="shared" si="32"/>
        <v>9</v>
      </c>
      <c r="AF376" s="16">
        <f t="shared" si="33"/>
        <v>5.3</v>
      </c>
      <c r="AG376" s="16">
        <f t="shared" si="34"/>
        <v>28</v>
      </c>
      <c r="AH376" s="16" t="str">
        <f t="shared" si="35"/>
        <v/>
      </c>
    </row>
    <row r="377" spans="1:34" x14ac:dyDescent="0.35">
      <c r="A377" s="2" t="s">
        <v>193</v>
      </c>
      <c r="B377" s="2" t="s">
        <v>29</v>
      </c>
      <c r="C377" s="2" t="s">
        <v>30</v>
      </c>
      <c r="D377" s="2" t="s">
        <v>200</v>
      </c>
      <c r="E377" s="2" t="s">
        <v>172</v>
      </c>
      <c r="F377" s="2" t="s">
        <v>201</v>
      </c>
      <c r="G377" s="2" t="s">
        <v>34</v>
      </c>
      <c r="H377" s="2" t="s">
        <v>202</v>
      </c>
      <c r="I377" s="2" t="s">
        <v>171</v>
      </c>
      <c r="J377" s="2" t="s">
        <v>37</v>
      </c>
      <c r="K377" s="2" t="s">
        <v>38</v>
      </c>
      <c r="L377" s="2" t="s">
        <v>38</v>
      </c>
      <c r="M377" s="2" t="s">
        <v>39</v>
      </c>
      <c r="N377" s="2" t="s">
        <v>38</v>
      </c>
      <c r="O377" s="2" t="s">
        <v>38</v>
      </c>
      <c r="P377" s="2" t="s">
        <v>203</v>
      </c>
      <c r="Q377" s="2" t="s">
        <v>38</v>
      </c>
      <c r="R377" s="2" t="s">
        <v>98</v>
      </c>
      <c r="S377" s="2" t="s">
        <v>204</v>
      </c>
      <c r="T377" s="2" t="s">
        <v>90</v>
      </c>
      <c r="U377" s="2" t="s">
        <v>205</v>
      </c>
      <c r="V377" s="2" t="s">
        <v>191</v>
      </c>
      <c r="W377" s="2" t="s">
        <v>38</v>
      </c>
      <c r="X377" s="3">
        <v>40918</v>
      </c>
      <c r="Y377" s="2" t="s">
        <v>206</v>
      </c>
      <c r="Z377" s="4"/>
      <c r="AA377" s="2" t="s">
        <v>47</v>
      </c>
      <c r="AB377" s="2" t="s">
        <v>48</v>
      </c>
      <c r="AC377" s="12">
        <f t="shared" si="30"/>
        <v>2012</v>
      </c>
      <c r="AD377" s="12">
        <f t="shared" si="31"/>
        <v>1</v>
      </c>
      <c r="AE377" s="12">
        <f t="shared" si="32"/>
        <v>10</v>
      </c>
      <c r="AF377" s="16">
        <f t="shared" si="33"/>
        <v>5.3</v>
      </c>
      <c r="AG377" s="16">
        <f t="shared" si="34"/>
        <v>26.9</v>
      </c>
      <c r="AH377" s="16" t="str">
        <f t="shared" si="35"/>
        <v/>
      </c>
    </row>
    <row r="378" spans="1:34" x14ac:dyDescent="0.35">
      <c r="A378" s="2" t="s">
        <v>207</v>
      </c>
      <c r="B378" s="2" t="s">
        <v>29</v>
      </c>
      <c r="C378" s="2" t="s">
        <v>30</v>
      </c>
      <c r="D378" s="2" t="s">
        <v>214</v>
      </c>
      <c r="E378" s="2" t="s">
        <v>215</v>
      </c>
      <c r="F378" s="2" t="s">
        <v>216</v>
      </c>
      <c r="G378" s="2" t="s">
        <v>34</v>
      </c>
      <c r="H378" s="2" t="s">
        <v>217</v>
      </c>
      <c r="I378" s="2" t="s">
        <v>187</v>
      </c>
      <c r="J378" s="2" t="s">
        <v>37</v>
      </c>
      <c r="K378" s="2" t="s">
        <v>38</v>
      </c>
      <c r="L378" s="2" t="s">
        <v>38</v>
      </c>
      <c r="M378" s="2" t="s">
        <v>39</v>
      </c>
      <c r="N378" s="2" t="s">
        <v>38</v>
      </c>
      <c r="O378" s="2" t="s">
        <v>38</v>
      </c>
      <c r="P378" s="2" t="s">
        <v>218</v>
      </c>
      <c r="Q378" s="2" t="s">
        <v>38</v>
      </c>
      <c r="R378" s="2" t="s">
        <v>98</v>
      </c>
      <c r="S378" s="2" t="s">
        <v>89</v>
      </c>
      <c r="T378" s="2" t="s">
        <v>90</v>
      </c>
      <c r="U378" s="2" t="s">
        <v>219</v>
      </c>
      <c r="V378" s="2" t="s">
        <v>220</v>
      </c>
      <c r="W378" s="2" t="s">
        <v>38</v>
      </c>
      <c r="X378" s="3">
        <v>40919</v>
      </c>
      <c r="Y378" s="2" t="s">
        <v>221</v>
      </c>
      <c r="Z378" s="34"/>
      <c r="AA378" s="2" t="s">
        <v>47</v>
      </c>
      <c r="AB378" s="2" t="s">
        <v>48</v>
      </c>
      <c r="AC378" s="12">
        <f t="shared" si="30"/>
        <v>2012</v>
      </c>
      <c r="AD378" s="12">
        <f t="shared" si="31"/>
        <v>1</v>
      </c>
      <c r="AE378" s="12">
        <f t="shared" si="32"/>
        <v>11</v>
      </c>
      <c r="AF378" s="16">
        <f t="shared" si="33"/>
        <v>5.7</v>
      </c>
      <c r="AG378" s="16">
        <f t="shared" si="34"/>
        <v>25.9</v>
      </c>
      <c r="AH378" s="16" t="str">
        <f t="shared" si="35"/>
        <v/>
      </c>
    </row>
    <row r="379" spans="1:34" x14ac:dyDescent="0.35">
      <c r="A379" s="2" t="s">
        <v>222</v>
      </c>
      <c r="B379" s="2" t="s">
        <v>29</v>
      </c>
      <c r="C379" s="2" t="s">
        <v>30</v>
      </c>
      <c r="D379" s="2" t="s">
        <v>200</v>
      </c>
      <c r="E379" s="2" t="s">
        <v>151</v>
      </c>
      <c r="F379" s="2" t="s">
        <v>223</v>
      </c>
      <c r="G379" s="2" t="s">
        <v>34</v>
      </c>
      <c r="H379" s="2" t="s">
        <v>202</v>
      </c>
      <c r="I379" s="2" t="s">
        <v>171</v>
      </c>
      <c r="J379" s="2" t="s">
        <v>37</v>
      </c>
      <c r="K379" s="2" t="s">
        <v>38</v>
      </c>
      <c r="L379" s="2" t="s">
        <v>38</v>
      </c>
      <c r="M379" s="2" t="s">
        <v>39</v>
      </c>
      <c r="N379" s="2" t="s">
        <v>38</v>
      </c>
      <c r="O379" s="2" t="s">
        <v>38</v>
      </c>
      <c r="P379" s="2" t="s">
        <v>203</v>
      </c>
      <c r="Q379" s="2" t="s">
        <v>38</v>
      </c>
      <c r="R379" s="2" t="s">
        <v>98</v>
      </c>
      <c r="S379" s="2" t="s">
        <v>204</v>
      </c>
      <c r="T379" s="2" t="s">
        <v>90</v>
      </c>
      <c r="U379" s="2" t="s">
        <v>205</v>
      </c>
      <c r="V379" s="2" t="s">
        <v>224</v>
      </c>
      <c r="W379" s="2" t="s">
        <v>38</v>
      </c>
      <c r="X379" s="3">
        <v>40920</v>
      </c>
      <c r="Y379" s="2" t="s">
        <v>225</v>
      </c>
      <c r="Z379" s="4"/>
      <c r="AA379" s="2" t="s">
        <v>47</v>
      </c>
      <c r="AB379" s="2" t="s">
        <v>48</v>
      </c>
      <c r="AC379" s="12">
        <f t="shared" si="30"/>
        <v>2012</v>
      </c>
      <c r="AD379" s="12">
        <f t="shared" si="31"/>
        <v>1</v>
      </c>
      <c r="AE379" s="12">
        <f t="shared" si="32"/>
        <v>12</v>
      </c>
      <c r="AF379" s="16">
        <f t="shared" si="33"/>
        <v>3.1</v>
      </c>
      <c r="AG379" s="16">
        <f t="shared" si="34"/>
        <v>26.9</v>
      </c>
      <c r="AH379" s="16" t="str">
        <f t="shared" si="35"/>
        <v/>
      </c>
    </row>
    <row r="380" spans="1:34" x14ac:dyDescent="0.35">
      <c r="A380" s="2" t="s">
        <v>231</v>
      </c>
      <c r="B380" s="2" t="s">
        <v>29</v>
      </c>
      <c r="C380" s="2" t="s">
        <v>30</v>
      </c>
      <c r="D380" s="2" t="s">
        <v>200</v>
      </c>
      <c r="E380" s="2" t="s">
        <v>172</v>
      </c>
      <c r="F380" s="2" t="s">
        <v>232</v>
      </c>
      <c r="G380" s="2" t="s">
        <v>34</v>
      </c>
      <c r="H380" s="2" t="s">
        <v>233</v>
      </c>
      <c r="I380" s="2" t="s">
        <v>171</v>
      </c>
      <c r="J380" s="2" t="s">
        <v>37</v>
      </c>
      <c r="K380" s="2" t="s">
        <v>38</v>
      </c>
      <c r="L380" s="2" t="s">
        <v>38</v>
      </c>
      <c r="M380" s="2" t="s">
        <v>39</v>
      </c>
      <c r="N380" s="2" t="s">
        <v>38</v>
      </c>
      <c r="O380" s="2" t="s">
        <v>38</v>
      </c>
      <c r="P380" s="2" t="s">
        <v>234</v>
      </c>
      <c r="Q380" s="2" t="s">
        <v>38</v>
      </c>
      <c r="R380" s="2" t="s">
        <v>98</v>
      </c>
      <c r="S380" s="2" t="s">
        <v>235</v>
      </c>
      <c r="T380" s="2" t="s">
        <v>90</v>
      </c>
      <c r="U380" s="2" t="s">
        <v>236</v>
      </c>
      <c r="V380" s="2" t="s">
        <v>237</v>
      </c>
      <c r="W380" s="2" t="s">
        <v>38</v>
      </c>
      <c r="X380" s="3">
        <v>40921</v>
      </c>
      <c r="Y380" s="2" t="s">
        <v>238</v>
      </c>
      <c r="Z380" s="4"/>
      <c r="AA380" s="2" t="s">
        <v>47</v>
      </c>
      <c r="AB380" s="2" t="s">
        <v>48</v>
      </c>
      <c r="AC380" s="12">
        <f t="shared" si="30"/>
        <v>2012</v>
      </c>
      <c r="AD380" s="12">
        <f t="shared" si="31"/>
        <v>1</v>
      </c>
      <c r="AE380" s="12">
        <f t="shared" si="32"/>
        <v>13</v>
      </c>
      <c r="AF380" s="16">
        <f t="shared" si="33"/>
        <v>5.0999999999999996</v>
      </c>
      <c r="AG380" s="16">
        <f t="shared" si="34"/>
        <v>27.1</v>
      </c>
      <c r="AH380" s="16" t="str">
        <f t="shared" si="35"/>
        <v/>
      </c>
    </row>
    <row r="381" spans="1:34" x14ac:dyDescent="0.35">
      <c r="A381" s="2" t="s">
        <v>244</v>
      </c>
      <c r="B381" s="2" t="s">
        <v>29</v>
      </c>
      <c r="C381" s="2" t="s">
        <v>30</v>
      </c>
      <c r="D381" s="2" t="s">
        <v>187</v>
      </c>
      <c r="E381" s="2" t="s">
        <v>250</v>
      </c>
      <c r="F381" s="2" t="s">
        <v>251</v>
      </c>
      <c r="G381" s="2" t="s">
        <v>34</v>
      </c>
      <c r="H381" s="2" t="s">
        <v>246</v>
      </c>
      <c r="I381" s="2" t="s">
        <v>31</v>
      </c>
      <c r="J381" s="2" t="s">
        <v>37</v>
      </c>
      <c r="K381" s="2" t="s">
        <v>38</v>
      </c>
      <c r="L381" s="2" t="s">
        <v>38</v>
      </c>
      <c r="M381" s="2" t="s">
        <v>39</v>
      </c>
      <c r="N381" s="2" t="s">
        <v>38</v>
      </c>
      <c r="O381" s="2" t="s">
        <v>38</v>
      </c>
      <c r="P381" s="2" t="s">
        <v>252</v>
      </c>
      <c r="Q381" s="2" t="s">
        <v>38</v>
      </c>
      <c r="R381" s="2" t="s">
        <v>98</v>
      </c>
      <c r="S381" s="2" t="s">
        <v>204</v>
      </c>
      <c r="T381" s="2" t="s">
        <v>90</v>
      </c>
      <c r="U381" s="2" t="s">
        <v>253</v>
      </c>
      <c r="V381" s="2" t="s">
        <v>254</v>
      </c>
      <c r="W381" s="2" t="s">
        <v>38</v>
      </c>
      <c r="X381" s="3">
        <v>40922</v>
      </c>
      <c r="Y381" s="2" t="s">
        <v>255</v>
      </c>
      <c r="Z381" s="34"/>
      <c r="AA381" s="2" t="s">
        <v>47</v>
      </c>
      <c r="AB381" s="2" t="s">
        <v>48</v>
      </c>
      <c r="AC381" s="12">
        <f t="shared" si="30"/>
        <v>2012</v>
      </c>
      <c r="AD381" s="12">
        <f t="shared" si="31"/>
        <v>1</v>
      </c>
      <c r="AE381" s="12">
        <f t="shared" si="32"/>
        <v>14</v>
      </c>
      <c r="AF381" s="16">
        <f t="shared" si="33"/>
        <v>5.5</v>
      </c>
      <c r="AG381" s="16">
        <f t="shared" si="34"/>
        <v>27.9</v>
      </c>
      <c r="AH381" s="16" t="str">
        <f t="shared" si="35"/>
        <v/>
      </c>
    </row>
    <row r="382" spans="1:34" x14ac:dyDescent="0.35">
      <c r="A382" s="2" t="s">
        <v>256</v>
      </c>
      <c r="B382" s="2" t="s">
        <v>29</v>
      </c>
      <c r="C382" s="2" t="s">
        <v>30</v>
      </c>
      <c r="D382" s="2" t="s">
        <v>171</v>
      </c>
      <c r="E382" s="2" t="s">
        <v>172</v>
      </c>
      <c r="F382" s="2" t="s">
        <v>95</v>
      </c>
      <c r="G382" s="2" t="s">
        <v>34</v>
      </c>
      <c r="H382" s="2" t="s">
        <v>263</v>
      </c>
      <c r="I382" s="2" t="s">
        <v>111</v>
      </c>
      <c r="J382" s="2" t="s">
        <v>37</v>
      </c>
      <c r="K382" s="2" t="s">
        <v>38</v>
      </c>
      <c r="L382" s="2" t="s">
        <v>38</v>
      </c>
      <c r="M382" s="2" t="s">
        <v>39</v>
      </c>
      <c r="N382" s="2" t="s">
        <v>38</v>
      </c>
      <c r="O382" s="2" t="s">
        <v>38</v>
      </c>
      <c r="P382" s="2" t="s">
        <v>264</v>
      </c>
      <c r="Q382" s="2" t="s">
        <v>38</v>
      </c>
      <c r="R382" s="2" t="s">
        <v>98</v>
      </c>
      <c r="S382" s="2" t="s">
        <v>89</v>
      </c>
      <c r="T382" s="2" t="s">
        <v>90</v>
      </c>
      <c r="U382" s="2" t="s">
        <v>265</v>
      </c>
      <c r="V382" s="2" t="s">
        <v>266</v>
      </c>
      <c r="W382" s="2" t="s">
        <v>38</v>
      </c>
      <c r="X382" s="3">
        <v>40923</v>
      </c>
      <c r="Y382" s="2" t="s">
        <v>267</v>
      </c>
      <c r="Z382" s="4"/>
      <c r="AA382" s="2" t="s">
        <v>47</v>
      </c>
      <c r="AB382" s="2" t="s">
        <v>48</v>
      </c>
      <c r="AC382" s="12">
        <f t="shared" si="30"/>
        <v>2012</v>
      </c>
      <c r="AD382" s="12">
        <f t="shared" si="31"/>
        <v>1</v>
      </c>
      <c r="AE382" s="12">
        <f t="shared" si="32"/>
        <v>15</v>
      </c>
      <c r="AF382" s="16">
        <f t="shared" si="33"/>
        <v>4.5</v>
      </c>
      <c r="AG382" s="16">
        <f t="shared" si="34"/>
        <v>30</v>
      </c>
      <c r="AH382" s="16" t="str">
        <f t="shared" si="35"/>
        <v/>
      </c>
    </row>
    <row r="383" spans="1:34" x14ac:dyDescent="0.35">
      <c r="A383" s="2" t="s">
        <v>268</v>
      </c>
      <c r="B383" s="2" t="s">
        <v>29</v>
      </c>
      <c r="C383" s="2" t="s">
        <v>30</v>
      </c>
      <c r="D383" s="2" t="s">
        <v>31</v>
      </c>
      <c r="E383" s="2" t="s">
        <v>151</v>
      </c>
      <c r="F383" s="2" t="s">
        <v>275</v>
      </c>
      <c r="G383" s="2" t="s">
        <v>34</v>
      </c>
      <c r="H383" s="2" t="s">
        <v>276</v>
      </c>
      <c r="I383" s="2" t="s">
        <v>36</v>
      </c>
      <c r="J383" s="2" t="s">
        <v>37</v>
      </c>
      <c r="K383" s="2" t="s">
        <v>38</v>
      </c>
      <c r="L383" s="2" t="s">
        <v>38</v>
      </c>
      <c r="M383" s="2" t="s">
        <v>39</v>
      </c>
      <c r="N383" s="2" t="s">
        <v>38</v>
      </c>
      <c r="O383" s="2" t="s">
        <v>38</v>
      </c>
      <c r="P383" s="2" t="s">
        <v>277</v>
      </c>
      <c r="Q383" s="2" t="s">
        <v>38</v>
      </c>
      <c r="R383" s="2" t="s">
        <v>98</v>
      </c>
      <c r="S383" s="2" t="s">
        <v>99</v>
      </c>
      <c r="T383" s="2" t="s">
        <v>90</v>
      </c>
      <c r="U383" s="2" t="s">
        <v>278</v>
      </c>
      <c r="V383" s="2" t="s">
        <v>279</v>
      </c>
      <c r="W383" s="2" t="s">
        <v>38</v>
      </c>
      <c r="X383" s="3">
        <v>40924</v>
      </c>
      <c r="Y383" s="2" t="s">
        <v>280</v>
      </c>
      <c r="Z383" s="34"/>
      <c r="AA383" s="2" t="s">
        <v>47</v>
      </c>
      <c r="AB383" s="2" t="s">
        <v>48</v>
      </c>
      <c r="AC383" s="12">
        <f t="shared" si="30"/>
        <v>2012</v>
      </c>
      <c r="AD383" s="12">
        <f t="shared" si="31"/>
        <v>1</v>
      </c>
      <c r="AE383" s="12">
        <f t="shared" si="32"/>
        <v>16</v>
      </c>
      <c r="AF383" s="16">
        <f t="shared" si="33"/>
        <v>2.8</v>
      </c>
      <c r="AG383" s="16">
        <f t="shared" si="34"/>
        <v>31.1</v>
      </c>
      <c r="AH383" s="16" t="str">
        <f t="shared" si="35"/>
        <v/>
      </c>
    </row>
    <row r="384" spans="1:34" x14ac:dyDescent="0.35">
      <c r="A384" s="2" t="s">
        <v>281</v>
      </c>
      <c r="B384" s="2" t="s">
        <v>29</v>
      </c>
      <c r="C384" s="2" t="s">
        <v>30</v>
      </c>
      <c r="D384" s="2" t="s">
        <v>31</v>
      </c>
      <c r="E384" s="2" t="s">
        <v>286</v>
      </c>
      <c r="F384" s="2" t="s">
        <v>287</v>
      </c>
      <c r="G384" s="2" t="s">
        <v>34</v>
      </c>
      <c r="H384" s="2" t="s">
        <v>153</v>
      </c>
      <c r="I384" s="2" t="s">
        <v>36</v>
      </c>
      <c r="J384" s="2" t="s">
        <v>37</v>
      </c>
      <c r="K384" s="2" t="s">
        <v>38</v>
      </c>
      <c r="L384" s="2" t="s">
        <v>38</v>
      </c>
      <c r="M384" s="2" t="s">
        <v>39</v>
      </c>
      <c r="N384" s="2" t="s">
        <v>38</v>
      </c>
      <c r="O384" s="2" t="s">
        <v>38</v>
      </c>
      <c r="P384" s="2" t="s">
        <v>288</v>
      </c>
      <c r="Q384" s="2" t="s">
        <v>38</v>
      </c>
      <c r="R384" s="2" t="s">
        <v>98</v>
      </c>
      <c r="S384" s="2" t="s">
        <v>289</v>
      </c>
      <c r="T384" s="2" t="s">
        <v>90</v>
      </c>
      <c r="U384" s="2" t="s">
        <v>290</v>
      </c>
      <c r="V384" s="2" t="s">
        <v>291</v>
      </c>
      <c r="W384" s="2" t="s">
        <v>38</v>
      </c>
      <c r="X384" s="3">
        <v>40925</v>
      </c>
      <c r="Y384" s="2" t="s">
        <v>292</v>
      </c>
      <c r="Z384" s="34"/>
      <c r="AA384" s="2" t="s">
        <v>47</v>
      </c>
      <c r="AB384" s="2" t="s">
        <v>48</v>
      </c>
      <c r="AC384" s="12">
        <f t="shared" si="30"/>
        <v>2012</v>
      </c>
      <c r="AD384" s="12">
        <f t="shared" si="31"/>
        <v>1</v>
      </c>
      <c r="AE384" s="12">
        <f t="shared" si="32"/>
        <v>17</v>
      </c>
      <c r="AF384" s="16">
        <f t="shared" si="33"/>
        <v>1.3</v>
      </c>
      <c r="AG384" s="16">
        <f t="shared" si="34"/>
        <v>31</v>
      </c>
      <c r="AH384" s="16" t="str">
        <f t="shared" si="35"/>
        <v/>
      </c>
    </row>
    <row r="385" spans="1:34" x14ac:dyDescent="0.35">
      <c r="A385" s="2" t="s">
        <v>293</v>
      </c>
      <c r="B385" s="2" t="s">
        <v>29</v>
      </c>
      <c r="C385" s="2" t="s">
        <v>30</v>
      </c>
      <c r="D385" s="2" t="s">
        <v>200</v>
      </c>
      <c r="E385" s="2" t="s">
        <v>165</v>
      </c>
      <c r="F385" s="2" t="s">
        <v>300</v>
      </c>
      <c r="G385" s="2" t="s">
        <v>34</v>
      </c>
      <c r="H385" s="2" t="s">
        <v>173</v>
      </c>
      <c r="I385" s="2" t="s">
        <v>171</v>
      </c>
      <c r="J385" s="2" t="s">
        <v>37</v>
      </c>
      <c r="K385" s="2" t="s">
        <v>38</v>
      </c>
      <c r="L385" s="2" t="s">
        <v>38</v>
      </c>
      <c r="M385" s="2" t="s">
        <v>39</v>
      </c>
      <c r="N385" s="2" t="s">
        <v>38</v>
      </c>
      <c r="O385" s="2" t="s">
        <v>38</v>
      </c>
      <c r="P385" s="2" t="s">
        <v>301</v>
      </c>
      <c r="Q385" s="2" t="s">
        <v>38</v>
      </c>
      <c r="R385" s="2" t="s">
        <v>98</v>
      </c>
      <c r="S385" s="2" t="s">
        <v>302</v>
      </c>
      <c r="T385" s="2" t="s">
        <v>90</v>
      </c>
      <c r="U385" s="2" t="s">
        <v>303</v>
      </c>
      <c r="V385" s="2" t="s">
        <v>273</v>
      </c>
      <c r="W385" s="2" t="s">
        <v>38</v>
      </c>
      <c r="X385" s="3">
        <v>40926</v>
      </c>
      <c r="Y385" s="2" t="s">
        <v>304</v>
      </c>
      <c r="Z385" s="4"/>
      <c r="AA385" s="2" t="s">
        <v>47</v>
      </c>
      <c r="AB385" s="2" t="s">
        <v>48</v>
      </c>
      <c r="AC385" s="12">
        <f t="shared" si="30"/>
        <v>2012</v>
      </c>
      <c r="AD385" s="12">
        <f t="shared" si="31"/>
        <v>1</v>
      </c>
      <c r="AE385" s="12">
        <f t="shared" si="32"/>
        <v>18</v>
      </c>
      <c r="AF385" s="16">
        <f t="shared" si="33"/>
        <v>8.9</v>
      </c>
      <c r="AG385" s="16">
        <f t="shared" si="34"/>
        <v>27</v>
      </c>
      <c r="AH385" s="16" t="str">
        <f t="shared" si="35"/>
        <v/>
      </c>
    </row>
    <row r="386" spans="1:34" x14ac:dyDescent="0.35">
      <c r="A386" s="2" t="s">
        <v>305</v>
      </c>
      <c r="B386" s="2" t="s">
        <v>29</v>
      </c>
      <c r="C386" s="2" t="s">
        <v>30</v>
      </c>
      <c r="D386" s="2" t="s">
        <v>306</v>
      </c>
      <c r="E386" s="2" t="s">
        <v>142</v>
      </c>
      <c r="F386" s="2" t="s">
        <v>307</v>
      </c>
      <c r="G386" s="2" t="s">
        <v>34</v>
      </c>
      <c r="H386" s="2" t="s">
        <v>308</v>
      </c>
      <c r="I386" s="2" t="s">
        <v>200</v>
      </c>
      <c r="J386" s="2" t="s">
        <v>37</v>
      </c>
      <c r="K386" s="2" t="s">
        <v>38</v>
      </c>
      <c r="L386" s="2" t="s">
        <v>38</v>
      </c>
      <c r="M386" s="2" t="s">
        <v>39</v>
      </c>
      <c r="N386" s="2" t="s">
        <v>38</v>
      </c>
      <c r="O386" s="2" t="s">
        <v>38</v>
      </c>
      <c r="P386" s="2" t="s">
        <v>309</v>
      </c>
      <c r="Q386" s="2" t="s">
        <v>38</v>
      </c>
      <c r="R386" s="2" t="s">
        <v>98</v>
      </c>
      <c r="S386" s="2" t="s">
        <v>310</v>
      </c>
      <c r="T386" s="2" t="s">
        <v>73</v>
      </c>
      <c r="U386" s="2" t="s">
        <v>311</v>
      </c>
      <c r="V386" s="2" t="s">
        <v>197</v>
      </c>
      <c r="W386" s="2" t="s">
        <v>38</v>
      </c>
      <c r="X386" s="3">
        <v>40927</v>
      </c>
      <c r="Y386" s="2" t="s">
        <v>312</v>
      </c>
      <c r="Z386" s="34"/>
      <c r="AA386" s="2" t="s">
        <v>47</v>
      </c>
      <c r="AB386" s="2" t="s">
        <v>48</v>
      </c>
      <c r="AC386" s="12">
        <f t="shared" ref="AC386:AC449" si="36">YEAR(X386)</f>
        <v>2012</v>
      </c>
      <c r="AD386" s="12">
        <f t="shared" ref="AD386:AD449" si="37">MONTH(X386)</f>
        <v>1</v>
      </c>
      <c r="AE386" s="12">
        <f t="shared" ref="AE386:AE449" si="38">DAY(X386)</f>
        <v>19</v>
      </c>
      <c r="AF386" s="16">
        <f t="shared" ref="AF386:AF449" si="39">IF(LEN(V386)&gt;0,V386/10,"")</f>
        <v>10.6</v>
      </c>
      <c r="AG386" s="16">
        <f t="shared" ref="AG386:AG449" si="40">IF(LEN(P386)&gt;0,P386/10,"")</f>
        <v>25.1</v>
      </c>
      <c r="AH386" s="16" t="str">
        <f t="shared" ref="AH386:AH449" si="41">IF(LEN(Q386)&gt;0,Q386/10,"")</f>
        <v/>
      </c>
    </row>
    <row r="387" spans="1:34" x14ac:dyDescent="0.35">
      <c r="A387" s="2" t="s">
        <v>317</v>
      </c>
      <c r="B387" s="2" t="s">
        <v>29</v>
      </c>
      <c r="C387" s="2" t="s">
        <v>30</v>
      </c>
      <c r="D387" s="2" t="s">
        <v>187</v>
      </c>
      <c r="E387" s="2" t="s">
        <v>165</v>
      </c>
      <c r="F387" s="2" t="s">
        <v>320</v>
      </c>
      <c r="G387" s="2" t="s">
        <v>34</v>
      </c>
      <c r="H387" s="2" t="s">
        <v>69</v>
      </c>
      <c r="I387" s="2" t="s">
        <v>171</v>
      </c>
      <c r="J387" s="2" t="s">
        <v>37</v>
      </c>
      <c r="K387" s="2" t="s">
        <v>38</v>
      </c>
      <c r="L387" s="2" t="s">
        <v>38</v>
      </c>
      <c r="M387" s="2" t="s">
        <v>39</v>
      </c>
      <c r="N387" s="2" t="s">
        <v>38</v>
      </c>
      <c r="O387" s="2" t="s">
        <v>38</v>
      </c>
      <c r="P387" s="2" t="s">
        <v>321</v>
      </c>
      <c r="Q387" s="2" t="s">
        <v>38</v>
      </c>
      <c r="R387" s="2" t="s">
        <v>98</v>
      </c>
      <c r="S387" s="2" t="s">
        <v>89</v>
      </c>
      <c r="T387" s="2" t="s">
        <v>90</v>
      </c>
      <c r="U387" s="2" t="s">
        <v>253</v>
      </c>
      <c r="V387" s="2" t="s">
        <v>322</v>
      </c>
      <c r="W387" s="2" t="s">
        <v>38</v>
      </c>
      <c r="X387" s="3">
        <v>40928</v>
      </c>
      <c r="Y387" s="2" t="s">
        <v>323</v>
      </c>
      <c r="Z387" s="4"/>
      <c r="AA387" s="2" t="s">
        <v>47</v>
      </c>
      <c r="AB387" s="2" t="s">
        <v>48</v>
      </c>
      <c r="AC387" s="12">
        <f t="shared" si="36"/>
        <v>2012</v>
      </c>
      <c r="AD387" s="12">
        <f t="shared" si="37"/>
        <v>1</v>
      </c>
      <c r="AE387" s="12">
        <f t="shared" si="38"/>
        <v>20</v>
      </c>
      <c r="AF387" s="16">
        <f t="shared" si="39"/>
        <v>9.1999999999999993</v>
      </c>
      <c r="AG387" s="16">
        <f t="shared" si="40"/>
        <v>27.2</v>
      </c>
      <c r="AH387" s="16" t="str">
        <f t="shared" si="41"/>
        <v/>
      </c>
    </row>
    <row r="388" spans="1:34" x14ac:dyDescent="0.35">
      <c r="A388" s="2" t="s">
        <v>324</v>
      </c>
      <c r="B388" s="2" t="s">
        <v>29</v>
      </c>
      <c r="C388" s="2" t="s">
        <v>30</v>
      </c>
      <c r="D388" s="2" t="s">
        <v>31</v>
      </c>
      <c r="E388" s="2" t="s">
        <v>165</v>
      </c>
      <c r="F388" s="2" t="s">
        <v>330</v>
      </c>
      <c r="G388" s="2" t="s">
        <v>34</v>
      </c>
      <c r="H388" s="2" t="s">
        <v>331</v>
      </c>
      <c r="I388" s="2" t="s">
        <v>111</v>
      </c>
      <c r="J388" s="2" t="s">
        <v>37</v>
      </c>
      <c r="K388" s="2" t="s">
        <v>38</v>
      </c>
      <c r="L388" s="2" t="s">
        <v>38</v>
      </c>
      <c r="M388" s="2" t="s">
        <v>39</v>
      </c>
      <c r="N388" s="2" t="s">
        <v>38</v>
      </c>
      <c r="O388" s="2" t="s">
        <v>38</v>
      </c>
      <c r="P388" s="2" t="s">
        <v>332</v>
      </c>
      <c r="Q388" s="2" t="s">
        <v>38</v>
      </c>
      <c r="R388" s="2" t="s">
        <v>98</v>
      </c>
      <c r="S388" s="2" t="s">
        <v>89</v>
      </c>
      <c r="T388" s="2" t="s">
        <v>90</v>
      </c>
      <c r="U388" s="2" t="s">
        <v>100</v>
      </c>
      <c r="V388" s="2" t="s">
        <v>333</v>
      </c>
      <c r="W388" s="2" t="s">
        <v>38</v>
      </c>
      <c r="X388" s="3">
        <v>40929</v>
      </c>
      <c r="Y388" s="2" t="s">
        <v>334</v>
      </c>
      <c r="Z388" s="4"/>
      <c r="AA388" s="2" t="s">
        <v>47</v>
      </c>
      <c r="AB388" s="2" t="s">
        <v>48</v>
      </c>
      <c r="AC388" s="12">
        <f t="shared" si="36"/>
        <v>2012</v>
      </c>
      <c r="AD388" s="12">
        <f t="shared" si="37"/>
        <v>1</v>
      </c>
      <c r="AE388" s="12">
        <f t="shared" si="38"/>
        <v>21</v>
      </c>
      <c r="AF388" s="16">
        <f t="shared" si="39"/>
        <v>9</v>
      </c>
      <c r="AG388" s="16">
        <f t="shared" si="40"/>
        <v>29.6</v>
      </c>
      <c r="AH388" s="16" t="str">
        <f t="shared" si="41"/>
        <v/>
      </c>
    </row>
    <row r="389" spans="1:34" x14ac:dyDescent="0.35">
      <c r="A389" s="2" t="s">
        <v>335</v>
      </c>
      <c r="B389" s="2" t="s">
        <v>29</v>
      </c>
      <c r="C389" s="2" t="s">
        <v>30</v>
      </c>
      <c r="D389" s="2" t="s">
        <v>187</v>
      </c>
      <c r="E389" s="2" t="s">
        <v>104</v>
      </c>
      <c r="F389" s="2" t="s">
        <v>341</v>
      </c>
      <c r="G389" s="2" t="s">
        <v>34</v>
      </c>
      <c r="H389" s="2" t="s">
        <v>342</v>
      </c>
      <c r="I389" s="2" t="s">
        <v>77</v>
      </c>
      <c r="J389" s="2" t="s">
        <v>37</v>
      </c>
      <c r="K389" s="2" t="s">
        <v>38</v>
      </c>
      <c r="L389" s="2" t="s">
        <v>38</v>
      </c>
      <c r="M389" s="2" t="s">
        <v>39</v>
      </c>
      <c r="N389" s="2" t="s">
        <v>38</v>
      </c>
      <c r="O389" s="2" t="s">
        <v>38</v>
      </c>
      <c r="P389" s="2" t="s">
        <v>343</v>
      </c>
      <c r="Q389" s="2" t="s">
        <v>38</v>
      </c>
      <c r="R389" s="2" t="s">
        <v>41</v>
      </c>
      <c r="S389" s="2" t="s">
        <v>344</v>
      </c>
      <c r="T389" s="2" t="s">
        <v>345</v>
      </c>
      <c r="U389" s="2" t="s">
        <v>346</v>
      </c>
      <c r="V389" s="2" t="s">
        <v>124</v>
      </c>
      <c r="W389" s="2" t="s">
        <v>38</v>
      </c>
      <c r="X389" s="3">
        <v>40930</v>
      </c>
      <c r="Y389" s="2" t="s">
        <v>347</v>
      </c>
      <c r="Z389" s="34"/>
      <c r="AA389" s="2" t="s">
        <v>47</v>
      </c>
      <c r="AB389" s="2" t="s">
        <v>48</v>
      </c>
      <c r="AC389" s="12">
        <f t="shared" si="36"/>
        <v>2012</v>
      </c>
      <c r="AD389" s="12">
        <f t="shared" si="37"/>
        <v>1</v>
      </c>
      <c r="AE389" s="12">
        <f t="shared" si="38"/>
        <v>22</v>
      </c>
      <c r="AF389" s="16">
        <f t="shared" si="39"/>
        <v>13.5</v>
      </c>
      <c r="AG389" s="16">
        <f t="shared" si="40"/>
        <v>29</v>
      </c>
      <c r="AH389" s="16" t="str">
        <f t="shared" si="41"/>
        <v/>
      </c>
    </row>
    <row r="390" spans="1:34" x14ac:dyDescent="0.35">
      <c r="A390" s="2" t="s">
        <v>348</v>
      </c>
      <c r="B390" s="2" t="s">
        <v>29</v>
      </c>
      <c r="C390" s="2" t="s">
        <v>30</v>
      </c>
      <c r="D390" s="2" t="s">
        <v>77</v>
      </c>
      <c r="E390" s="2" t="s">
        <v>30</v>
      </c>
      <c r="F390" s="2" t="s">
        <v>352</v>
      </c>
      <c r="G390" s="2" t="s">
        <v>34</v>
      </c>
      <c r="H390" s="2" t="s">
        <v>153</v>
      </c>
      <c r="I390" s="2" t="s">
        <v>111</v>
      </c>
      <c r="J390" s="2" t="s">
        <v>37</v>
      </c>
      <c r="K390" s="2" t="s">
        <v>38</v>
      </c>
      <c r="L390" s="2" t="s">
        <v>38</v>
      </c>
      <c r="M390" s="2" t="s">
        <v>39</v>
      </c>
      <c r="N390" s="2" t="s">
        <v>38</v>
      </c>
      <c r="O390" s="2" t="s">
        <v>38</v>
      </c>
      <c r="P390" s="2" t="s">
        <v>264</v>
      </c>
      <c r="Q390" s="2" t="s">
        <v>38</v>
      </c>
      <c r="R390" s="2" t="s">
        <v>41</v>
      </c>
      <c r="S390" s="2" t="s">
        <v>122</v>
      </c>
      <c r="T390" s="2" t="s">
        <v>353</v>
      </c>
      <c r="U390" s="2" t="s">
        <v>147</v>
      </c>
      <c r="V390" s="2" t="s">
        <v>354</v>
      </c>
      <c r="W390" s="2" t="s">
        <v>38</v>
      </c>
      <c r="X390" s="3">
        <v>40931</v>
      </c>
      <c r="Y390" s="2" t="s">
        <v>355</v>
      </c>
      <c r="Z390" s="4"/>
      <c r="AA390" s="2" t="s">
        <v>47</v>
      </c>
      <c r="AB390" s="2" t="s">
        <v>48</v>
      </c>
      <c r="AC390" s="12">
        <f t="shared" si="36"/>
        <v>2012</v>
      </c>
      <c r="AD390" s="12">
        <f t="shared" si="37"/>
        <v>1</v>
      </c>
      <c r="AE390" s="12">
        <f t="shared" si="38"/>
        <v>23</v>
      </c>
      <c r="AF390" s="16">
        <f t="shared" si="39"/>
        <v>12.1</v>
      </c>
      <c r="AG390" s="16">
        <f t="shared" si="40"/>
        <v>30</v>
      </c>
      <c r="AH390" s="16" t="str">
        <f t="shared" si="41"/>
        <v/>
      </c>
    </row>
    <row r="391" spans="1:34" x14ac:dyDescent="0.35">
      <c r="A391" s="2" t="s">
        <v>356</v>
      </c>
      <c r="B391" s="2" t="s">
        <v>29</v>
      </c>
      <c r="C391" s="2" t="s">
        <v>30</v>
      </c>
      <c r="D391" s="2" t="s">
        <v>77</v>
      </c>
      <c r="E391" s="2" t="s">
        <v>30</v>
      </c>
      <c r="F391" s="2" t="s">
        <v>361</v>
      </c>
      <c r="G391" s="2" t="s">
        <v>34</v>
      </c>
      <c r="H391" s="2" t="s">
        <v>331</v>
      </c>
      <c r="I391" s="2" t="s">
        <v>111</v>
      </c>
      <c r="J391" s="2" t="s">
        <v>37</v>
      </c>
      <c r="K391" s="2" t="s">
        <v>38</v>
      </c>
      <c r="L391" s="2" t="s">
        <v>38</v>
      </c>
      <c r="M391" s="2" t="s">
        <v>39</v>
      </c>
      <c r="N391" s="2" t="s">
        <v>38</v>
      </c>
      <c r="O391" s="2" t="s">
        <v>38</v>
      </c>
      <c r="P391" s="2" t="s">
        <v>332</v>
      </c>
      <c r="Q391" s="2" t="s">
        <v>38</v>
      </c>
      <c r="R391" s="2" t="s">
        <v>41</v>
      </c>
      <c r="S391" s="2" t="s">
        <v>42</v>
      </c>
      <c r="T391" s="2" t="s">
        <v>362</v>
      </c>
      <c r="U391" s="2" t="s">
        <v>147</v>
      </c>
      <c r="V391" s="2" t="s">
        <v>363</v>
      </c>
      <c r="W391" s="2" t="s">
        <v>38</v>
      </c>
      <c r="X391" s="3">
        <v>40932</v>
      </c>
      <c r="Y391" s="2" t="s">
        <v>364</v>
      </c>
      <c r="Z391" s="34"/>
      <c r="AA391" s="2" t="s">
        <v>47</v>
      </c>
      <c r="AB391" s="2" t="s">
        <v>48</v>
      </c>
      <c r="AC391" s="12">
        <f t="shared" si="36"/>
        <v>2012</v>
      </c>
      <c r="AD391" s="12">
        <f t="shared" si="37"/>
        <v>1</v>
      </c>
      <c r="AE391" s="12">
        <f t="shared" si="38"/>
        <v>24</v>
      </c>
      <c r="AF391" s="16">
        <f t="shared" si="39"/>
        <v>11.7</v>
      </c>
      <c r="AG391" s="16">
        <f t="shared" si="40"/>
        <v>29.6</v>
      </c>
      <c r="AH391" s="16" t="str">
        <f t="shared" si="41"/>
        <v/>
      </c>
    </row>
    <row r="392" spans="1:34" x14ac:dyDescent="0.35">
      <c r="A392" s="2" t="s">
        <v>365</v>
      </c>
      <c r="B392" s="2" t="s">
        <v>29</v>
      </c>
      <c r="C392" s="2" t="s">
        <v>30</v>
      </c>
      <c r="D392" s="2" t="s">
        <v>171</v>
      </c>
      <c r="E392" s="2" t="s">
        <v>104</v>
      </c>
      <c r="F392" s="2" t="s">
        <v>370</v>
      </c>
      <c r="G392" s="2" t="s">
        <v>34</v>
      </c>
      <c r="H392" s="2" t="s">
        <v>371</v>
      </c>
      <c r="I392" s="2" t="s">
        <v>36</v>
      </c>
      <c r="J392" s="2" t="s">
        <v>37</v>
      </c>
      <c r="K392" s="2" t="s">
        <v>38</v>
      </c>
      <c r="L392" s="2" t="s">
        <v>38</v>
      </c>
      <c r="M392" s="2" t="s">
        <v>39</v>
      </c>
      <c r="N392" s="2" t="s">
        <v>38</v>
      </c>
      <c r="O392" s="2" t="s">
        <v>38</v>
      </c>
      <c r="P392" s="2" t="s">
        <v>40</v>
      </c>
      <c r="Q392" s="2" t="s">
        <v>38</v>
      </c>
      <c r="R392" s="2" t="s">
        <v>41</v>
      </c>
      <c r="S392" s="2" t="s">
        <v>344</v>
      </c>
      <c r="T392" s="2" t="s">
        <v>372</v>
      </c>
      <c r="U392" s="2" t="s">
        <v>175</v>
      </c>
      <c r="V392" s="2" t="s">
        <v>109</v>
      </c>
      <c r="W392" s="2" t="s">
        <v>38</v>
      </c>
      <c r="X392" s="3">
        <v>40933</v>
      </c>
      <c r="Y392" s="2" t="s">
        <v>373</v>
      </c>
      <c r="Z392" s="4"/>
      <c r="AA392" s="2" t="s">
        <v>47</v>
      </c>
      <c r="AB392" s="2" t="s">
        <v>48</v>
      </c>
      <c r="AC392" s="12">
        <f t="shared" si="36"/>
        <v>2012</v>
      </c>
      <c r="AD392" s="12">
        <f t="shared" si="37"/>
        <v>1</v>
      </c>
      <c r="AE392" s="12">
        <f t="shared" si="38"/>
        <v>25</v>
      </c>
      <c r="AF392" s="16">
        <f t="shared" si="39"/>
        <v>13.2</v>
      </c>
      <c r="AG392" s="16">
        <f t="shared" si="40"/>
        <v>30.6</v>
      </c>
      <c r="AH392" s="16" t="str">
        <f t="shared" si="41"/>
        <v/>
      </c>
    </row>
    <row r="393" spans="1:34" x14ac:dyDescent="0.35">
      <c r="A393" s="2" t="s">
        <v>374</v>
      </c>
      <c r="B393" s="2" t="s">
        <v>29</v>
      </c>
      <c r="C393" s="2" t="s">
        <v>30</v>
      </c>
      <c r="D393" s="2" t="s">
        <v>171</v>
      </c>
      <c r="E393" s="2" t="s">
        <v>142</v>
      </c>
      <c r="F393" s="2" t="s">
        <v>378</v>
      </c>
      <c r="G393" s="2" t="s">
        <v>34</v>
      </c>
      <c r="H393" s="2" t="s">
        <v>379</v>
      </c>
      <c r="I393" s="2" t="s">
        <v>77</v>
      </c>
      <c r="J393" s="2" t="s">
        <v>37</v>
      </c>
      <c r="K393" s="2" t="s">
        <v>38</v>
      </c>
      <c r="L393" s="2" t="s">
        <v>38</v>
      </c>
      <c r="M393" s="2" t="s">
        <v>39</v>
      </c>
      <c r="N393" s="2" t="s">
        <v>38</v>
      </c>
      <c r="O393" s="2" t="s">
        <v>38</v>
      </c>
      <c r="P393" s="2" t="s">
        <v>343</v>
      </c>
      <c r="Q393" s="2" t="s">
        <v>38</v>
      </c>
      <c r="R393" s="2" t="s">
        <v>41</v>
      </c>
      <c r="S393" s="2" t="s">
        <v>380</v>
      </c>
      <c r="T393" s="2" t="s">
        <v>131</v>
      </c>
      <c r="U393" s="2" t="s">
        <v>381</v>
      </c>
      <c r="V393" s="2" t="s">
        <v>382</v>
      </c>
      <c r="W393" s="2" t="s">
        <v>38</v>
      </c>
      <c r="X393" s="3">
        <v>40934</v>
      </c>
      <c r="Y393" s="2" t="s">
        <v>383</v>
      </c>
      <c r="Z393" s="34"/>
      <c r="AA393" s="2" t="s">
        <v>47</v>
      </c>
      <c r="AB393" s="2" t="s">
        <v>48</v>
      </c>
      <c r="AC393" s="12">
        <f t="shared" si="36"/>
        <v>2012</v>
      </c>
      <c r="AD393" s="12">
        <f t="shared" si="37"/>
        <v>1</v>
      </c>
      <c r="AE393" s="12">
        <f t="shared" si="38"/>
        <v>26</v>
      </c>
      <c r="AF393" s="16">
        <f t="shared" si="39"/>
        <v>10.9</v>
      </c>
      <c r="AG393" s="16">
        <f t="shared" si="40"/>
        <v>29</v>
      </c>
      <c r="AH393" s="16" t="str">
        <f t="shared" si="41"/>
        <v/>
      </c>
    </row>
    <row r="394" spans="1:34" x14ac:dyDescent="0.35">
      <c r="A394" s="2" t="s">
        <v>384</v>
      </c>
      <c r="B394" s="2" t="s">
        <v>29</v>
      </c>
      <c r="C394" s="2" t="s">
        <v>30</v>
      </c>
      <c r="D394" s="2" t="s">
        <v>31</v>
      </c>
      <c r="E394" s="2" t="s">
        <v>195</v>
      </c>
      <c r="F394" s="2" t="s">
        <v>385</v>
      </c>
      <c r="G394" s="2" t="s">
        <v>34</v>
      </c>
      <c r="H394" s="2" t="s">
        <v>386</v>
      </c>
      <c r="I394" s="2" t="s">
        <v>36</v>
      </c>
      <c r="J394" s="2" t="s">
        <v>37</v>
      </c>
      <c r="K394" s="2" t="s">
        <v>38</v>
      </c>
      <c r="L394" s="2" t="s">
        <v>38</v>
      </c>
      <c r="M394" s="2" t="s">
        <v>39</v>
      </c>
      <c r="N394" s="2" t="s">
        <v>38</v>
      </c>
      <c r="O394" s="2" t="s">
        <v>38</v>
      </c>
      <c r="P394" s="2" t="s">
        <v>387</v>
      </c>
      <c r="Q394" s="2" t="s">
        <v>38</v>
      </c>
      <c r="R394" s="2" t="s">
        <v>98</v>
      </c>
      <c r="S394" s="2" t="s">
        <v>146</v>
      </c>
      <c r="T394" s="2" t="s">
        <v>90</v>
      </c>
      <c r="U394" s="2" t="s">
        <v>44</v>
      </c>
      <c r="V394" s="2" t="s">
        <v>388</v>
      </c>
      <c r="W394" s="2" t="s">
        <v>38</v>
      </c>
      <c r="X394" s="3">
        <v>40935</v>
      </c>
      <c r="Y394" s="2" t="s">
        <v>389</v>
      </c>
      <c r="Z394" s="34"/>
      <c r="AA394" s="2" t="s">
        <v>47</v>
      </c>
      <c r="AB394" s="2" t="s">
        <v>48</v>
      </c>
      <c r="AC394" s="12">
        <f t="shared" si="36"/>
        <v>2012</v>
      </c>
      <c r="AD394" s="12">
        <f t="shared" si="37"/>
        <v>1</v>
      </c>
      <c r="AE394" s="12">
        <f t="shared" si="38"/>
        <v>27</v>
      </c>
      <c r="AF394" s="16">
        <f t="shared" si="39"/>
        <v>7.7</v>
      </c>
      <c r="AG394" s="16">
        <f t="shared" si="40"/>
        <v>30.7</v>
      </c>
      <c r="AH394" s="16" t="str">
        <f t="shared" si="41"/>
        <v/>
      </c>
    </row>
    <row r="395" spans="1:34" x14ac:dyDescent="0.35">
      <c r="A395" s="2" t="s">
        <v>395</v>
      </c>
      <c r="B395" s="2" t="s">
        <v>29</v>
      </c>
      <c r="C395" s="2" t="s">
        <v>30</v>
      </c>
      <c r="D395" s="2" t="s">
        <v>171</v>
      </c>
      <c r="E395" s="2" t="s">
        <v>215</v>
      </c>
      <c r="F395" s="2" t="s">
        <v>361</v>
      </c>
      <c r="G395" s="2" t="s">
        <v>34</v>
      </c>
      <c r="H395" s="2" t="s">
        <v>276</v>
      </c>
      <c r="I395" s="2" t="s">
        <v>111</v>
      </c>
      <c r="J395" s="2" t="s">
        <v>37</v>
      </c>
      <c r="K395" s="2" t="s">
        <v>38</v>
      </c>
      <c r="L395" s="2" t="s">
        <v>38</v>
      </c>
      <c r="M395" s="2" t="s">
        <v>39</v>
      </c>
      <c r="N395" s="2" t="s">
        <v>38</v>
      </c>
      <c r="O395" s="2" t="s">
        <v>38</v>
      </c>
      <c r="P395" s="2" t="s">
        <v>396</v>
      </c>
      <c r="Q395" s="2" t="s">
        <v>38</v>
      </c>
      <c r="R395" s="2" t="s">
        <v>98</v>
      </c>
      <c r="S395" s="2" t="s">
        <v>99</v>
      </c>
      <c r="T395" s="2" t="s">
        <v>90</v>
      </c>
      <c r="U395" s="2" t="s">
        <v>175</v>
      </c>
      <c r="V395" s="2" t="s">
        <v>397</v>
      </c>
      <c r="W395" s="2" t="s">
        <v>38</v>
      </c>
      <c r="X395" s="3">
        <v>40936</v>
      </c>
      <c r="Y395" s="2" t="s">
        <v>398</v>
      </c>
      <c r="Z395" s="4"/>
      <c r="AA395" s="2" t="s">
        <v>47</v>
      </c>
      <c r="AB395" s="2" t="s">
        <v>48</v>
      </c>
      <c r="AC395" s="12">
        <f t="shared" si="36"/>
        <v>2012</v>
      </c>
      <c r="AD395" s="12">
        <f t="shared" si="37"/>
        <v>1</v>
      </c>
      <c r="AE395" s="12">
        <f t="shared" si="38"/>
        <v>28</v>
      </c>
      <c r="AF395" s="16">
        <f t="shared" si="39"/>
        <v>6</v>
      </c>
      <c r="AG395" s="16">
        <f t="shared" si="40"/>
        <v>29.7</v>
      </c>
      <c r="AH395" s="16" t="str">
        <f t="shared" si="41"/>
        <v/>
      </c>
    </row>
    <row r="396" spans="1:34" x14ac:dyDescent="0.35">
      <c r="A396" s="2" t="s">
        <v>402</v>
      </c>
      <c r="B396" s="2" t="s">
        <v>29</v>
      </c>
      <c r="C396" s="2" t="s">
        <v>30</v>
      </c>
      <c r="D396" s="2" t="s">
        <v>171</v>
      </c>
      <c r="E396" s="2" t="s">
        <v>403</v>
      </c>
      <c r="F396" s="2" t="s">
        <v>95</v>
      </c>
      <c r="G396" s="2" t="s">
        <v>34</v>
      </c>
      <c r="H396" s="2" t="s">
        <v>233</v>
      </c>
      <c r="I396" s="2" t="s">
        <v>77</v>
      </c>
      <c r="J396" s="2" t="s">
        <v>37</v>
      </c>
      <c r="K396" s="2" t="s">
        <v>38</v>
      </c>
      <c r="L396" s="2" t="s">
        <v>38</v>
      </c>
      <c r="M396" s="2" t="s">
        <v>39</v>
      </c>
      <c r="N396" s="2" t="s">
        <v>38</v>
      </c>
      <c r="O396" s="2" t="s">
        <v>38</v>
      </c>
      <c r="P396" s="2" t="s">
        <v>404</v>
      </c>
      <c r="Q396" s="2" t="s">
        <v>38</v>
      </c>
      <c r="R396" s="2" t="s">
        <v>41</v>
      </c>
      <c r="S396" s="2" t="s">
        <v>405</v>
      </c>
      <c r="T396" s="2" t="s">
        <v>406</v>
      </c>
      <c r="U396" s="2" t="s">
        <v>407</v>
      </c>
      <c r="V396" s="2" t="s">
        <v>408</v>
      </c>
      <c r="W396" s="2" t="s">
        <v>38</v>
      </c>
      <c r="X396" s="3">
        <v>40937</v>
      </c>
      <c r="Y396" s="2" t="s">
        <v>409</v>
      </c>
      <c r="Z396" s="4"/>
      <c r="AA396" s="2" t="s">
        <v>47</v>
      </c>
      <c r="AB396" s="2" t="s">
        <v>48</v>
      </c>
      <c r="AC396" s="12">
        <f t="shared" si="36"/>
        <v>2012</v>
      </c>
      <c r="AD396" s="12">
        <f t="shared" si="37"/>
        <v>1</v>
      </c>
      <c r="AE396" s="12">
        <f t="shared" si="38"/>
        <v>29</v>
      </c>
      <c r="AF396" s="16">
        <f t="shared" si="39"/>
        <v>1.7</v>
      </c>
      <c r="AG396" s="16">
        <f t="shared" si="40"/>
        <v>28.6</v>
      </c>
      <c r="AH396" s="16" t="str">
        <f t="shared" si="41"/>
        <v/>
      </c>
    </row>
    <row r="397" spans="1:34" x14ac:dyDescent="0.35">
      <c r="A397" s="2" t="s">
        <v>415</v>
      </c>
      <c r="B397" s="2" t="s">
        <v>29</v>
      </c>
      <c r="C397" s="2" t="s">
        <v>30</v>
      </c>
      <c r="D397" s="2" t="s">
        <v>31</v>
      </c>
      <c r="E397" s="2" t="s">
        <v>104</v>
      </c>
      <c r="F397" s="2" t="s">
        <v>352</v>
      </c>
      <c r="G397" s="2" t="s">
        <v>34</v>
      </c>
      <c r="H397" s="2" t="s">
        <v>137</v>
      </c>
      <c r="I397" s="2" t="s">
        <v>111</v>
      </c>
      <c r="J397" s="2" t="s">
        <v>37</v>
      </c>
      <c r="K397" s="2" t="s">
        <v>38</v>
      </c>
      <c r="L397" s="2" t="s">
        <v>38</v>
      </c>
      <c r="M397" s="2" t="s">
        <v>39</v>
      </c>
      <c r="N397" s="2" t="s">
        <v>38</v>
      </c>
      <c r="O397" s="2" t="s">
        <v>38</v>
      </c>
      <c r="P397" s="2" t="s">
        <v>416</v>
      </c>
      <c r="Q397" s="2" t="s">
        <v>38</v>
      </c>
      <c r="R397" s="2" t="s">
        <v>41</v>
      </c>
      <c r="S397" s="2" t="s">
        <v>167</v>
      </c>
      <c r="T397" s="2" t="s">
        <v>417</v>
      </c>
      <c r="U397" s="2" t="s">
        <v>418</v>
      </c>
      <c r="V397" s="2" t="s">
        <v>392</v>
      </c>
      <c r="W397" s="2" t="s">
        <v>38</v>
      </c>
      <c r="X397" s="3">
        <v>40938</v>
      </c>
      <c r="Y397" s="2" t="s">
        <v>419</v>
      </c>
      <c r="Z397" s="34"/>
      <c r="AA397" s="2" t="s">
        <v>47</v>
      </c>
      <c r="AB397" s="2" t="s">
        <v>48</v>
      </c>
      <c r="AC397" s="12">
        <f t="shared" si="36"/>
        <v>2012</v>
      </c>
      <c r="AD397" s="12">
        <f t="shared" si="37"/>
        <v>1</v>
      </c>
      <c r="AE397" s="12">
        <f t="shared" si="38"/>
        <v>30</v>
      </c>
      <c r="AF397" s="16">
        <f t="shared" si="39"/>
        <v>13.4</v>
      </c>
      <c r="AG397" s="16">
        <f t="shared" si="40"/>
        <v>29.9</v>
      </c>
      <c r="AH397" s="16" t="str">
        <f t="shared" si="41"/>
        <v/>
      </c>
    </row>
    <row r="398" spans="1:34" x14ac:dyDescent="0.35">
      <c r="A398" s="2" t="s">
        <v>423</v>
      </c>
      <c r="B398" s="2" t="s">
        <v>29</v>
      </c>
      <c r="C398" s="2" t="s">
        <v>30</v>
      </c>
      <c r="D398" s="2" t="s">
        <v>77</v>
      </c>
      <c r="E398" s="2" t="s">
        <v>30</v>
      </c>
      <c r="F398" s="2" t="s">
        <v>424</v>
      </c>
      <c r="G398" s="2" t="s">
        <v>34</v>
      </c>
      <c r="H398" s="2" t="s">
        <v>425</v>
      </c>
      <c r="I398" s="2" t="s">
        <v>36</v>
      </c>
      <c r="J398" s="2" t="s">
        <v>37</v>
      </c>
      <c r="K398" s="2" t="s">
        <v>38</v>
      </c>
      <c r="L398" s="2" t="s">
        <v>38</v>
      </c>
      <c r="M398" s="2" t="s">
        <v>39</v>
      </c>
      <c r="N398" s="2" t="s">
        <v>38</v>
      </c>
      <c r="O398" s="2" t="s">
        <v>38</v>
      </c>
      <c r="P398" s="2" t="s">
        <v>80</v>
      </c>
      <c r="Q398" s="2" t="s">
        <v>38</v>
      </c>
      <c r="R398" s="2" t="s">
        <v>98</v>
      </c>
      <c r="S398" s="2" t="s">
        <v>89</v>
      </c>
      <c r="T398" s="2" t="s">
        <v>90</v>
      </c>
      <c r="U398" s="2" t="s">
        <v>81</v>
      </c>
      <c r="V398" s="2" t="s">
        <v>248</v>
      </c>
      <c r="W398" s="2" t="s">
        <v>38</v>
      </c>
      <c r="X398" s="3">
        <v>40939</v>
      </c>
      <c r="Y398" s="2" t="s">
        <v>426</v>
      </c>
      <c r="Z398" s="34"/>
      <c r="AA398" s="2" t="s">
        <v>47</v>
      </c>
      <c r="AB398" s="2" t="s">
        <v>48</v>
      </c>
      <c r="AC398" s="12">
        <f t="shared" si="36"/>
        <v>2012</v>
      </c>
      <c r="AD398" s="12">
        <f t="shared" si="37"/>
        <v>1</v>
      </c>
      <c r="AE398" s="12">
        <f t="shared" si="38"/>
        <v>31</v>
      </c>
      <c r="AF398" s="16">
        <f t="shared" si="39"/>
        <v>11.8</v>
      </c>
      <c r="AG398" s="16">
        <f t="shared" si="40"/>
        <v>30.9</v>
      </c>
      <c r="AH398" s="16" t="str">
        <f t="shared" si="41"/>
        <v/>
      </c>
    </row>
    <row r="399" spans="1:34" x14ac:dyDescent="0.35">
      <c r="A399" s="2" t="s">
        <v>431</v>
      </c>
      <c r="B399" s="2" t="s">
        <v>29</v>
      </c>
      <c r="C399" s="2" t="s">
        <v>30</v>
      </c>
      <c r="D399" s="2" t="s">
        <v>31</v>
      </c>
      <c r="E399" s="2" t="s">
        <v>165</v>
      </c>
      <c r="F399" s="2" t="s">
        <v>432</v>
      </c>
      <c r="G399" s="2" t="s">
        <v>34</v>
      </c>
      <c r="H399" s="2" t="s">
        <v>113</v>
      </c>
      <c r="I399" s="2" t="s">
        <v>111</v>
      </c>
      <c r="J399" s="2" t="s">
        <v>37</v>
      </c>
      <c r="K399" s="2" t="s">
        <v>38</v>
      </c>
      <c r="L399" s="2" t="s">
        <v>38</v>
      </c>
      <c r="M399" s="2" t="s">
        <v>39</v>
      </c>
      <c r="N399" s="2" t="s">
        <v>38</v>
      </c>
      <c r="O399" s="2" t="s">
        <v>38</v>
      </c>
      <c r="P399" s="2" t="s">
        <v>264</v>
      </c>
      <c r="Q399" s="2" t="s">
        <v>38</v>
      </c>
      <c r="R399" s="2" t="s">
        <v>98</v>
      </c>
      <c r="S399" s="2" t="s">
        <v>433</v>
      </c>
      <c r="T399" s="2" t="s">
        <v>90</v>
      </c>
      <c r="U399" s="2" t="s">
        <v>100</v>
      </c>
      <c r="V399" s="2" t="s">
        <v>261</v>
      </c>
      <c r="W399" s="2" t="s">
        <v>38</v>
      </c>
      <c r="X399" s="3">
        <v>40940</v>
      </c>
      <c r="Y399" s="2" t="s">
        <v>434</v>
      </c>
      <c r="Z399" s="4"/>
      <c r="AA399" s="2" t="s">
        <v>47</v>
      </c>
      <c r="AB399" s="2" t="s">
        <v>48</v>
      </c>
      <c r="AC399" s="12">
        <f t="shared" si="36"/>
        <v>2012</v>
      </c>
      <c r="AD399" s="12">
        <f t="shared" si="37"/>
        <v>2</v>
      </c>
      <c r="AE399" s="12">
        <f t="shared" si="38"/>
        <v>1</v>
      </c>
      <c r="AF399" s="16">
        <f t="shared" si="39"/>
        <v>8.5</v>
      </c>
      <c r="AG399" s="16">
        <f t="shared" si="40"/>
        <v>30</v>
      </c>
      <c r="AH399" s="16" t="str">
        <f t="shared" si="41"/>
        <v/>
      </c>
    </row>
    <row r="400" spans="1:34" x14ac:dyDescent="0.35">
      <c r="A400" s="2" t="s">
        <v>438</v>
      </c>
      <c r="B400" s="2" t="s">
        <v>29</v>
      </c>
      <c r="C400" s="2" t="s">
        <v>30</v>
      </c>
      <c r="D400" s="2" t="s">
        <v>77</v>
      </c>
      <c r="E400" s="2" t="s">
        <v>165</v>
      </c>
      <c r="F400" s="2" t="s">
        <v>439</v>
      </c>
      <c r="G400" s="2" t="s">
        <v>34</v>
      </c>
      <c r="H400" s="2" t="s">
        <v>240</v>
      </c>
      <c r="I400" s="2" t="s">
        <v>111</v>
      </c>
      <c r="J400" s="2" t="s">
        <v>37</v>
      </c>
      <c r="K400" s="2" t="s">
        <v>38</v>
      </c>
      <c r="L400" s="2" t="s">
        <v>38</v>
      </c>
      <c r="M400" s="2" t="s">
        <v>39</v>
      </c>
      <c r="N400" s="2" t="s">
        <v>38</v>
      </c>
      <c r="O400" s="2" t="s">
        <v>38</v>
      </c>
      <c r="P400" s="2" t="s">
        <v>440</v>
      </c>
      <c r="Q400" s="2" t="s">
        <v>38</v>
      </c>
      <c r="R400" s="2" t="s">
        <v>98</v>
      </c>
      <c r="S400" s="2" t="s">
        <v>441</v>
      </c>
      <c r="T400" s="2" t="s">
        <v>90</v>
      </c>
      <c r="U400" s="2" t="s">
        <v>442</v>
      </c>
      <c r="V400" s="2" t="s">
        <v>443</v>
      </c>
      <c r="W400" s="2" t="s">
        <v>38</v>
      </c>
      <c r="X400" s="3">
        <v>40941</v>
      </c>
      <c r="Y400" s="2" t="s">
        <v>444</v>
      </c>
      <c r="Z400" s="34"/>
      <c r="AA400" s="2" t="s">
        <v>47</v>
      </c>
      <c r="AB400" s="2" t="s">
        <v>48</v>
      </c>
      <c r="AC400" s="12">
        <f t="shared" si="36"/>
        <v>2012</v>
      </c>
      <c r="AD400" s="12">
        <f t="shared" si="37"/>
        <v>2</v>
      </c>
      <c r="AE400" s="12">
        <f t="shared" si="38"/>
        <v>2</v>
      </c>
      <c r="AF400" s="16">
        <f t="shared" si="39"/>
        <v>8.6</v>
      </c>
      <c r="AG400" s="16">
        <f t="shared" si="40"/>
        <v>30.1</v>
      </c>
      <c r="AH400" s="16" t="str">
        <f t="shared" si="41"/>
        <v/>
      </c>
    </row>
    <row r="401" spans="1:34" x14ac:dyDescent="0.35">
      <c r="A401" s="2" t="s">
        <v>448</v>
      </c>
      <c r="B401" s="2" t="s">
        <v>29</v>
      </c>
      <c r="C401" s="2" t="s">
        <v>30</v>
      </c>
      <c r="D401" s="2" t="s">
        <v>77</v>
      </c>
      <c r="E401" s="2" t="s">
        <v>112</v>
      </c>
      <c r="F401" s="2" t="s">
        <v>424</v>
      </c>
      <c r="G401" s="2" t="s">
        <v>34</v>
      </c>
      <c r="H401" s="2" t="s">
        <v>451</v>
      </c>
      <c r="I401" s="2" t="s">
        <v>36</v>
      </c>
      <c r="J401" s="2" t="s">
        <v>37</v>
      </c>
      <c r="K401" s="2" t="s">
        <v>38</v>
      </c>
      <c r="L401" s="2" t="s">
        <v>38</v>
      </c>
      <c r="M401" s="2" t="s">
        <v>39</v>
      </c>
      <c r="N401" s="2" t="s">
        <v>38</v>
      </c>
      <c r="O401" s="2" t="s">
        <v>38</v>
      </c>
      <c r="P401" s="2" t="s">
        <v>452</v>
      </c>
      <c r="Q401" s="2" t="s">
        <v>38</v>
      </c>
      <c r="R401" s="2" t="s">
        <v>98</v>
      </c>
      <c r="S401" s="2" t="s">
        <v>453</v>
      </c>
      <c r="T401" s="2" t="s">
        <v>90</v>
      </c>
      <c r="U401" s="2" t="s">
        <v>442</v>
      </c>
      <c r="V401" s="2" t="s">
        <v>454</v>
      </c>
      <c r="W401" s="2" t="s">
        <v>38</v>
      </c>
      <c r="X401" s="3">
        <v>40942</v>
      </c>
      <c r="Y401" s="2" t="s">
        <v>455</v>
      </c>
      <c r="Z401" s="4"/>
      <c r="AA401" s="2" t="s">
        <v>47</v>
      </c>
      <c r="AB401" s="2" t="s">
        <v>48</v>
      </c>
      <c r="AC401" s="12">
        <f t="shared" si="36"/>
        <v>2012</v>
      </c>
      <c r="AD401" s="12">
        <f t="shared" si="37"/>
        <v>2</v>
      </c>
      <c r="AE401" s="12">
        <f t="shared" si="38"/>
        <v>3</v>
      </c>
      <c r="AF401" s="16">
        <f t="shared" si="39"/>
        <v>9.6</v>
      </c>
      <c r="AG401" s="16">
        <f t="shared" si="40"/>
        <v>30.5</v>
      </c>
      <c r="AH401" s="16" t="str">
        <f t="shared" si="41"/>
        <v/>
      </c>
    </row>
    <row r="402" spans="1:34" x14ac:dyDescent="0.35">
      <c r="A402" s="2" t="s">
        <v>456</v>
      </c>
      <c r="B402" s="2" t="s">
        <v>29</v>
      </c>
      <c r="C402" s="2" t="s">
        <v>30</v>
      </c>
      <c r="D402" s="2" t="s">
        <v>111</v>
      </c>
      <c r="E402" s="2" t="s">
        <v>30</v>
      </c>
      <c r="F402" s="2" t="s">
        <v>462</v>
      </c>
      <c r="G402" s="2" t="s">
        <v>34</v>
      </c>
      <c r="H402" s="2" t="s">
        <v>457</v>
      </c>
      <c r="I402" s="2" t="s">
        <v>128</v>
      </c>
      <c r="J402" s="2" t="s">
        <v>37</v>
      </c>
      <c r="K402" s="2" t="s">
        <v>38</v>
      </c>
      <c r="L402" s="2" t="s">
        <v>38</v>
      </c>
      <c r="M402" s="2" t="s">
        <v>39</v>
      </c>
      <c r="N402" s="2" t="s">
        <v>38</v>
      </c>
      <c r="O402" s="2" t="s">
        <v>38</v>
      </c>
      <c r="P402" s="2" t="s">
        <v>463</v>
      </c>
      <c r="Q402" s="2" t="s">
        <v>38</v>
      </c>
      <c r="R402" s="2" t="s">
        <v>98</v>
      </c>
      <c r="S402" s="2" t="s">
        <v>464</v>
      </c>
      <c r="T402" s="2" t="s">
        <v>90</v>
      </c>
      <c r="U402" s="2" t="s">
        <v>465</v>
      </c>
      <c r="V402" s="2" t="s">
        <v>318</v>
      </c>
      <c r="W402" s="2" t="s">
        <v>38</v>
      </c>
      <c r="X402" s="3">
        <v>40943</v>
      </c>
      <c r="Y402" s="2" t="s">
        <v>466</v>
      </c>
      <c r="Z402" s="4"/>
      <c r="AA402" s="2" t="s">
        <v>47</v>
      </c>
      <c r="AB402" s="2" t="s">
        <v>48</v>
      </c>
      <c r="AC402" s="12">
        <f t="shared" si="36"/>
        <v>2012</v>
      </c>
      <c r="AD402" s="12">
        <f t="shared" si="37"/>
        <v>2</v>
      </c>
      <c r="AE402" s="12">
        <f t="shared" si="38"/>
        <v>4</v>
      </c>
      <c r="AF402" s="16">
        <f t="shared" si="39"/>
        <v>12</v>
      </c>
      <c r="AG402" s="16">
        <f t="shared" si="40"/>
        <v>31.7</v>
      </c>
      <c r="AH402" s="16" t="str">
        <f t="shared" si="41"/>
        <v/>
      </c>
    </row>
    <row r="403" spans="1:34" x14ac:dyDescent="0.35">
      <c r="A403" s="2" t="s">
        <v>467</v>
      </c>
      <c r="B403" s="2" t="s">
        <v>29</v>
      </c>
      <c r="C403" s="2" t="s">
        <v>30</v>
      </c>
      <c r="D403" s="2" t="s">
        <v>111</v>
      </c>
      <c r="E403" s="2" t="s">
        <v>112</v>
      </c>
      <c r="F403" s="2" t="s">
        <v>352</v>
      </c>
      <c r="G403" s="2" t="s">
        <v>34</v>
      </c>
      <c r="H403" s="2" t="s">
        <v>113</v>
      </c>
      <c r="I403" s="2" t="s">
        <v>128</v>
      </c>
      <c r="J403" s="2" t="s">
        <v>37</v>
      </c>
      <c r="K403" s="2" t="s">
        <v>38</v>
      </c>
      <c r="L403" s="2" t="s">
        <v>38</v>
      </c>
      <c r="M403" s="2" t="s">
        <v>39</v>
      </c>
      <c r="N403" s="2" t="s">
        <v>38</v>
      </c>
      <c r="O403" s="2" t="s">
        <v>38</v>
      </c>
      <c r="P403" s="2" t="s">
        <v>145</v>
      </c>
      <c r="Q403" s="2" t="s">
        <v>38</v>
      </c>
      <c r="R403" s="2" t="s">
        <v>98</v>
      </c>
      <c r="S403" s="2" t="s">
        <v>89</v>
      </c>
      <c r="T403" s="2" t="s">
        <v>90</v>
      </c>
      <c r="U403" s="2" t="s">
        <v>470</v>
      </c>
      <c r="V403" s="2" t="s">
        <v>471</v>
      </c>
      <c r="W403" s="2" t="s">
        <v>38</v>
      </c>
      <c r="X403" s="3">
        <v>40944</v>
      </c>
      <c r="Y403" s="2" t="s">
        <v>472</v>
      </c>
      <c r="Z403" s="34"/>
      <c r="AA403" s="2" t="s">
        <v>47</v>
      </c>
      <c r="AB403" s="2" t="s">
        <v>48</v>
      </c>
      <c r="AC403" s="12">
        <f t="shared" si="36"/>
        <v>2012</v>
      </c>
      <c r="AD403" s="12">
        <f t="shared" si="37"/>
        <v>2</v>
      </c>
      <c r="AE403" s="12">
        <f t="shared" si="38"/>
        <v>5</v>
      </c>
      <c r="AF403" s="16">
        <f t="shared" si="39"/>
        <v>10.3</v>
      </c>
      <c r="AG403" s="16">
        <f t="shared" si="40"/>
        <v>31.9</v>
      </c>
      <c r="AH403" s="16" t="str">
        <f t="shared" si="41"/>
        <v/>
      </c>
    </row>
    <row r="404" spans="1:34" x14ac:dyDescent="0.35">
      <c r="A404" s="2" t="s">
        <v>473</v>
      </c>
      <c r="B404" s="2" t="s">
        <v>29</v>
      </c>
      <c r="C404" s="2" t="s">
        <v>30</v>
      </c>
      <c r="D404" s="2" t="s">
        <v>111</v>
      </c>
      <c r="E404" s="2" t="s">
        <v>30</v>
      </c>
      <c r="F404" s="2" t="s">
        <v>307</v>
      </c>
      <c r="G404" s="2" t="s">
        <v>34</v>
      </c>
      <c r="H404" s="2" t="s">
        <v>153</v>
      </c>
      <c r="I404" s="2" t="s">
        <v>114</v>
      </c>
      <c r="J404" s="2" t="s">
        <v>37</v>
      </c>
      <c r="K404" s="2" t="s">
        <v>38</v>
      </c>
      <c r="L404" s="2" t="s">
        <v>38</v>
      </c>
      <c r="M404" s="2" t="s">
        <v>39</v>
      </c>
      <c r="N404" s="2" t="s">
        <v>38</v>
      </c>
      <c r="O404" s="2" t="s">
        <v>38</v>
      </c>
      <c r="P404" s="2" t="s">
        <v>478</v>
      </c>
      <c r="Q404" s="2" t="s">
        <v>38</v>
      </c>
      <c r="R404" s="2" t="s">
        <v>41</v>
      </c>
      <c r="S404" s="2" t="s">
        <v>479</v>
      </c>
      <c r="T404" s="2" t="s">
        <v>480</v>
      </c>
      <c r="U404" s="2" t="s">
        <v>481</v>
      </c>
      <c r="V404" s="2" t="s">
        <v>298</v>
      </c>
      <c r="W404" s="2" t="s">
        <v>38</v>
      </c>
      <c r="X404" s="3">
        <v>40945</v>
      </c>
      <c r="Y404" s="2" t="s">
        <v>482</v>
      </c>
      <c r="Z404" s="4"/>
      <c r="AA404" s="2" t="s">
        <v>47</v>
      </c>
      <c r="AB404" s="2" t="s">
        <v>48</v>
      </c>
      <c r="AC404" s="12">
        <f t="shared" si="36"/>
        <v>2012</v>
      </c>
      <c r="AD404" s="12">
        <f t="shared" si="37"/>
        <v>2</v>
      </c>
      <c r="AE404" s="12">
        <f t="shared" si="38"/>
        <v>6</v>
      </c>
      <c r="AF404" s="16">
        <f t="shared" si="39"/>
        <v>11.9</v>
      </c>
      <c r="AG404" s="16">
        <f t="shared" si="40"/>
        <v>32.799999999999997</v>
      </c>
      <c r="AH404" s="16" t="str">
        <f t="shared" si="41"/>
        <v/>
      </c>
    </row>
    <row r="405" spans="1:34" x14ac:dyDescent="0.35">
      <c r="A405" s="2" t="s">
        <v>483</v>
      </c>
      <c r="B405" s="2" t="s">
        <v>29</v>
      </c>
      <c r="C405" s="2" t="s">
        <v>30</v>
      </c>
      <c r="D405" s="2" t="s">
        <v>31</v>
      </c>
      <c r="E405" s="2" t="s">
        <v>112</v>
      </c>
      <c r="F405" s="2" t="s">
        <v>78</v>
      </c>
      <c r="G405" s="2" t="s">
        <v>34</v>
      </c>
      <c r="H405" s="2" t="s">
        <v>202</v>
      </c>
      <c r="I405" s="2" t="s">
        <v>128</v>
      </c>
      <c r="J405" s="2" t="s">
        <v>37</v>
      </c>
      <c r="K405" s="2" t="s">
        <v>38</v>
      </c>
      <c r="L405" s="2" t="s">
        <v>38</v>
      </c>
      <c r="M405" s="2" t="s">
        <v>39</v>
      </c>
      <c r="N405" s="2" t="s">
        <v>38</v>
      </c>
      <c r="O405" s="2" t="s">
        <v>38</v>
      </c>
      <c r="P405" s="2" t="s">
        <v>487</v>
      </c>
      <c r="Q405" s="2" t="s">
        <v>38</v>
      </c>
      <c r="R405" s="2" t="s">
        <v>98</v>
      </c>
      <c r="S405" s="2" t="s">
        <v>488</v>
      </c>
      <c r="T405" s="2" t="s">
        <v>73</v>
      </c>
      <c r="U405" s="2" t="s">
        <v>278</v>
      </c>
      <c r="V405" s="2" t="s">
        <v>454</v>
      </c>
      <c r="W405" s="2" t="s">
        <v>38</v>
      </c>
      <c r="X405" s="3">
        <v>40946</v>
      </c>
      <c r="Y405" s="2" t="s">
        <v>489</v>
      </c>
      <c r="Z405" s="34"/>
      <c r="AA405" s="2" t="s">
        <v>47</v>
      </c>
      <c r="AB405" s="2" t="s">
        <v>48</v>
      </c>
      <c r="AC405" s="12">
        <f t="shared" si="36"/>
        <v>2012</v>
      </c>
      <c r="AD405" s="12">
        <f t="shared" si="37"/>
        <v>2</v>
      </c>
      <c r="AE405" s="12">
        <f t="shared" si="38"/>
        <v>7</v>
      </c>
      <c r="AF405" s="16">
        <f t="shared" si="39"/>
        <v>9.6</v>
      </c>
      <c r="AG405" s="16">
        <f t="shared" si="40"/>
        <v>31.8</v>
      </c>
      <c r="AH405" s="16" t="str">
        <f t="shared" si="41"/>
        <v/>
      </c>
    </row>
    <row r="406" spans="1:34" x14ac:dyDescent="0.35">
      <c r="A406" s="2" t="s">
        <v>490</v>
      </c>
      <c r="B406" s="2" t="s">
        <v>29</v>
      </c>
      <c r="C406" s="2" t="s">
        <v>30</v>
      </c>
      <c r="D406" s="2" t="s">
        <v>200</v>
      </c>
      <c r="E406" s="2" t="s">
        <v>494</v>
      </c>
      <c r="F406" s="2" t="s">
        <v>126</v>
      </c>
      <c r="G406" s="2" t="s">
        <v>34</v>
      </c>
      <c r="H406" s="2" t="s">
        <v>87</v>
      </c>
      <c r="I406" s="2" t="s">
        <v>77</v>
      </c>
      <c r="J406" s="2" t="s">
        <v>37</v>
      </c>
      <c r="K406" s="2" t="s">
        <v>38</v>
      </c>
      <c r="L406" s="2" t="s">
        <v>38</v>
      </c>
      <c r="M406" s="2" t="s">
        <v>39</v>
      </c>
      <c r="N406" s="2" t="s">
        <v>38</v>
      </c>
      <c r="O406" s="2" t="s">
        <v>38</v>
      </c>
      <c r="P406" s="2" t="s">
        <v>495</v>
      </c>
      <c r="Q406" s="2" t="s">
        <v>38</v>
      </c>
      <c r="R406" s="2" t="s">
        <v>98</v>
      </c>
      <c r="S406" s="2" t="s">
        <v>496</v>
      </c>
      <c r="T406" s="2" t="s">
        <v>73</v>
      </c>
      <c r="U406" s="2" t="s">
        <v>205</v>
      </c>
      <c r="V406" s="2" t="s">
        <v>497</v>
      </c>
      <c r="W406" s="2" t="s">
        <v>38</v>
      </c>
      <c r="X406" s="3">
        <v>40947</v>
      </c>
      <c r="Y406" s="2" t="s">
        <v>498</v>
      </c>
      <c r="Z406" s="4"/>
      <c r="AA406" s="2" t="s">
        <v>47</v>
      </c>
      <c r="AB406" s="2" t="s">
        <v>48</v>
      </c>
      <c r="AC406" s="12">
        <f t="shared" si="36"/>
        <v>2012</v>
      </c>
      <c r="AD406" s="12">
        <f t="shared" si="37"/>
        <v>2</v>
      </c>
      <c r="AE406" s="12">
        <f t="shared" si="38"/>
        <v>8</v>
      </c>
      <c r="AF406" s="16">
        <f t="shared" si="39"/>
        <v>104.6</v>
      </c>
      <c r="AG406" s="16">
        <f t="shared" si="40"/>
        <v>29.3</v>
      </c>
      <c r="AH406" s="16" t="str">
        <f t="shared" si="41"/>
        <v/>
      </c>
    </row>
    <row r="407" spans="1:34" x14ac:dyDescent="0.35">
      <c r="A407" s="2" t="s">
        <v>499</v>
      </c>
      <c r="B407" s="2" t="s">
        <v>29</v>
      </c>
      <c r="C407" s="2" t="s">
        <v>30</v>
      </c>
      <c r="D407" s="2" t="s">
        <v>171</v>
      </c>
      <c r="E407" s="2" t="s">
        <v>494</v>
      </c>
      <c r="F407" s="2" t="s">
        <v>330</v>
      </c>
      <c r="G407" s="2" t="s">
        <v>34</v>
      </c>
      <c r="H407" s="2" t="s">
        <v>475</v>
      </c>
      <c r="I407" s="2" t="s">
        <v>77</v>
      </c>
      <c r="J407" s="2" t="s">
        <v>37</v>
      </c>
      <c r="K407" s="2" t="s">
        <v>38</v>
      </c>
      <c r="L407" s="2" t="s">
        <v>38</v>
      </c>
      <c r="M407" s="2" t="s">
        <v>39</v>
      </c>
      <c r="N407" s="2" t="s">
        <v>38</v>
      </c>
      <c r="O407" s="2" t="s">
        <v>38</v>
      </c>
      <c r="P407" s="2" t="s">
        <v>506</v>
      </c>
      <c r="Q407" s="2" t="s">
        <v>38</v>
      </c>
      <c r="R407" s="2" t="s">
        <v>98</v>
      </c>
      <c r="S407" s="2" t="s">
        <v>507</v>
      </c>
      <c r="T407" s="2" t="s">
        <v>73</v>
      </c>
      <c r="U407" s="2" t="s">
        <v>265</v>
      </c>
      <c r="V407" s="2" t="s">
        <v>508</v>
      </c>
      <c r="W407" s="2" t="s">
        <v>38</v>
      </c>
      <c r="X407" s="3">
        <v>40948</v>
      </c>
      <c r="Y407" s="2" t="s">
        <v>509</v>
      </c>
      <c r="Z407" s="34"/>
      <c r="AA407" s="2" t="s">
        <v>47</v>
      </c>
      <c r="AB407" s="2" t="s">
        <v>48</v>
      </c>
      <c r="AC407" s="12">
        <f t="shared" si="36"/>
        <v>2012</v>
      </c>
      <c r="AD407" s="12">
        <f t="shared" si="37"/>
        <v>2</v>
      </c>
      <c r="AE407" s="12">
        <f t="shared" si="38"/>
        <v>9</v>
      </c>
      <c r="AF407" s="16">
        <f t="shared" si="39"/>
        <v>105.4</v>
      </c>
      <c r="AG407" s="16">
        <f t="shared" si="40"/>
        <v>28.9</v>
      </c>
      <c r="AH407" s="16" t="str">
        <f t="shared" si="41"/>
        <v/>
      </c>
    </row>
    <row r="408" spans="1:34" x14ac:dyDescent="0.35">
      <c r="A408" s="2" t="s">
        <v>510</v>
      </c>
      <c r="B408" s="2" t="s">
        <v>29</v>
      </c>
      <c r="C408" s="2" t="s">
        <v>30</v>
      </c>
      <c r="D408" s="2" t="s">
        <v>77</v>
      </c>
      <c r="E408" s="2" t="s">
        <v>151</v>
      </c>
      <c r="F408" s="2" t="s">
        <v>515</v>
      </c>
      <c r="G408" s="2" t="s">
        <v>34</v>
      </c>
      <c r="H408" s="2" t="s">
        <v>276</v>
      </c>
      <c r="I408" s="2" t="s">
        <v>111</v>
      </c>
      <c r="J408" s="2" t="s">
        <v>37</v>
      </c>
      <c r="K408" s="2" t="s">
        <v>38</v>
      </c>
      <c r="L408" s="2" t="s">
        <v>38</v>
      </c>
      <c r="M408" s="2" t="s">
        <v>39</v>
      </c>
      <c r="N408" s="2" t="s">
        <v>38</v>
      </c>
      <c r="O408" s="2" t="s">
        <v>38</v>
      </c>
      <c r="P408" s="2" t="s">
        <v>516</v>
      </c>
      <c r="Q408" s="2" t="s">
        <v>38</v>
      </c>
      <c r="R408" s="2" t="s">
        <v>98</v>
      </c>
      <c r="S408" s="2" t="s">
        <v>517</v>
      </c>
      <c r="T408" s="2" t="s">
        <v>73</v>
      </c>
      <c r="U408" s="2" t="s">
        <v>442</v>
      </c>
      <c r="V408" s="2" t="s">
        <v>518</v>
      </c>
      <c r="W408" s="2" t="s">
        <v>38</v>
      </c>
      <c r="X408" s="3">
        <v>40949</v>
      </c>
      <c r="Y408" s="2" t="s">
        <v>519</v>
      </c>
      <c r="Z408" s="4"/>
      <c r="AA408" s="2" t="s">
        <v>47</v>
      </c>
      <c r="AB408" s="2" t="s">
        <v>48</v>
      </c>
      <c r="AC408" s="12">
        <f t="shared" si="36"/>
        <v>2012</v>
      </c>
      <c r="AD408" s="12">
        <f t="shared" si="37"/>
        <v>2</v>
      </c>
      <c r="AE408" s="12">
        <f t="shared" si="38"/>
        <v>10</v>
      </c>
      <c r="AF408" s="16">
        <f t="shared" si="39"/>
        <v>3.3</v>
      </c>
      <c r="AG408" s="16">
        <f t="shared" si="40"/>
        <v>29.8</v>
      </c>
      <c r="AH408" s="16" t="str">
        <f t="shared" si="41"/>
        <v/>
      </c>
    </row>
    <row r="409" spans="1:34" x14ac:dyDescent="0.35">
      <c r="A409" s="2" t="s">
        <v>520</v>
      </c>
      <c r="B409" s="2" t="s">
        <v>29</v>
      </c>
      <c r="C409" s="2" t="s">
        <v>30</v>
      </c>
      <c r="D409" s="2" t="s">
        <v>111</v>
      </c>
      <c r="E409" s="2" t="s">
        <v>215</v>
      </c>
      <c r="F409" s="2" t="s">
        <v>300</v>
      </c>
      <c r="G409" s="2" t="s">
        <v>34</v>
      </c>
      <c r="H409" s="2" t="s">
        <v>35</v>
      </c>
      <c r="I409" s="2" t="s">
        <v>128</v>
      </c>
      <c r="J409" s="2" t="s">
        <v>37</v>
      </c>
      <c r="K409" s="2" t="s">
        <v>38</v>
      </c>
      <c r="L409" s="2" t="s">
        <v>38</v>
      </c>
      <c r="M409" s="2" t="s">
        <v>39</v>
      </c>
      <c r="N409" s="2" t="s">
        <v>38</v>
      </c>
      <c r="O409" s="2" t="s">
        <v>38</v>
      </c>
      <c r="P409" s="2" t="s">
        <v>523</v>
      </c>
      <c r="Q409" s="2" t="s">
        <v>38</v>
      </c>
      <c r="R409" s="2" t="s">
        <v>98</v>
      </c>
      <c r="S409" s="2" t="s">
        <v>524</v>
      </c>
      <c r="T409" s="2" t="s">
        <v>90</v>
      </c>
      <c r="U409" s="2" t="s">
        <v>465</v>
      </c>
      <c r="V409" s="2" t="s">
        <v>525</v>
      </c>
      <c r="W409" s="2" t="s">
        <v>38</v>
      </c>
      <c r="X409" s="3">
        <v>40950</v>
      </c>
      <c r="Y409" s="2" t="s">
        <v>526</v>
      </c>
      <c r="Z409" s="34"/>
      <c r="AA409" s="2" t="s">
        <v>47</v>
      </c>
      <c r="AB409" s="2" t="s">
        <v>48</v>
      </c>
      <c r="AC409" s="12">
        <f t="shared" si="36"/>
        <v>2012</v>
      </c>
      <c r="AD409" s="12">
        <f t="shared" si="37"/>
        <v>2</v>
      </c>
      <c r="AE409" s="12">
        <f t="shared" si="38"/>
        <v>11</v>
      </c>
      <c r="AF409" s="16">
        <f t="shared" si="39"/>
        <v>6.4</v>
      </c>
      <c r="AG409" s="16">
        <f t="shared" si="40"/>
        <v>32</v>
      </c>
      <c r="AH409" s="16" t="str">
        <f t="shared" si="41"/>
        <v/>
      </c>
    </row>
    <row r="410" spans="1:34" x14ac:dyDescent="0.35">
      <c r="A410" s="2" t="s">
        <v>527</v>
      </c>
      <c r="B410" s="2" t="s">
        <v>29</v>
      </c>
      <c r="C410" s="2" t="s">
        <v>30</v>
      </c>
      <c r="D410" s="2" t="s">
        <v>36</v>
      </c>
      <c r="E410" s="2" t="s">
        <v>511</v>
      </c>
      <c r="F410" s="2" t="s">
        <v>530</v>
      </c>
      <c r="G410" s="2" t="s">
        <v>34</v>
      </c>
      <c r="H410" s="2" t="s">
        <v>276</v>
      </c>
      <c r="I410" s="2" t="s">
        <v>531</v>
      </c>
      <c r="J410" s="2" t="s">
        <v>37</v>
      </c>
      <c r="K410" s="2" t="s">
        <v>38</v>
      </c>
      <c r="L410" s="2" t="s">
        <v>38</v>
      </c>
      <c r="M410" s="2" t="s">
        <v>39</v>
      </c>
      <c r="N410" s="2" t="s">
        <v>38</v>
      </c>
      <c r="O410" s="2" t="s">
        <v>38</v>
      </c>
      <c r="P410" s="2" t="s">
        <v>532</v>
      </c>
      <c r="Q410" s="2" t="s">
        <v>38</v>
      </c>
      <c r="R410" s="2" t="s">
        <v>98</v>
      </c>
      <c r="S410" s="2" t="s">
        <v>533</v>
      </c>
      <c r="T410" s="2" t="s">
        <v>90</v>
      </c>
      <c r="U410" s="2" t="s">
        <v>534</v>
      </c>
      <c r="V410" s="2" t="s">
        <v>535</v>
      </c>
      <c r="W410" s="2" t="s">
        <v>38</v>
      </c>
      <c r="X410" s="3">
        <v>40951</v>
      </c>
      <c r="Y410" s="2" t="s">
        <v>536</v>
      </c>
      <c r="Z410" s="4"/>
      <c r="AA410" s="2" t="s">
        <v>47</v>
      </c>
      <c r="AB410" s="2" t="s">
        <v>48</v>
      </c>
      <c r="AC410" s="12">
        <f t="shared" si="36"/>
        <v>2012</v>
      </c>
      <c r="AD410" s="12">
        <f t="shared" si="37"/>
        <v>2</v>
      </c>
      <c r="AE410" s="12">
        <f t="shared" si="38"/>
        <v>12</v>
      </c>
      <c r="AF410" s="16">
        <f t="shared" si="39"/>
        <v>3.8</v>
      </c>
      <c r="AG410" s="16">
        <f t="shared" si="40"/>
        <v>34</v>
      </c>
      <c r="AH410" s="16" t="str">
        <f t="shared" si="41"/>
        <v/>
      </c>
    </row>
    <row r="411" spans="1:34" x14ac:dyDescent="0.35">
      <c r="A411" s="2" t="s">
        <v>537</v>
      </c>
      <c r="B411" s="2" t="s">
        <v>29</v>
      </c>
      <c r="C411" s="2" t="s">
        <v>30</v>
      </c>
      <c r="D411" s="2" t="s">
        <v>36</v>
      </c>
      <c r="E411" s="2" t="s">
        <v>250</v>
      </c>
      <c r="F411" s="2" t="s">
        <v>275</v>
      </c>
      <c r="G411" s="2" t="s">
        <v>34</v>
      </c>
      <c r="H411" s="2" t="s">
        <v>379</v>
      </c>
      <c r="I411" s="2" t="s">
        <v>531</v>
      </c>
      <c r="J411" s="2" t="s">
        <v>37</v>
      </c>
      <c r="K411" s="2" t="s">
        <v>38</v>
      </c>
      <c r="L411" s="2" t="s">
        <v>38</v>
      </c>
      <c r="M411" s="2" t="s">
        <v>39</v>
      </c>
      <c r="N411" s="2" t="s">
        <v>38</v>
      </c>
      <c r="O411" s="2" t="s">
        <v>38</v>
      </c>
      <c r="P411" s="2" t="s">
        <v>540</v>
      </c>
      <c r="Q411" s="2" t="s">
        <v>38</v>
      </c>
      <c r="R411" s="2" t="s">
        <v>98</v>
      </c>
      <c r="S411" s="2" t="s">
        <v>541</v>
      </c>
      <c r="T411" s="2" t="s">
        <v>90</v>
      </c>
      <c r="U411" s="2" t="s">
        <v>542</v>
      </c>
      <c r="V411" s="2" t="s">
        <v>254</v>
      </c>
      <c r="W411" s="2" t="s">
        <v>38</v>
      </c>
      <c r="X411" s="3">
        <v>40952</v>
      </c>
      <c r="Y411" s="2" t="s">
        <v>543</v>
      </c>
      <c r="Z411" s="34"/>
      <c r="AA411" s="2" t="s">
        <v>47</v>
      </c>
      <c r="AB411" s="2" t="s">
        <v>48</v>
      </c>
      <c r="AC411" s="12">
        <f t="shared" si="36"/>
        <v>2012</v>
      </c>
      <c r="AD411" s="12">
        <f t="shared" si="37"/>
        <v>2</v>
      </c>
      <c r="AE411" s="12">
        <f t="shared" si="38"/>
        <v>13</v>
      </c>
      <c r="AF411" s="16">
        <f t="shared" si="39"/>
        <v>5.5</v>
      </c>
      <c r="AG411" s="16">
        <f t="shared" si="40"/>
        <v>34.4</v>
      </c>
      <c r="AH411" s="16" t="str">
        <f t="shared" si="41"/>
        <v/>
      </c>
    </row>
    <row r="412" spans="1:34" x14ac:dyDescent="0.35">
      <c r="A412" s="2" t="s">
        <v>544</v>
      </c>
      <c r="B412" s="2" t="s">
        <v>29</v>
      </c>
      <c r="C412" s="2" t="s">
        <v>30</v>
      </c>
      <c r="D412" s="2" t="s">
        <v>36</v>
      </c>
      <c r="E412" s="2" t="s">
        <v>181</v>
      </c>
      <c r="F412" s="2" t="s">
        <v>547</v>
      </c>
      <c r="G412" s="2" t="s">
        <v>34</v>
      </c>
      <c r="H412" s="2" t="s">
        <v>137</v>
      </c>
      <c r="I412" s="2" t="s">
        <v>531</v>
      </c>
      <c r="J412" s="2" t="s">
        <v>37</v>
      </c>
      <c r="K412" s="2" t="s">
        <v>38</v>
      </c>
      <c r="L412" s="2" t="s">
        <v>38</v>
      </c>
      <c r="M412" s="2" t="s">
        <v>39</v>
      </c>
      <c r="N412" s="2" t="s">
        <v>38</v>
      </c>
      <c r="O412" s="2" t="s">
        <v>38</v>
      </c>
      <c r="P412" s="2" t="s">
        <v>548</v>
      </c>
      <c r="Q412" s="2" t="s">
        <v>38</v>
      </c>
      <c r="R412" s="2" t="s">
        <v>98</v>
      </c>
      <c r="S412" s="2" t="s">
        <v>146</v>
      </c>
      <c r="T412" s="2" t="s">
        <v>90</v>
      </c>
      <c r="U412" s="2" t="s">
        <v>542</v>
      </c>
      <c r="V412" s="2" t="s">
        <v>549</v>
      </c>
      <c r="W412" s="2" t="s">
        <v>38</v>
      </c>
      <c r="X412" s="3">
        <v>40953</v>
      </c>
      <c r="Y412" s="2" t="s">
        <v>550</v>
      </c>
      <c r="Z412" s="4"/>
      <c r="AA412" s="2" t="s">
        <v>47</v>
      </c>
      <c r="AB412" s="2" t="s">
        <v>48</v>
      </c>
      <c r="AC412" s="12">
        <f t="shared" si="36"/>
        <v>2012</v>
      </c>
      <c r="AD412" s="12">
        <f t="shared" si="37"/>
        <v>2</v>
      </c>
      <c r="AE412" s="12">
        <f t="shared" si="38"/>
        <v>14</v>
      </c>
      <c r="AF412" s="16">
        <f t="shared" si="39"/>
        <v>6.7</v>
      </c>
      <c r="AG412" s="16">
        <f t="shared" si="40"/>
        <v>33.6</v>
      </c>
      <c r="AH412" s="16" t="str">
        <f t="shared" si="41"/>
        <v/>
      </c>
    </row>
    <row r="413" spans="1:34" x14ac:dyDescent="0.35">
      <c r="A413" s="2" t="s">
        <v>551</v>
      </c>
      <c r="B413" s="2" t="s">
        <v>29</v>
      </c>
      <c r="C413" s="2" t="s">
        <v>30</v>
      </c>
      <c r="D413" s="2" t="s">
        <v>77</v>
      </c>
      <c r="E413" s="2" t="s">
        <v>403</v>
      </c>
      <c r="F413" s="2" t="s">
        <v>78</v>
      </c>
      <c r="G413" s="2" t="s">
        <v>34</v>
      </c>
      <c r="H413" s="2" t="s">
        <v>276</v>
      </c>
      <c r="I413" s="2" t="s">
        <v>128</v>
      </c>
      <c r="J413" s="2" t="s">
        <v>37</v>
      </c>
      <c r="K413" s="2" t="s">
        <v>38</v>
      </c>
      <c r="L413" s="2" t="s">
        <v>38</v>
      </c>
      <c r="M413" s="2" t="s">
        <v>39</v>
      </c>
      <c r="N413" s="2" t="s">
        <v>38</v>
      </c>
      <c r="O413" s="2" t="s">
        <v>38</v>
      </c>
      <c r="P413" s="2" t="s">
        <v>145</v>
      </c>
      <c r="Q413" s="2" t="s">
        <v>38</v>
      </c>
      <c r="R413" s="2" t="s">
        <v>98</v>
      </c>
      <c r="S413" s="2" t="s">
        <v>552</v>
      </c>
      <c r="T413" s="2" t="s">
        <v>90</v>
      </c>
      <c r="U413" s="2" t="s">
        <v>553</v>
      </c>
      <c r="V413" s="2" t="s">
        <v>554</v>
      </c>
      <c r="W413" s="2" t="s">
        <v>38</v>
      </c>
      <c r="X413" s="3">
        <v>40954</v>
      </c>
      <c r="Y413" s="2" t="s">
        <v>555</v>
      </c>
      <c r="Z413" s="34"/>
      <c r="AA413" s="2" t="s">
        <v>47</v>
      </c>
      <c r="AB413" s="2" t="s">
        <v>48</v>
      </c>
      <c r="AC413" s="12">
        <f t="shared" si="36"/>
        <v>2012</v>
      </c>
      <c r="AD413" s="12">
        <f t="shared" si="37"/>
        <v>2</v>
      </c>
      <c r="AE413" s="12">
        <f t="shared" si="38"/>
        <v>15</v>
      </c>
      <c r="AF413" s="16">
        <f t="shared" si="39"/>
        <v>2.2999999999999998</v>
      </c>
      <c r="AG413" s="16">
        <f t="shared" si="40"/>
        <v>31.9</v>
      </c>
      <c r="AH413" s="16" t="str">
        <f t="shared" si="41"/>
        <v/>
      </c>
    </row>
    <row r="414" spans="1:34" x14ac:dyDescent="0.35">
      <c r="A414" s="2" t="s">
        <v>558</v>
      </c>
      <c r="B414" s="2" t="s">
        <v>29</v>
      </c>
      <c r="C414" s="2" t="s">
        <v>30</v>
      </c>
      <c r="D414" s="2" t="s">
        <v>31</v>
      </c>
      <c r="E414" s="2" t="s">
        <v>562</v>
      </c>
      <c r="F414" s="2" t="s">
        <v>547</v>
      </c>
      <c r="G414" s="2" t="s">
        <v>34</v>
      </c>
      <c r="H414" s="2" t="s">
        <v>295</v>
      </c>
      <c r="I414" s="2" t="s">
        <v>36</v>
      </c>
      <c r="J414" s="2" t="s">
        <v>37</v>
      </c>
      <c r="K414" s="2" t="s">
        <v>38</v>
      </c>
      <c r="L414" s="2" t="s">
        <v>38</v>
      </c>
      <c r="M414" s="2" t="s">
        <v>39</v>
      </c>
      <c r="N414" s="2" t="s">
        <v>38</v>
      </c>
      <c r="O414" s="2" t="s">
        <v>38</v>
      </c>
      <c r="P414" s="2" t="s">
        <v>80</v>
      </c>
      <c r="Q414" s="2" t="s">
        <v>38</v>
      </c>
      <c r="R414" s="2" t="s">
        <v>98</v>
      </c>
      <c r="S414" s="2" t="s">
        <v>563</v>
      </c>
      <c r="T414" s="2" t="s">
        <v>90</v>
      </c>
      <c r="U414" s="2" t="s">
        <v>44</v>
      </c>
      <c r="V414" s="2" t="s">
        <v>564</v>
      </c>
      <c r="W414" s="2" t="s">
        <v>38</v>
      </c>
      <c r="X414" s="3">
        <v>40955</v>
      </c>
      <c r="Y414" s="2" t="s">
        <v>565</v>
      </c>
      <c r="Z414" s="4"/>
      <c r="AA414" s="2" t="s">
        <v>47</v>
      </c>
      <c r="AB414" s="2" t="s">
        <v>48</v>
      </c>
      <c r="AC414" s="12">
        <f t="shared" si="36"/>
        <v>2012</v>
      </c>
      <c r="AD414" s="12">
        <f t="shared" si="37"/>
        <v>2</v>
      </c>
      <c r="AE414" s="12">
        <f t="shared" si="38"/>
        <v>16</v>
      </c>
      <c r="AF414" s="16">
        <f t="shared" si="39"/>
        <v>0</v>
      </c>
      <c r="AG414" s="16">
        <f t="shared" si="40"/>
        <v>30.9</v>
      </c>
      <c r="AH414" s="16" t="str">
        <f t="shared" si="41"/>
        <v/>
      </c>
    </row>
    <row r="415" spans="1:34" x14ac:dyDescent="0.35">
      <c r="A415" s="2" t="s">
        <v>566</v>
      </c>
      <c r="B415" s="2" t="s">
        <v>29</v>
      </c>
      <c r="C415" s="2" t="s">
        <v>30</v>
      </c>
      <c r="D415" s="2" t="s">
        <v>36</v>
      </c>
      <c r="E415" s="2" t="s">
        <v>172</v>
      </c>
      <c r="F415" s="2" t="s">
        <v>287</v>
      </c>
      <c r="G415" s="2" t="s">
        <v>34</v>
      </c>
      <c r="H415" s="2" t="s">
        <v>173</v>
      </c>
      <c r="I415" s="2" t="s">
        <v>128</v>
      </c>
      <c r="J415" s="2" t="s">
        <v>37</v>
      </c>
      <c r="K415" s="2" t="s">
        <v>38</v>
      </c>
      <c r="L415" s="2" t="s">
        <v>38</v>
      </c>
      <c r="M415" s="2" t="s">
        <v>39</v>
      </c>
      <c r="N415" s="2" t="s">
        <v>38</v>
      </c>
      <c r="O415" s="2" t="s">
        <v>38</v>
      </c>
      <c r="P415" s="2" t="s">
        <v>567</v>
      </c>
      <c r="Q415" s="2" t="s">
        <v>38</v>
      </c>
      <c r="R415" s="2" t="s">
        <v>98</v>
      </c>
      <c r="S415" s="2" t="s">
        <v>89</v>
      </c>
      <c r="T415" s="2" t="s">
        <v>90</v>
      </c>
      <c r="U415" s="2" t="s">
        <v>568</v>
      </c>
      <c r="V415" s="2" t="s">
        <v>569</v>
      </c>
      <c r="W415" s="2" t="s">
        <v>38</v>
      </c>
      <c r="X415" s="3">
        <v>40956</v>
      </c>
      <c r="Y415" s="2" t="s">
        <v>570</v>
      </c>
      <c r="Z415" s="34"/>
      <c r="AA415" s="2" t="s">
        <v>47</v>
      </c>
      <c r="AB415" s="2" t="s">
        <v>48</v>
      </c>
      <c r="AC415" s="12">
        <f t="shared" si="36"/>
        <v>2012</v>
      </c>
      <c r="AD415" s="12">
        <f t="shared" si="37"/>
        <v>2</v>
      </c>
      <c r="AE415" s="12">
        <f t="shared" si="38"/>
        <v>17</v>
      </c>
      <c r="AF415" s="16">
        <f t="shared" si="39"/>
        <v>4.7</v>
      </c>
      <c r="AG415" s="16">
        <f t="shared" si="40"/>
        <v>32.200000000000003</v>
      </c>
      <c r="AH415" s="16" t="str">
        <f t="shared" si="41"/>
        <v/>
      </c>
    </row>
    <row r="416" spans="1:34" x14ac:dyDescent="0.35">
      <c r="A416" s="2" t="s">
        <v>573</v>
      </c>
      <c r="B416" s="2" t="s">
        <v>29</v>
      </c>
      <c r="C416" s="2" t="s">
        <v>30</v>
      </c>
      <c r="D416" s="2" t="s">
        <v>128</v>
      </c>
      <c r="E416" s="2" t="s">
        <v>142</v>
      </c>
      <c r="F416" s="2" t="s">
        <v>330</v>
      </c>
      <c r="G416" s="2" t="s">
        <v>34</v>
      </c>
      <c r="H416" s="2" t="s">
        <v>428</v>
      </c>
      <c r="I416" s="2" t="s">
        <v>531</v>
      </c>
      <c r="J416" s="2" t="s">
        <v>37</v>
      </c>
      <c r="K416" s="2" t="s">
        <v>38</v>
      </c>
      <c r="L416" s="2" t="s">
        <v>38</v>
      </c>
      <c r="M416" s="2" t="s">
        <v>39</v>
      </c>
      <c r="N416" s="2" t="s">
        <v>38</v>
      </c>
      <c r="O416" s="2" t="s">
        <v>38</v>
      </c>
      <c r="P416" s="2" t="s">
        <v>532</v>
      </c>
      <c r="Q416" s="2" t="s">
        <v>38</v>
      </c>
      <c r="R416" s="2" t="s">
        <v>41</v>
      </c>
      <c r="S416" s="2" t="s">
        <v>159</v>
      </c>
      <c r="T416" s="2" t="s">
        <v>345</v>
      </c>
      <c r="U416" s="2" t="s">
        <v>576</v>
      </c>
      <c r="V416" s="2" t="s">
        <v>211</v>
      </c>
      <c r="W416" s="2" t="s">
        <v>38</v>
      </c>
      <c r="X416" s="3">
        <v>40957</v>
      </c>
      <c r="Y416" s="2" t="s">
        <v>577</v>
      </c>
      <c r="Z416" s="34"/>
      <c r="AA416" s="2" t="s">
        <v>47</v>
      </c>
      <c r="AB416" s="2" t="s">
        <v>48</v>
      </c>
      <c r="AC416" s="12">
        <f t="shared" si="36"/>
        <v>2012</v>
      </c>
      <c r="AD416" s="12">
        <f t="shared" si="37"/>
        <v>2</v>
      </c>
      <c r="AE416" s="12">
        <f t="shared" si="38"/>
        <v>18</v>
      </c>
      <c r="AF416" s="16">
        <f t="shared" si="39"/>
        <v>11</v>
      </c>
      <c r="AG416" s="16">
        <f t="shared" si="40"/>
        <v>34</v>
      </c>
      <c r="AH416" s="16" t="str">
        <f t="shared" si="41"/>
        <v/>
      </c>
    </row>
    <row r="417" spans="1:34" x14ac:dyDescent="0.35">
      <c r="A417" s="2" t="s">
        <v>578</v>
      </c>
      <c r="B417" s="2" t="s">
        <v>29</v>
      </c>
      <c r="C417" s="2" t="s">
        <v>30</v>
      </c>
      <c r="D417" s="2" t="s">
        <v>114</v>
      </c>
      <c r="E417" s="2" t="s">
        <v>165</v>
      </c>
      <c r="F417" s="2" t="s">
        <v>78</v>
      </c>
      <c r="G417" s="2" t="s">
        <v>34</v>
      </c>
      <c r="H417" s="2" t="s">
        <v>233</v>
      </c>
      <c r="I417" s="2" t="s">
        <v>583</v>
      </c>
      <c r="J417" s="2" t="s">
        <v>37</v>
      </c>
      <c r="K417" s="2" t="s">
        <v>38</v>
      </c>
      <c r="L417" s="2" t="s">
        <v>38</v>
      </c>
      <c r="M417" s="2" t="s">
        <v>39</v>
      </c>
      <c r="N417" s="2" t="s">
        <v>38</v>
      </c>
      <c r="O417" s="2" t="s">
        <v>38</v>
      </c>
      <c r="P417" s="2" t="s">
        <v>584</v>
      </c>
      <c r="Q417" s="2" t="s">
        <v>38</v>
      </c>
      <c r="R417" s="2" t="s">
        <v>98</v>
      </c>
      <c r="S417" s="2" t="s">
        <v>204</v>
      </c>
      <c r="T417" s="2" t="s">
        <v>90</v>
      </c>
      <c r="U417" s="2" t="s">
        <v>585</v>
      </c>
      <c r="V417" s="2" t="s">
        <v>586</v>
      </c>
      <c r="W417" s="2" t="s">
        <v>38</v>
      </c>
      <c r="X417" s="3">
        <v>40958</v>
      </c>
      <c r="Y417" s="2" t="s">
        <v>587</v>
      </c>
      <c r="Z417" s="4"/>
      <c r="AA417" s="2" t="s">
        <v>47</v>
      </c>
      <c r="AB417" s="2" t="s">
        <v>48</v>
      </c>
      <c r="AC417" s="12">
        <f t="shared" si="36"/>
        <v>2012</v>
      </c>
      <c r="AD417" s="12">
        <f t="shared" si="37"/>
        <v>2</v>
      </c>
      <c r="AE417" s="12">
        <f t="shared" si="38"/>
        <v>19</v>
      </c>
      <c r="AF417" s="16">
        <f t="shared" si="39"/>
        <v>8.8000000000000007</v>
      </c>
      <c r="AG417" s="16">
        <f t="shared" si="40"/>
        <v>35.1</v>
      </c>
      <c r="AH417" s="16" t="str">
        <f t="shared" si="41"/>
        <v/>
      </c>
    </row>
    <row r="418" spans="1:34" x14ac:dyDescent="0.35">
      <c r="A418" s="2" t="s">
        <v>588</v>
      </c>
      <c r="B418" s="2" t="s">
        <v>29</v>
      </c>
      <c r="C418" s="2" t="s">
        <v>30</v>
      </c>
      <c r="D418" s="2" t="s">
        <v>114</v>
      </c>
      <c r="E418" s="2" t="s">
        <v>181</v>
      </c>
      <c r="F418" s="2" t="s">
        <v>530</v>
      </c>
      <c r="G418" s="2" t="s">
        <v>34</v>
      </c>
      <c r="H418" s="2" t="s">
        <v>246</v>
      </c>
      <c r="I418" s="2" t="s">
        <v>583</v>
      </c>
      <c r="J418" s="2" t="s">
        <v>37</v>
      </c>
      <c r="K418" s="2" t="s">
        <v>38</v>
      </c>
      <c r="L418" s="2" t="s">
        <v>38</v>
      </c>
      <c r="M418" s="2" t="s">
        <v>39</v>
      </c>
      <c r="N418" s="2" t="s">
        <v>38</v>
      </c>
      <c r="O418" s="2" t="s">
        <v>38</v>
      </c>
      <c r="P418" s="2" t="s">
        <v>592</v>
      </c>
      <c r="Q418" s="2" t="s">
        <v>38</v>
      </c>
      <c r="R418" s="2" t="s">
        <v>98</v>
      </c>
      <c r="S418" s="2" t="s">
        <v>204</v>
      </c>
      <c r="T418" s="2" t="s">
        <v>90</v>
      </c>
      <c r="U418" s="2" t="s">
        <v>593</v>
      </c>
      <c r="V418" s="2" t="s">
        <v>549</v>
      </c>
      <c r="W418" s="2" t="s">
        <v>38</v>
      </c>
      <c r="X418" s="3">
        <v>40959</v>
      </c>
      <c r="Y418" s="2" t="s">
        <v>594</v>
      </c>
      <c r="Z418" s="4"/>
      <c r="AA418" s="2" t="s">
        <v>47</v>
      </c>
      <c r="AB418" s="2" t="s">
        <v>48</v>
      </c>
      <c r="AC418" s="12">
        <f t="shared" si="36"/>
        <v>2012</v>
      </c>
      <c r="AD418" s="12">
        <f t="shared" si="37"/>
        <v>2</v>
      </c>
      <c r="AE418" s="12">
        <f t="shared" si="38"/>
        <v>20</v>
      </c>
      <c r="AF418" s="16">
        <f t="shared" si="39"/>
        <v>6.7</v>
      </c>
      <c r="AG418" s="16">
        <f t="shared" si="40"/>
        <v>34.5</v>
      </c>
      <c r="AH418" s="16" t="str">
        <f t="shared" si="41"/>
        <v/>
      </c>
    </row>
    <row r="419" spans="1:34" x14ac:dyDescent="0.35">
      <c r="A419" s="2" t="s">
        <v>595</v>
      </c>
      <c r="B419" s="2" t="s">
        <v>29</v>
      </c>
      <c r="C419" s="2" t="s">
        <v>30</v>
      </c>
      <c r="D419" s="2" t="s">
        <v>114</v>
      </c>
      <c r="E419" s="2" t="s">
        <v>151</v>
      </c>
      <c r="F419" s="2" t="s">
        <v>600</v>
      </c>
      <c r="G419" s="2" t="s">
        <v>34</v>
      </c>
      <c r="H419" s="2" t="s">
        <v>173</v>
      </c>
      <c r="I419" s="2" t="s">
        <v>583</v>
      </c>
      <c r="J419" s="2" t="s">
        <v>37</v>
      </c>
      <c r="K419" s="2" t="s">
        <v>38</v>
      </c>
      <c r="L419" s="2" t="s">
        <v>38</v>
      </c>
      <c r="M419" s="2" t="s">
        <v>39</v>
      </c>
      <c r="N419" s="2" t="s">
        <v>38</v>
      </c>
      <c r="O419" s="2" t="s">
        <v>38</v>
      </c>
      <c r="P419" s="2" t="s">
        <v>601</v>
      </c>
      <c r="Q419" s="2" t="s">
        <v>38</v>
      </c>
      <c r="R419" s="2" t="s">
        <v>98</v>
      </c>
      <c r="S419" s="2" t="s">
        <v>204</v>
      </c>
      <c r="T419" s="2" t="s">
        <v>90</v>
      </c>
      <c r="U419" s="2" t="s">
        <v>593</v>
      </c>
      <c r="V419" s="2" t="s">
        <v>602</v>
      </c>
      <c r="W419" s="2" t="s">
        <v>38</v>
      </c>
      <c r="X419" s="3">
        <v>40960</v>
      </c>
      <c r="Y419" s="2" t="s">
        <v>603</v>
      </c>
      <c r="Z419" s="34"/>
      <c r="AA419" s="2" t="s">
        <v>47</v>
      </c>
      <c r="AB419" s="2" t="s">
        <v>48</v>
      </c>
      <c r="AC419" s="12">
        <f t="shared" si="36"/>
        <v>2012</v>
      </c>
      <c r="AD419" s="12">
        <f t="shared" si="37"/>
        <v>2</v>
      </c>
      <c r="AE419" s="12">
        <f t="shared" si="38"/>
        <v>21</v>
      </c>
      <c r="AF419" s="16">
        <f t="shared" si="39"/>
        <v>2.7</v>
      </c>
      <c r="AG419" s="16">
        <f t="shared" si="40"/>
        <v>35.4</v>
      </c>
      <c r="AH419" s="16" t="str">
        <f t="shared" si="41"/>
        <v/>
      </c>
    </row>
    <row r="420" spans="1:34" x14ac:dyDescent="0.35">
      <c r="A420" s="2" t="s">
        <v>604</v>
      </c>
      <c r="B420" s="2" t="s">
        <v>29</v>
      </c>
      <c r="C420" s="2" t="s">
        <v>30</v>
      </c>
      <c r="D420" s="2" t="s">
        <v>531</v>
      </c>
      <c r="E420" s="2" t="s">
        <v>151</v>
      </c>
      <c r="F420" s="2" t="s">
        <v>607</v>
      </c>
      <c r="G420" s="2" t="s">
        <v>34</v>
      </c>
      <c r="H420" s="2" t="s">
        <v>35</v>
      </c>
      <c r="I420" s="2" t="s">
        <v>608</v>
      </c>
      <c r="J420" s="2" t="s">
        <v>37</v>
      </c>
      <c r="K420" s="2" t="s">
        <v>38</v>
      </c>
      <c r="L420" s="2" t="s">
        <v>38</v>
      </c>
      <c r="M420" s="2" t="s">
        <v>39</v>
      </c>
      <c r="N420" s="2" t="s">
        <v>38</v>
      </c>
      <c r="O420" s="2" t="s">
        <v>38</v>
      </c>
      <c r="P420" s="2" t="s">
        <v>609</v>
      </c>
      <c r="Q420" s="2" t="s">
        <v>38</v>
      </c>
      <c r="R420" s="2" t="s">
        <v>183</v>
      </c>
      <c r="S420" s="2" t="s">
        <v>610</v>
      </c>
      <c r="T420" s="2" t="s">
        <v>73</v>
      </c>
      <c r="U420" s="2" t="s">
        <v>611</v>
      </c>
      <c r="V420" s="2" t="s">
        <v>612</v>
      </c>
      <c r="W420" s="2" t="s">
        <v>38</v>
      </c>
      <c r="X420" s="3">
        <v>40961</v>
      </c>
      <c r="Y420" s="2" t="s">
        <v>613</v>
      </c>
      <c r="Z420" s="34"/>
      <c r="AA420" s="2" t="s">
        <v>47</v>
      </c>
      <c r="AB420" s="2" t="s">
        <v>48</v>
      </c>
      <c r="AC420" s="12">
        <f t="shared" si="36"/>
        <v>2012</v>
      </c>
      <c r="AD420" s="12">
        <f t="shared" si="37"/>
        <v>2</v>
      </c>
      <c r="AE420" s="12">
        <f t="shared" si="38"/>
        <v>22</v>
      </c>
      <c r="AF420" s="16">
        <f t="shared" si="39"/>
        <v>2.6</v>
      </c>
      <c r="AG420" s="16">
        <f t="shared" si="40"/>
        <v>36</v>
      </c>
      <c r="AH420" s="16" t="str">
        <f t="shared" si="41"/>
        <v/>
      </c>
    </row>
    <row r="421" spans="1:34" x14ac:dyDescent="0.35">
      <c r="A421" s="2" t="s">
        <v>614</v>
      </c>
      <c r="B421" s="2" t="s">
        <v>29</v>
      </c>
      <c r="C421" s="2" t="s">
        <v>30</v>
      </c>
      <c r="D421" s="2" t="s">
        <v>114</v>
      </c>
      <c r="E421" s="2" t="s">
        <v>511</v>
      </c>
      <c r="F421" s="2" t="s">
        <v>620</v>
      </c>
      <c r="G421" s="2" t="s">
        <v>34</v>
      </c>
      <c r="H421" s="2" t="s">
        <v>173</v>
      </c>
      <c r="I421" s="2" t="s">
        <v>583</v>
      </c>
      <c r="J421" s="2" t="s">
        <v>37</v>
      </c>
      <c r="K421" s="2" t="s">
        <v>38</v>
      </c>
      <c r="L421" s="2" t="s">
        <v>38</v>
      </c>
      <c r="M421" s="2" t="s">
        <v>39</v>
      </c>
      <c r="N421" s="2" t="s">
        <v>38</v>
      </c>
      <c r="O421" s="2" t="s">
        <v>38</v>
      </c>
      <c r="P421" s="2" t="s">
        <v>621</v>
      </c>
      <c r="Q421" s="2" t="s">
        <v>38</v>
      </c>
      <c r="R421" s="2" t="s">
        <v>98</v>
      </c>
      <c r="S421" s="2" t="s">
        <v>89</v>
      </c>
      <c r="T421" s="2" t="s">
        <v>90</v>
      </c>
      <c r="U421" s="2" t="s">
        <v>622</v>
      </c>
      <c r="V421" s="2" t="s">
        <v>623</v>
      </c>
      <c r="W421" s="2" t="s">
        <v>38</v>
      </c>
      <c r="X421" s="3">
        <v>40962</v>
      </c>
      <c r="Y421" s="2" t="s">
        <v>624</v>
      </c>
      <c r="Z421" s="4"/>
      <c r="AA421" s="2" t="s">
        <v>47</v>
      </c>
      <c r="AB421" s="2" t="s">
        <v>48</v>
      </c>
      <c r="AC421" s="12">
        <f t="shared" si="36"/>
        <v>2012</v>
      </c>
      <c r="AD421" s="12">
        <f t="shared" si="37"/>
        <v>2</v>
      </c>
      <c r="AE421" s="12">
        <f t="shared" si="38"/>
        <v>23</v>
      </c>
      <c r="AF421" s="16">
        <f t="shared" si="39"/>
        <v>4.4000000000000004</v>
      </c>
      <c r="AG421" s="16">
        <f t="shared" si="40"/>
        <v>35</v>
      </c>
      <c r="AH421" s="16" t="str">
        <f t="shared" si="41"/>
        <v/>
      </c>
    </row>
    <row r="422" spans="1:34" x14ac:dyDescent="0.35">
      <c r="A422" s="2" t="s">
        <v>625</v>
      </c>
      <c r="B422" s="2" t="s">
        <v>29</v>
      </c>
      <c r="C422" s="2" t="s">
        <v>30</v>
      </c>
      <c r="D422" s="2" t="s">
        <v>114</v>
      </c>
      <c r="E422" s="2" t="s">
        <v>181</v>
      </c>
      <c r="F422" s="2" t="s">
        <v>629</v>
      </c>
      <c r="G422" s="2" t="s">
        <v>34</v>
      </c>
      <c r="H422" s="2" t="s">
        <v>451</v>
      </c>
      <c r="I422" s="2" t="s">
        <v>583</v>
      </c>
      <c r="J422" s="2" t="s">
        <v>37</v>
      </c>
      <c r="K422" s="2" t="s">
        <v>38</v>
      </c>
      <c r="L422" s="2" t="s">
        <v>38</v>
      </c>
      <c r="M422" s="2" t="s">
        <v>39</v>
      </c>
      <c r="N422" s="2" t="s">
        <v>38</v>
      </c>
      <c r="O422" s="2" t="s">
        <v>38</v>
      </c>
      <c r="P422" s="2" t="s">
        <v>630</v>
      </c>
      <c r="Q422" s="2" t="s">
        <v>38</v>
      </c>
      <c r="R422" s="2" t="s">
        <v>98</v>
      </c>
      <c r="S422" s="2" t="s">
        <v>631</v>
      </c>
      <c r="T422" s="2" t="s">
        <v>90</v>
      </c>
      <c r="U422" s="2" t="s">
        <v>593</v>
      </c>
      <c r="V422" s="2" t="s">
        <v>632</v>
      </c>
      <c r="W422" s="2" t="s">
        <v>38</v>
      </c>
      <c r="X422" s="3">
        <v>40963</v>
      </c>
      <c r="Y422" s="2" t="s">
        <v>633</v>
      </c>
      <c r="Z422" s="4"/>
      <c r="AA422" s="2" t="s">
        <v>47</v>
      </c>
      <c r="AB422" s="2" t="s">
        <v>48</v>
      </c>
      <c r="AC422" s="12">
        <f t="shared" si="36"/>
        <v>2012</v>
      </c>
      <c r="AD422" s="12">
        <f t="shared" si="37"/>
        <v>2</v>
      </c>
      <c r="AE422" s="12">
        <f t="shared" si="38"/>
        <v>24</v>
      </c>
      <c r="AF422" s="16">
        <f t="shared" si="39"/>
        <v>7.3</v>
      </c>
      <c r="AG422" s="16">
        <f t="shared" si="40"/>
        <v>35.200000000000003</v>
      </c>
      <c r="AH422" s="16" t="str">
        <f t="shared" si="41"/>
        <v/>
      </c>
    </row>
    <row r="423" spans="1:34" x14ac:dyDescent="0.35">
      <c r="A423" s="2" t="s">
        <v>634</v>
      </c>
      <c r="B423" s="2" t="s">
        <v>29</v>
      </c>
      <c r="C423" s="2" t="s">
        <v>30</v>
      </c>
      <c r="D423" s="2" t="s">
        <v>114</v>
      </c>
      <c r="E423" s="2" t="s">
        <v>215</v>
      </c>
      <c r="F423" s="2" t="s">
        <v>635</v>
      </c>
      <c r="G423" s="2" t="s">
        <v>34</v>
      </c>
      <c r="H423" s="2" t="s">
        <v>173</v>
      </c>
      <c r="I423" s="2" t="s">
        <v>583</v>
      </c>
      <c r="J423" s="2" t="s">
        <v>37</v>
      </c>
      <c r="K423" s="2" t="s">
        <v>38</v>
      </c>
      <c r="L423" s="2" t="s">
        <v>38</v>
      </c>
      <c r="M423" s="2" t="s">
        <v>39</v>
      </c>
      <c r="N423" s="2" t="s">
        <v>38</v>
      </c>
      <c r="O423" s="2" t="s">
        <v>38</v>
      </c>
      <c r="P423" s="2" t="s">
        <v>584</v>
      </c>
      <c r="Q423" s="2" t="s">
        <v>38</v>
      </c>
      <c r="R423" s="2" t="s">
        <v>98</v>
      </c>
      <c r="S423" s="2" t="s">
        <v>89</v>
      </c>
      <c r="T423" s="2" t="s">
        <v>90</v>
      </c>
      <c r="U423" s="2" t="s">
        <v>593</v>
      </c>
      <c r="V423" s="2" t="s">
        <v>636</v>
      </c>
      <c r="W423" s="2" t="s">
        <v>38</v>
      </c>
      <c r="X423" s="3">
        <v>40964</v>
      </c>
      <c r="Y423" s="2" t="s">
        <v>637</v>
      </c>
      <c r="Z423" s="34"/>
      <c r="AA423" s="2" t="s">
        <v>47</v>
      </c>
      <c r="AB423" s="2" t="s">
        <v>48</v>
      </c>
      <c r="AC423" s="12">
        <f t="shared" si="36"/>
        <v>2012</v>
      </c>
      <c r="AD423" s="12">
        <f t="shared" si="37"/>
        <v>2</v>
      </c>
      <c r="AE423" s="12">
        <f t="shared" si="38"/>
        <v>25</v>
      </c>
      <c r="AF423" s="16">
        <f t="shared" si="39"/>
        <v>6.1</v>
      </c>
      <c r="AG423" s="16">
        <f t="shared" si="40"/>
        <v>35.1</v>
      </c>
      <c r="AH423" s="16" t="str">
        <f t="shared" si="41"/>
        <v/>
      </c>
    </row>
    <row r="424" spans="1:34" x14ac:dyDescent="0.35">
      <c r="A424" s="2" t="s">
        <v>641</v>
      </c>
      <c r="B424" s="2" t="s">
        <v>29</v>
      </c>
      <c r="C424" s="2" t="s">
        <v>30</v>
      </c>
      <c r="D424" s="2" t="s">
        <v>531</v>
      </c>
      <c r="E424" s="2" t="s">
        <v>181</v>
      </c>
      <c r="F424" s="2" t="s">
        <v>645</v>
      </c>
      <c r="G424" s="2" t="s">
        <v>34</v>
      </c>
      <c r="H424" s="2" t="s">
        <v>202</v>
      </c>
      <c r="I424" s="2" t="s">
        <v>608</v>
      </c>
      <c r="J424" s="2" t="s">
        <v>37</v>
      </c>
      <c r="K424" s="2" t="s">
        <v>38</v>
      </c>
      <c r="L424" s="2" t="s">
        <v>38</v>
      </c>
      <c r="M424" s="2" t="s">
        <v>39</v>
      </c>
      <c r="N424" s="2" t="s">
        <v>38</v>
      </c>
      <c r="O424" s="2" t="s">
        <v>38</v>
      </c>
      <c r="P424" s="2" t="s">
        <v>646</v>
      </c>
      <c r="Q424" s="2" t="s">
        <v>38</v>
      </c>
      <c r="R424" s="2" t="s">
        <v>98</v>
      </c>
      <c r="S424" s="2" t="s">
        <v>89</v>
      </c>
      <c r="T424" s="2" t="s">
        <v>90</v>
      </c>
      <c r="U424" s="2" t="s">
        <v>611</v>
      </c>
      <c r="V424" s="2" t="s">
        <v>647</v>
      </c>
      <c r="W424" s="2" t="s">
        <v>38</v>
      </c>
      <c r="X424" s="3">
        <v>40965</v>
      </c>
      <c r="Y424" s="2" t="s">
        <v>648</v>
      </c>
      <c r="Z424" s="4"/>
      <c r="AA424" s="2" t="s">
        <v>47</v>
      </c>
      <c r="AB424" s="2" t="s">
        <v>48</v>
      </c>
      <c r="AC424" s="12">
        <f t="shared" si="36"/>
        <v>2012</v>
      </c>
      <c r="AD424" s="12">
        <f t="shared" si="37"/>
        <v>2</v>
      </c>
      <c r="AE424" s="12">
        <f t="shared" si="38"/>
        <v>26</v>
      </c>
      <c r="AF424" s="16">
        <f t="shared" si="39"/>
        <v>7.2</v>
      </c>
      <c r="AG424" s="16">
        <f t="shared" si="40"/>
        <v>35.9</v>
      </c>
      <c r="AH424" s="16" t="str">
        <f t="shared" si="41"/>
        <v/>
      </c>
    </row>
    <row r="425" spans="1:34" x14ac:dyDescent="0.35">
      <c r="A425" s="2" t="s">
        <v>649</v>
      </c>
      <c r="B425" s="2" t="s">
        <v>29</v>
      </c>
      <c r="C425" s="2" t="s">
        <v>30</v>
      </c>
      <c r="D425" s="2" t="s">
        <v>531</v>
      </c>
      <c r="E425" s="2" t="s">
        <v>181</v>
      </c>
      <c r="F425" s="2" t="s">
        <v>635</v>
      </c>
      <c r="G425" s="2" t="s">
        <v>34</v>
      </c>
      <c r="H425" s="2" t="s">
        <v>79</v>
      </c>
      <c r="I425" s="2" t="s">
        <v>652</v>
      </c>
      <c r="J425" s="2" t="s">
        <v>37</v>
      </c>
      <c r="K425" s="2" t="s">
        <v>38</v>
      </c>
      <c r="L425" s="2" t="s">
        <v>38</v>
      </c>
      <c r="M425" s="2" t="s">
        <v>39</v>
      </c>
      <c r="N425" s="2" t="s">
        <v>38</v>
      </c>
      <c r="O425" s="2" t="s">
        <v>38</v>
      </c>
      <c r="P425" s="2" t="s">
        <v>653</v>
      </c>
      <c r="Q425" s="2" t="s">
        <v>38</v>
      </c>
      <c r="R425" s="2" t="s">
        <v>98</v>
      </c>
      <c r="S425" s="2" t="s">
        <v>89</v>
      </c>
      <c r="T425" s="2" t="s">
        <v>90</v>
      </c>
      <c r="U425" s="2" t="s">
        <v>654</v>
      </c>
      <c r="V425" s="2" t="s">
        <v>655</v>
      </c>
      <c r="W425" s="2" t="s">
        <v>38</v>
      </c>
      <c r="X425" s="3">
        <v>40966</v>
      </c>
      <c r="Y425" s="2" t="s">
        <v>656</v>
      </c>
      <c r="Z425" s="34"/>
      <c r="AA425" s="2" t="s">
        <v>47</v>
      </c>
      <c r="AB425" s="2" t="s">
        <v>48</v>
      </c>
      <c r="AC425" s="12">
        <f t="shared" si="36"/>
        <v>2012</v>
      </c>
      <c r="AD425" s="12">
        <f t="shared" si="37"/>
        <v>2</v>
      </c>
      <c r="AE425" s="12">
        <f t="shared" si="38"/>
        <v>27</v>
      </c>
      <c r="AF425" s="16">
        <f t="shared" si="39"/>
        <v>6.8</v>
      </c>
      <c r="AG425" s="16">
        <f t="shared" si="40"/>
        <v>36.700000000000003</v>
      </c>
      <c r="AH425" s="16" t="str">
        <f t="shared" si="41"/>
        <v/>
      </c>
    </row>
    <row r="426" spans="1:34" x14ac:dyDescent="0.35">
      <c r="A426" s="2" t="s">
        <v>657</v>
      </c>
      <c r="B426" s="2" t="s">
        <v>29</v>
      </c>
      <c r="C426" s="2" t="s">
        <v>30</v>
      </c>
      <c r="D426" s="2" t="s">
        <v>128</v>
      </c>
      <c r="E426" s="2" t="s">
        <v>286</v>
      </c>
      <c r="F426" s="2" t="s">
        <v>658</v>
      </c>
      <c r="G426" s="2" t="s">
        <v>34</v>
      </c>
      <c r="H426" s="2" t="s">
        <v>153</v>
      </c>
      <c r="I426" s="2" t="s">
        <v>583</v>
      </c>
      <c r="J426" s="2" t="s">
        <v>37</v>
      </c>
      <c r="K426" s="2" t="s">
        <v>38</v>
      </c>
      <c r="L426" s="2" t="s">
        <v>38</v>
      </c>
      <c r="M426" s="2" t="s">
        <v>39</v>
      </c>
      <c r="N426" s="2" t="s">
        <v>38</v>
      </c>
      <c r="O426" s="2" t="s">
        <v>38</v>
      </c>
      <c r="P426" s="2" t="s">
        <v>659</v>
      </c>
      <c r="Q426" s="2" t="s">
        <v>38</v>
      </c>
      <c r="R426" s="2" t="s">
        <v>98</v>
      </c>
      <c r="S426" s="2" t="s">
        <v>552</v>
      </c>
      <c r="T426" s="2" t="s">
        <v>90</v>
      </c>
      <c r="U426" s="2" t="s">
        <v>660</v>
      </c>
      <c r="V426" s="2" t="s">
        <v>661</v>
      </c>
      <c r="W426" s="2" t="s">
        <v>38</v>
      </c>
      <c r="X426" s="3">
        <v>40967</v>
      </c>
      <c r="Y426" s="2" t="s">
        <v>662</v>
      </c>
      <c r="Z426" s="34"/>
      <c r="AA426" s="2" t="s">
        <v>47</v>
      </c>
      <c r="AB426" s="2" t="s">
        <v>48</v>
      </c>
      <c r="AC426" s="12">
        <f t="shared" si="36"/>
        <v>2012</v>
      </c>
      <c r="AD426" s="12">
        <f t="shared" si="37"/>
        <v>2</v>
      </c>
      <c r="AE426" s="12">
        <f t="shared" si="38"/>
        <v>28</v>
      </c>
      <c r="AF426" s="16">
        <f t="shared" si="39"/>
        <v>1.1000000000000001</v>
      </c>
      <c r="AG426" s="16">
        <f t="shared" si="40"/>
        <v>34.700000000000003</v>
      </c>
      <c r="AH426" s="16" t="str">
        <f t="shared" si="41"/>
        <v/>
      </c>
    </row>
    <row r="427" spans="1:34" x14ac:dyDescent="0.35">
      <c r="A427" s="2" t="s">
        <v>666</v>
      </c>
      <c r="B427" s="2" t="s">
        <v>29</v>
      </c>
      <c r="C427" s="2" t="s">
        <v>30</v>
      </c>
      <c r="D427" s="2" t="s">
        <v>36</v>
      </c>
      <c r="E427" s="2" t="s">
        <v>172</v>
      </c>
      <c r="F427" s="2" t="s">
        <v>670</v>
      </c>
      <c r="G427" s="2" t="s">
        <v>34</v>
      </c>
      <c r="H427" s="2" t="s">
        <v>113</v>
      </c>
      <c r="I427" s="2" t="s">
        <v>531</v>
      </c>
      <c r="J427" s="2" t="s">
        <v>37</v>
      </c>
      <c r="K427" s="2" t="s">
        <v>38</v>
      </c>
      <c r="L427" s="2" t="s">
        <v>38</v>
      </c>
      <c r="M427" s="2" t="s">
        <v>39</v>
      </c>
      <c r="N427" s="2" t="s">
        <v>38</v>
      </c>
      <c r="O427" s="2" t="s">
        <v>38</v>
      </c>
      <c r="P427" s="2" t="s">
        <v>548</v>
      </c>
      <c r="Q427" s="2" t="s">
        <v>38</v>
      </c>
      <c r="R427" s="2" t="s">
        <v>98</v>
      </c>
      <c r="S427" s="2" t="s">
        <v>99</v>
      </c>
      <c r="T427" s="2" t="s">
        <v>90</v>
      </c>
      <c r="U427" s="2" t="s">
        <v>534</v>
      </c>
      <c r="V427" s="2" t="s">
        <v>266</v>
      </c>
      <c r="W427" s="2" t="s">
        <v>38</v>
      </c>
      <c r="X427" s="3">
        <v>40968</v>
      </c>
      <c r="Y427" s="2" t="s">
        <v>671</v>
      </c>
      <c r="Z427" s="4"/>
      <c r="AA427" s="2" t="s">
        <v>672</v>
      </c>
      <c r="AB427" s="2" t="s">
        <v>673</v>
      </c>
      <c r="AC427" s="12">
        <f t="shared" si="36"/>
        <v>2012</v>
      </c>
      <c r="AD427" s="12">
        <f t="shared" si="37"/>
        <v>2</v>
      </c>
      <c r="AE427" s="12">
        <f t="shared" si="38"/>
        <v>29</v>
      </c>
      <c r="AF427" s="16">
        <f t="shared" si="39"/>
        <v>4.5</v>
      </c>
      <c r="AG427" s="16">
        <f t="shared" si="40"/>
        <v>33.6</v>
      </c>
      <c r="AH427" s="16" t="str">
        <f t="shared" si="41"/>
        <v/>
      </c>
    </row>
    <row r="428" spans="1:34" x14ac:dyDescent="0.35">
      <c r="A428" s="2" t="s">
        <v>674</v>
      </c>
      <c r="B428" s="2" t="s">
        <v>29</v>
      </c>
      <c r="C428" s="2" t="s">
        <v>30</v>
      </c>
      <c r="D428" s="2" t="s">
        <v>111</v>
      </c>
      <c r="E428" s="2" t="s">
        <v>286</v>
      </c>
      <c r="F428" s="2" t="s">
        <v>676</v>
      </c>
      <c r="G428" s="2" t="s">
        <v>34</v>
      </c>
      <c r="H428" s="2" t="s">
        <v>69</v>
      </c>
      <c r="I428" s="2" t="s">
        <v>114</v>
      </c>
      <c r="J428" s="2" t="s">
        <v>37</v>
      </c>
      <c r="K428" s="2" t="s">
        <v>38</v>
      </c>
      <c r="L428" s="2" t="s">
        <v>38</v>
      </c>
      <c r="M428" s="2" t="s">
        <v>39</v>
      </c>
      <c r="N428" s="2" t="s">
        <v>38</v>
      </c>
      <c r="O428" s="2" t="s">
        <v>38</v>
      </c>
      <c r="P428" s="2" t="s">
        <v>677</v>
      </c>
      <c r="Q428" s="2" t="s">
        <v>38</v>
      </c>
      <c r="R428" s="2" t="s">
        <v>98</v>
      </c>
      <c r="S428" s="2" t="s">
        <v>146</v>
      </c>
      <c r="T428" s="2" t="s">
        <v>90</v>
      </c>
      <c r="U428" s="2" t="s">
        <v>465</v>
      </c>
      <c r="V428" s="2" t="s">
        <v>661</v>
      </c>
      <c r="W428" s="2" t="s">
        <v>38</v>
      </c>
      <c r="X428" s="3">
        <v>40969</v>
      </c>
      <c r="Y428" s="2" t="s">
        <v>678</v>
      </c>
      <c r="Z428" s="34"/>
      <c r="AA428" s="2" t="s">
        <v>672</v>
      </c>
      <c r="AB428" s="2" t="s">
        <v>673</v>
      </c>
      <c r="AC428" s="12">
        <f t="shared" si="36"/>
        <v>2012</v>
      </c>
      <c r="AD428" s="12">
        <f t="shared" si="37"/>
        <v>3</v>
      </c>
      <c r="AE428" s="12">
        <f t="shared" si="38"/>
        <v>1</v>
      </c>
      <c r="AF428" s="16">
        <f t="shared" si="39"/>
        <v>1.1000000000000001</v>
      </c>
      <c r="AG428" s="16">
        <f t="shared" si="40"/>
        <v>32.700000000000003</v>
      </c>
      <c r="AH428" s="16" t="str">
        <f t="shared" si="41"/>
        <v/>
      </c>
    </row>
    <row r="429" spans="1:34" x14ac:dyDescent="0.35">
      <c r="A429" s="2" t="s">
        <v>679</v>
      </c>
      <c r="B429" s="2" t="s">
        <v>29</v>
      </c>
      <c r="C429" s="2" t="s">
        <v>30</v>
      </c>
      <c r="D429" s="2" t="s">
        <v>111</v>
      </c>
      <c r="E429" s="2" t="s">
        <v>511</v>
      </c>
      <c r="F429" s="2" t="s">
        <v>680</v>
      </c>
      <c r="G429" s="2" t="s">
        <v>34</v>
      </c>
      <c r="H429" s="2" t="s">
        <v>295</v>
      </c>
      <c r="I429" s="2" t="s">
        <v>128</v>
      </c>
      <c r="J429" s="2" t="s">
        <v>37</v>
      </c>
      <c r="K429" s="2" t="s">
        <v>38</v>
      </c>
      <c r="L429" s="2" t="s">
        <v>38</v>
      </c>
      <c r="M429" s="2" t="s">
        <v>39</v>
      </c>
      <c r="N429" s="2" t="s">
        <v>38</v>
      </c>
      <c r="O429" s="2" t="s">
        <v>38</v>
      </c>
      <c r="P429" s="2" t="s">
        <v>567</v>
      </c>
      <c r="Q429" s="2" t="s">
        <v>38</v>
      </c>
      <c r="R429" s="2" t="s">
        <v>98</v>
      </c>
      <c r="S429" s="2" t="s">
        <v>681</v>
      </c>
      <c r="T429" s="2" t="s">
        <v>90</v>
      </c>
      <c r="U429" s="2" t="s">
        <v>116</v>
      </c>
      <c r="V429" s="2" t="s">
        <v>682</v>
      </c>
      <c r="W429" s="2" t="s">
        <v>38</v>
      </c>
      <c r="X429" s="3">
        <v>40970</v>
      </c>
      <c r="Y429" s="2" t="s">
        <v>683</v>
      </c>
      <c r="Z429" s="4"/>
      <c r="AA429" s="2" t="s">
        <v>672</v>
      </c>
      <c r="AB429" s="2" t="s">
        <v>673</v>
      </c>
      <c r="AC429" s="12">
        <f t="shared" si="36"/>
        <v>2012</v>
      </c>
      <c r="AD429" s="12">
        <f t="shared" si="37"/>
        <v>3</v>
      </c>
      <c r="AE429" s="12">
        <f t="shared" si="38"/>
        <v>2</v>
      </c>
      <c r="AF429" s="16">
        <f t="shared" si="39"/>
        <v>4.3</v>
      </c>
      <c r="AG429" s="16">
        <f t="shared" si="40"/>
        <v>32.200000000000003</v>
      </c>
      <c r="AH429" s="16" t="str">
        <f t="shared" si="41"/>
        <v/>
      </c>
    </row>
    <row r="430" spans="1:34" x14ac:dyDescent="0.35">
      <c r="A430" s="2" t="s">
        <v>689</v>
      </c>
      <c r="B430" s="2" t="s">
        <v>29</v>
      </c>
      <c r="C430" s="2" t="s">
        <v>30</v>
      </c>
      <c r="D430" s="2" t="s">
        <v>114</v>
      </c>
      <c r="E430" s="2" t="s">
        <v>165</v>
      </c>
      <c r="F430" s="2" t="s">
        <v>670</v>
      </c>
      <c r="G430" s="2" t="s">
        <v>34</v>
      </c>
      <c r="H430" s="2" t="s">
        <v>371</v>
      </c>
      <c r="I430" s="2" t="s">
        <v>531</v>
      </c>
      <c r="J430" s="2" t="s">
        <v>37</v>
      </c>
      <c r="K430" s="2" t="s">
        <v>38</v>
      </c>
      <c r="L430" s="2" t="s">
        <v>38</v>
      </c>
      <c r="M430" s="2" t="s">
        <v>39</v>
      </c>
      <c r="N430" s="2" t="s">
        <v>38</v>
      </c>
      <c r="O430" s="2" t="s">
        <v>38</v>
      </c>
      <c r="P430" s="2" t="s">
        <v>548</v>
      </c>
      <c r="Q430" s="2" t="s">
        <v>38</v>
      </c>
      <c r="R430" s="2" t="s">
        <v>98</v>
      </c>
      <c r="S430" s="2" t="s">
        <v>690</v>
      </c>
      <c r="T430" s="2" t="s">
        <v>90</v>
      </c>
      <c r="U430" s="2" t="s">
        <v>691</v>
      </c>
      <c r="V430" s="2" t="s">
        <v>443</v>
      </c>
      <c r="W430" s="2" t="s">
        <v>38</v>
      </c>
      <c r="X430" s="3">
        <v>40971</v>
      </c>
      <c r="Y430" s="2" t="s">
        <v>692</v>
      </c>
      <c r="Z430" s="34"/>
      <c r="AA430" s="2" t="s">
        <v>672</v>
      </c>
      <c r="AB430" s="2" t="s">
        <v>673</v>
      </c>
      <c r="AC430" s="12">
        <f t="shared" si="36"/>
        <v>2012</v>
      </c>
      <c r="AD430" s="12">
        <f t="shared" si="37"/>
        <v>3</v>
      </c>
      <c r="AE430" s="12">
        <f t="shared" si="38"/>
        <v>3</v>
      </c>
      <c r="AF430" s="16">
        <f t="shared" si="39"/>
        <v>8.6</v>
      </c>
      <c r="AG430" s="16">
        <f t="shared" si="40"/>
        <v>33.6</v>
      </c>
      <c r="AH430" s="16" t="str">
        <f t="shared" si="41"/>
        <v/>
      </c>
    </row>
    <row r="431" spans="1:34" x14ac:dyDescent="0.35">
      <c r="A431" s="2" t="s">
        <v>695</v>
      </c>
      <c r="B431" s="2" t="s">
        <v>29</v>
      </c>
      <c r="C431" s="2" t="s">
        <v>30</v>
      </c>
      <c r="D431" s="2" t="s">
        <v>531</v>
      </c>
      <c r="E431" s="2" t="s">
        <v>151</v>
      </c>
      <c r="F431" s="2" t="s">
        <v>696</v>
      </c>
      <c r="G431" s="2" t="s">
        <v>34</v>
      </c>
      <c r="H431" s="2" t="s">
        <v>217</v>
      </c>
      <c r="I431" s="2" t="s">
        <v>583</v>
      </c>
      <c r="J431" s="2" t="s">
        <v>37</v>
      </c>
      <c r="K431" s="2" t="s">
        <v>38</v>
      </c>
      <c r="L431" s="2" t="s">
        <v>38</v>
      </c>
      <c r="M431" s="2" t="s">
        <v>39</v>
      </c>
      <c r="N431" s="2" t="s">
        <v>38</v>
      </c>
      <c r="O431" s="2" t="s">
        <v>38</v>
      </c>
      <c r="P431" s="2" t="s">
        <v>621</v>
      </c>
      <c r="Q431" s="2" t="s">
        <v>38</v>
      </c>
      <c r="R431" s="2" t="s">
        <v>183</v>
      </c>
      <c r="S431" s="2" t="s">
        <v>204</v>
      </c>
      <c r="T431" s="2" t="s">
        <v>90</v>
      </c>
      <c r="U431" s="2" t="s">
        <v>697</v>
      </c>
      <c r="V431" s="2" t="s">
        <v>698</v>
      </c>
      <c r="W431" s="2" t="s">
        <v>38</v>
      </c>
      <c r="X431" s="3">
        <v>40972</v>
      </c>
      <c r="Y431" s="2" t="s">
        <v>699</v>
      </c>
      <c r="Z431" s="4"/>
      <c r="AA431" s="2" t="s">
        <v>672</v>
      </c>
      <c r="AB431" s="2" t="s">
        <v>673</v>
      </c>
      <c r="AC431" s="12">
        <f t="shared" si="36"/>
        <v>2012</v>
      </c>
      <c r="AD431" s="12">
        <f t="shared" si="37"/>
        <v>3</v>
      </c>
      <c r="AE431" s="12">
        <f t="shared" si="38"/>
        <v>4</v>
      </c>
      <c r="AF431" s="16">
        <f t="shared" si="39"/>
        <v>2.9</v>
      </c>
      <c r="AG431" s="16">
        <f t="shared" si="40"/>
        <v>35</v>
      </c>
      <c r="AH431" s="16" t="str">
        <f t="shared" si="41"/>
        <v/>
      </c>
    </row>
    <row r="432" spans="1:34" x14ac:dyDescent="0.35">
      <c r="A432" s="2" t="s">
        <v>703</v>
      </c>
      <c r="B432" s="2" t="s">
        <v>29</v>
      </c>
      <c r="C432" s="2" t="s">
        <v>30</v>
      </c>
      <c r="D432" s="2" t="s">
        <v>583</v>
      </c>
      <c r="E432" s="2" t="s">
        <v>165</v>
      </c>
      <c r="F432" s="2" t="s">
        <v>629</v>
      </c>
      <c r="G432" s="2" t="s">
        <v>34</v>
      </c>
      <c r="H432" s="2" t="s">
        <v>295</v>
      </c>
      <c r="I432" s="2" t="s">
        <v>652</v>
      </c>
      <c r="J432" s="2" t="s">
        <v>37</v>
      </c>
      <c r="K432" s="2" t="s">
        <v>38</v>
      </c>
      <c r="L432" s="2" t="s">
        <v>38</v>
      </c>
      <c r="M432" s="2" t="s">
        <v>39</v>
      </c>
      <c r="N432" s="2" t="s">
        <v>38</v>
      </c>
      <c r="O432" s="2" t="s">
        <v>38</v>
      </c>
      <c r="P432" s="2" t="s">
        <v>706</v>
      </c>
      <c r="Q432" s="2" t="s">
        <v>38</v>
      </c>
      <c r="R432" s="2" t="s">
        <v>98</v>
      </c>
      <c r="S432" s="2" t="s">
        <v>159</v>
      </c>
      <c r="T432" s="2" t="s">
        <v>73</v>
      </c>
      <c r="U432" s="2" t="s">
        <v>707</v>
      </c>
      <c r="V432" s="2" t="s">
        <v>261</v>
      </c>
      <c r="W432" s="2" t="s">
        <v>38</v>
      </c>
      <c r="X432" s="3">
        <v>40973</v>
      </c>
      <c r="Y432" s="2" t="s">
        <v>708</v>
      </c>
      <c r="Z432" s="34"/>
      <c r="AA432" s="2" t="s">
        <v>672</v>
      </c>
      <c r="AB432" s="2" t="s">
        <v>673</v>
      </c>
      <c r="AC432" s="12">
        <f t="shared" si="36"/>
        <v>2012</v>
      </c>
      <c r="AD432" s="12">
        <f t="shared" si="37"/>
        <v>3</v>
      </c>
      <c r="AE432" s="12">
        <f t="shared" si="38"/>
        <v>5</v>
      </c>
      <c r="AF432" s="16">
        <f t="shared" si="39"/>
        <v>8.5</v>
      </c>
      <c r="AG432" s="16">
        <f t="shared" si="40"/>
        <v>36.5</v>
      </c>
      <c r="AH432" s="16" t="str">
        <f t="shared" si="41"/>
        <v/>
      </c>
    </row>
    <row r="433" spans="1:34" x14ac:dyDescent="0.35">
      <c r="A433" s="2" t="s">
        <v>709</v>
      </c>
      <c r="B433" s="2" t="s">
        <v>29</v>
      </c>
      <c r="C433" s="2" t="s">
        <v>30</v>
      </c>
      <c r="D433" s="2" t="s">
        <v>128</v>
      </c>
      <c r="E433" s="2" t="s">
        <v>172</v>
      </c>
      <c r="F433" s="2" t="s">
        <v>607</v>
      </c>
      <c r="G433" s="2" t="s">
        <v>34</v>
      </c>
      <c r="H433" s="2" t="s">
        <v>240</v>
      </c>
      <c r="I433" s="2" t="s">
        <v>583</v>
      </c>
      <c r="J433" s="2" t="s">
        <v>37</v>
      </c>
      <c r="K433" s="2" t="s">
        <v>38</v>
      </c>
      <c r="L433" s="2" t="s">
        <v>38</v>
      </c>
      <c r="M433" s="2" t="s">
        <v>39</v>
      </c>
      <c r="N433" s="2" t="s">
        <v>38</v>
      </c>
      <c r="O433" s="2" t="s">
        <v>38</v>
      </c>
      <c r="P433" s="2" t="s">
        <v>710</v>
      </c>
      <c r="Q433" s="2" t="s">
        <v>38</v>
      </c>
      <c r="R433" s="2" t="s">
        <v>98</v>
      </c>
      <c r="S433" s="2" t="s">
        <v>99</v>
      </c>
      <c r="T433" s="2" t="s">
        <v>90</v>
      </c>
      <c r="U433" s="2" t="s">
        <v>711</v>
      </c>
      <c r="V433" s="2" t="s">
        <v>712</v>
      </c>
      <c r="W433" s="2" t="s">
        <v>38</v>
      </c>
      <c r="X433" s="3">
        <v>40974</v>
      </c>
      <c r="Y433" s="2" t="s">
        <v>713</v>
      </c>
      <c r="Z433" s="4"/>
      <c r="AA433" s="2" t="s">
        <v>672</v>
      </c>
      <c r="AB433" s="2" t="s">
        <v>673</v>
      </c>
      <c r="AC433" s="12">
        <f t="shared" si="36"/>
        <v>2012</v>
      </c>
      <c r="AD433" s="12">
        <f t="shared" si="37"/>
        <v>3</v>
      </c>
      <c r="AE433" s="12">
        <f t="shared" si="38"/>
        <v>6</v>
      </c>
      <c r="AF433" s="16">
        <f t="shared" si="39"/>
        <v>4.8</v>
      </c>
      <c r="AG433" s="16">
        <f t="shared" si="40"/>
        <v>34.9</v>
      </c>
      <c r="AH433" s="16" t="str">
        <f t="shared" si="41"/>
        <v/>
      </c>
    </row>
    <row r="434" spans="1:34" x14ac:dyDescent="0.35">
      <c r="A434" s="2" t="s">
        <v>718</v>
      </c>
      <c r="B434" s="2" t="s">
        <v>29</v>
      </c>
      <c r="C434" s="2" t="s">
        <v>30</v>
      </c>
      <c r="D434" s="2" t="s">
        <v>111</v>
      </c>
      <c r="E434" s="2" t="s">
        <v>719</v>
      </c>
      <c r="F434" s="2" t="s">
        <v>635</v>
      </c>
      <c r="G434" s="2" t="s">
        <v>34</v>
      </c>
      <c r="H434" s="2" t="s">
        <v>386</v>
      </c>
      <c r="I434" s="2" t="s">
        <v>114</v>
      </c>
      <c r="J434" s="2" t="s">
        <v>37</v>
      </c>
      <c r="K434" s="2" t="s">
        <v>38</v>
      </c>
      <c r="L434" s="2" t="s">
        <v>38</v>
      </c>
      <c r="M434" s="2" t="s">
        <v>39</v>
      </c>
      <c r="N434" s="2" t="s">
        <v>38</v>
      </c>
      <c r="O434" s="2" t="s">
        <v>38</v>
      </c>
      <c r="P434" s="2" t="s">
        <v>720</v>
      </c>
      <c r="Q434" s="2" t="s">
        <v>38</v>
      </c>
      <c r="R434" s="2" t="s">
        <v>98</v>
      </c>
      <c r="S434" s="2" t="s">
        <v>533</v>
      </c>
      <c r="T434" s="2" t="s">
        <v>90</v>
      </c>
      <c r="U434" s="2" t="s">
        <v>465</v>
      </c>
      <c r="V434" s="2" t="s">
        <v>721</v>
      </c>
      <c r="W434" s="2" t="s">
        <v>38</v>
      </c>
      <c r="X434" s="3">
        <v>40975</v>
      </c>
      <c r="Y434" s="2" t="s">
        <v>722</v>
      </c>
      <c r="Z434" s="4"/>
      <c r="AA434" s="2" t="s">
        <v>672</v>
      </c>
      <c r="AB434" s="2" t="s">
        <v>673</v>
      </c>
      <c r="AC434" s="12">
        <f t="shared" si="36"/>
        <v>2012</v>
      </c>
      <c r="AD434" s="12">
        <f t="shared" si="37"/>
        <v>3</v>
      </c>
      <c r="AE434" s="12">
        <f t="shared" si="38"/>
        <v>7</v>
      </c>
      <c r="AF434" s="16">
        <f t="shared" si="39"/>
        <v>100.5</v>
      </c>
      <c r="AG434" s="16">
        <f t="shared" si="40"/>
        <v>33.5</v>
      </c>
      <c r="AH434" s="16" t="str">
        <f t="shared" si="41"/>
        <v/>
      </c>
    </row>
    <row r="435" spans="1:34" x14ac:dyDescent="0.35">
      <c r="A435" s="2" t="s">
        <v>726</v>
      </c>
      <c r="B435" s="2" t="s">
        <v>29</v>
      </c>
      <c r="C435" s="2" t="s">
        <v>30</v>
      </c>
      <c r="D435" s="2" t="s">
        <v>77</v>
      </c>
      <c r="E435" s="2" t="s">
        <v>151</v>
      </c>
      <c r="F435" s="2" t="s">
        <v>729</v>
      </c>
      <c r="G435" s="2" t="s">
        <v>34</v>
      </c>
      <c r="H435" s="2" t="s">
        <v>308</v>
      </c>
      <c r="I435" s="2" t="s">
        <v>36</v>
      </c>
      <c r="J435" s="2" t="s">
        <v>37</v>
      </c>
      <c r="K435" s="2" t="s">
        <v>38</v>
      </c>
      <c r="L435" s="2" t="s">
        <v>38</v>
      </c>
      <c r="M435" s="2" t="s">
        <v>39</v>
      </c>
      <c r="N435" s="2" t="s">
        <v>38</v>
      </c>
      <c r="O435" s="2" t="s">
        <v>38</v>
      </c>
      <c r="P435" s="2" t="s">
        <v>288</v>
      </c>
      <c r="Q435" s="2" t="s">
        <v>38</v>
      </c>
      <c r="R435" s="2" t="s">
        <v>98</v>
      </c>
      <c r="S435" s="2" t="s">
        <v>730</v>
      </c>
      <c r="T435" s="2" t="s">
        <v>73</v>
      </c>
      <c r="U435" s="2" t="s">
        <v>81</v>
      </c>
      <c r="V435" s="2" t="s">
        <v>224</v>
      </c>
      <c r="W435" s="2" t="s">
        <v>38</v>
      </c>
      <c r="X435" s="3">
        <v>40976</v>
      </c>
      <c r="Y435" s="2" t="s">
        <v>731</v>
      </c>
      <c r="Z435" s="34"/>
      <c r="AA435" s="2" t="s">
        <v>672</v>
      </c>
      <c r="AB435" s="2" t="s">
        <v>673</v>
      </c>
      <c r="AC435" s="12">
        <f t="shared" si="36"/>
        <v>2012</v>
      </c>
      <c r="AD435" s="12">
        <f t="shared" si="37"/>
        <v>3</v>
      </c>
      <c r="AE435" s="12">
        <f t="shared" si="38"/>
        <v>8</v>
      </c>
      <c r="AF435" s="16">
        <f t="shared" si="39"/>
        <v>3.1</v>
      </c>
      <c r="AG435" s="16">
        <f t="shared" si="40"/>
        <v>31</v>
      </c>
      <c r="AH435" s="16" t="str">
        <f t="shared" si="41"/>
        <v/>
      </c>
    </row>
    <row r="436" spans="1:34" x14ac:dyDescent="0.35">
      <c r="A436" s="2" t="s">
        <v>732</v>
      </c>
      <c r="B436" s="2" t="s">
        <v>29</v>
      </c>
      <c r="C436" s="2" t="s">
        <v>30</v>
      </c>
      <c r="D436" s="2" t="s">
        <v>111</v>
      </c>
      <c r="E436" s="2" t="s">
        <v>403</v>
      </c>
      <c r="F436" s="2" t="s">
        <v>733</v>
      </c>
      <c r="G436" s="2" t="s">
        <v>34</v>
      </c>
      <c r="H436" s="2" t="s">
        <v>734</v>
      </c>
      <c r="I436" s="2" t="s">
        <v>36</v>
      </c>
      <c r="J436" s="2" t="s">
        <v>37</v>
      </c>
      <c r="K436" s="2" t="s">
        <v>38</v>
      </c>
      <c r="L436" s="2" t="s">
        <v>38</v>
      </c>
      <c r="M436" s="2" t="s">
        <v>39</v>
      </c>
      <c r="N436" s="2" t="s">
        <v>38</v>
      </c>
      <c r="O436" s="2" t="s">
        <v>38</v>
      </c>
      <c r="P436" s="2" t="s">
        <v>80</v>
      </c>
      <c r="Q436" s="2" t="s">
        <v>38</v>
      </c>
      <c r="R436" s="2" t="s">
        <v>98</v>
      </c>
      <c r="S436" s="2" t="s">
        <v>735</v>
      </c>
      <c r="T436" s="2" t="s">
        <v>73</v>
      </c>
      <c r="U436" s="2" t="s">
        <v>481</v>
      </c>
      <c r="V436" s="2" t="s">
        <v>736</v>
      </c>
      <c r="W436" s="2" t="s">
        <v>38</v>
      </c>
      <c r="X436" s="3">
        <v>40977</v>
      </c>
      <c r="Y436" s="2" t="s">
        <v>737</v>
      </c>
      <c r="Z436" s="4"/>
      <c r="AA436" s="2" t="s">
        <v>672</v>
      </c>
      <c r="AB436" s="2" t="s">
        <v>673</v>
      </c>
      <c r="AC436" s="12">
        <f t="shared" si="36"/>
        <v>2012</v>
      </c>
      <c r="AD436" s="12">
        <f t="shared" si="37"/>
        <v>3</v>
      </c>
      <c r="AE436" s="12">
        <f t="shared" si="38"/>
        <v>9</v>
      </c>
      <c r="AF436" s="16">
        <f t="shared" si="39"/>
        <v>2.4</v>
      </c>
      <c r="AG436" s="16">
        <f t="shared" si="40"/>
        <v>30.9</v>
      </c>
      <c r="AH436" s="16" t="str">
        <f t="shared" si="41"/>
        <v/>
      </c>
    </row>
    <row r="437" spans="1:34" x14ac:dyDescent="0.35">
      <c r="A437" s="2" t="s">
        <v>740</v>
      </c>
      <c r="B437" s="2" t="s">
        <v>29</v>
      </c>
      <c r="C437" s="2" t="s">
        <v>30</v>
      </c>
      <c r="D437" s="2" t="s">
        <v>128</v>
      </c>
      <c r="E437" s="2" t="s">
        <v>286</v>
      </c>
      <c r="F437" s="2" t="s">
        <v>635</v>
      </c>
      <c r="G437" s="2" t="s">
        <v>34</v>
      </c>
      <c r="H437" s="2" t="s">
        <v>113</v>
      </c>
      <c r="I437" s="2" t="s">
        <v>114</v>
      </c>
      <c r="J437" s="2" t="s">
        <v>37</v>
      </c>
      <c r="K437" s="2" t="s">
        <v>38</v>
      </c>
      <c r="L437" s="2" t="s">
        <v>38</v>
      </c>
      <c r="M437" s="2" t="s">
        <v>39</v>
      </c>
      <c r="N437" s="2" t="s">
        <v>38</v>
      </c>
      <c r="O437" s="2" t="s">
        <v>38</v>
      </c>
      <c r="P437" s="2" t="s">
        <v>742</v>
      </c>
      <c r="Q437" s="2" t="s">
        <v>38</v>
      </c>
      <c r="R437" s="2" t="s">
        <v>98</v>
      </c>
      <c r="S437" s="2" t="s">
        <v>743</v>
      </c>
      <c r="T437" s="2" t="s">
        <v>90</v>
      </c>
      <c r="U437" s="2" t="s">
        <v>711</v>
      </c>
      <c r="V437" s="2" t="s">
        <v>744</v>
      </c>
      <c r="W437" s="2" t="s">
        <v>38</v>
      </c>
      <c r="X437" s="3">
        <v>40978</v>
      </c>
      <c r="Y437" s="2" t="s">
        <v>745</v>
      </c>
      <c r="Z437" s="34"/>
      <c r="AA437" s="2" t="s">
        <v>672</v>
      </c>
      <c r="AB437" s="2" t="s">
        <v>673</v>
      </c>
      <c r="AC437" s="12">
        <f t="shared" si="36"/>
        <v>2012</v>
      </c>
      <c r="AD437" s="12">
        <f t="shared" si="37"/>
        <v>3</v>
      </c>
      <c r="AE437" s="12">
        <f t="shared" si="38"/>
        <v>10</v>
      </c>
      <c r="AF437" s="16">
        <f t="shared" si="39"/>
        <v>1.2</v>
      </c>
      <c r="AG437" s="16">
        <f t="shared" si="40"/>
        <v>32.9</v>
      </c>
      <c r="AH437" s="16" t="str">
        <f t="shared" si="41"/>
        <v/>
      </c>
    </row>
    <row r="438" spans="1:34" x14ac:dyDescent="0.35">
      <c r="A438" s="2" t="s">
        <v>746</v>
      </c>
      <c r="B438" s="2" t="s">
        <v>29</v>
      </c>
      <c r="C438" s="2" t="s">
        <v>30</v>
      </c>
      <c r="D438" s="2" t="s">
        <v>128</v>
      </c>
      <c r="E438" s="2" t="s">
        <v>172</v>
      </c>
      <c r="F438" s="2" t="s">
        <v>635</v>
      </c>
      <c r="G438" s="2" t="s">
        <v>34</v>
      </c>
      <c r="H438" s="2" t="s">
        <v>371</v>
      </c>
      <c r="I438" s="2" t="s">
        <v>583</v>
      </c>
      <c r="J438" s="2" t="s">
        <v>37</v>
      </c>
      <c r="K438" s="2" t="s">
        <v>38</v>
      </c>
      <c r="L438" s="2" t="s">
        <v>38</v>
      </c>
      <c r="M438" s="2" t="s">
        <v>39</v>
      </c>
      <c r="N438" s="2" t="s">
        <v>38</v>
      </c>
      <c r="O438" s="2" t="s">
        <v>38</v>
      </c>
      <c r="P438" s="2" t="s">
        <v>584</v>
      </c>
      <c r="Q438" s="2" t="s">
        <v>38</v>
      </c>
      <c r="R438" s="2" t="s">
        <v>98</v>
      </c>
      <c r="S438" s="2" t="s">
        <v>751</v>
      </c>
      <c r="T438" s="2" t="s">
        <v>73</v>
      </c>
      <c r="U438" s="2" t="s">
        <v>711</v>
      </c>
      <c r="V438" s="2" t="s">
        <v>176</v>
      </c>
      <c r="W438" s="2" t="s">
        <v>38</v>
      </c>
      <c r="X438" s="3">
        <v>40979</v>
      </c>
      <c r="Y438" s="2" t="s">
        <v>752</v>
      </c>
      <c r="Z438" s="34"/>
      <c r="AA438" s="2" t="s">
        <v>672</v>
      </c>
      <c r="AB438" s="2" t="s">
        <v>673</v>
      </c>
      <c r="AC438" s="12">
        <f t="shared" si="36"/>
        <v>2012</v>
      </c>
      <c r="AD438" s="12">
        <f t="shared" si="37"/>
        <v>3</v>
      </c>
      <c r="AE438" s="12">
        <f t="shared" si="38"/>
        <v>11</v>
      </c>
      <c r="AF438" s="16">
        <f t="shared" si="39"/>
        <v>5.4</v>
      </c>
      <c r="AG438" s="16">
        <f t="shared" si="40"/>
        <v>35.1</v>
      </c>
      <c r="AH438" s="16" t="str">
        <f t="shared" si="41"/>
        <v/>
      </c>
    </row>
    <row r="439" spans="1:34" x14ac:dyDescent="0.35">
      <c r="A439" s="2" t="s">
        <v>753</v>
      </c>
      <c r="B439" s="2" t="s">
        <v>29</v>
      </c>
      <c r="C439" s="2" t="s">
        <v>30</v>
      </c>
      <c r="D439" s="2" t="s">
        <v>36</v>
      </c>
      <c r="E439" s="2" t="s">
        <v>250</v>
      </c>
      <c r="F439" s="2" t="s">
        <v>307</v>
      </c>
      <c r="G439" s="2" t="s">
        <v>34</v>
      </c>
      <c r="H439" s="2" t="s">
        <v>754</v>
      </c>
      <c r="I439" s="2" t="s">
        <v>583</v>
      </c>
      <c r="J439" s="2" t="s">
        <v>37</v>
      </c>
      <c r="K439" s="2" t="s">
        <v>38</v>
      </c>
      <c r="L439" s="2" t="s">
        <v>38</v>
      </c>
      <c r="M439" s="2" t="s">
        <v>39</v>
      </c>
      <c r="N439" s="2" t="s">
        <v>38</v>
      </c>
      <c r="O439" s="2" t="s">
        <v>38</v>
      </c>
      <c r="P439" s="2" t="s">
        <v>630</v>
      </c>
      <c r="Q439" s="2" t="s">
        <v>38</v>
      </c>
      <c r="R439" s="2" t="s">
        <v>98</v>
      </c>
      <c r="S439" s="2" t="s">
        <v>563</v>
      </c>
      <c r="T439" s="2" t="s">
        <v>90</v>
      </c>
      <c r="U439" s="2" t="s">
        <v>542</v>
      </c>
      <c r="V439" s="2" t="s">
        <v>254</v>
      </c>
      <c r="W439" s="2" t="s">
        <v>38</v>
      </c>
      <c r="X439" s="3">
        <v>40980</v>
      </c>
      <c r="Y439" s="2" t="s">
        <v>755</v>
      </c>
      <c r="Z439" s="4"/>
      <c r="AA439" s="2" t="s">
        <v>672</v>
      </c>
      <c r="AB439" s="2" t="s">
        <v>673</v>
      </c>
      <c r="AC439" s="12">
        <f t="shared" si="36"/>
        <v>2012</v>
      </c>
      <c r="AD439" s="12">
        <f t="shared" si="37"/>
        <v>3</v>
      </c>
      <c r="AE439" s="12">
        <f t="shared" si="38"/>
        <v>12</v>
      </c>
      <c r="AF439" s="16">
        <f t="shared" si="39"/>
        <v>5.5</v>
      </c>
      <c r="AG439" s="16">
        <f t="shared" si="40"/>
        <v>35.200000000000003</v>
      </c>
      <c r="AH439" s="16" t="str">
        <f t="shared" si="41"/>
        <v/>
      </c>
    </row>
    <row r="440" spans="1:34" x14ac:dyDescent="0.35">
      <c r="A440" s="2" t="s">
        <v>763</v>
      </c>
      <c r="B440" s="2" t="s">
        <v>29</v>
      </c>
      <c r="C440" s="2" t="s">
        <v>30</v>
      </c>
      <c r="D440" s="2" t="s">
        <v>114</v>
      </c>
      <c r="E440" s="2" t="s">
        <v>151</v>
      </c>
      <c r="F440" s="2" t="s">
        <v>307</v>
      </c>
      <c r="G440" s="2" t="s">
        <v>34</v>
      </c>
      <c r="H440" s="2" t="s">
        <v>79</v>
      </c>
      <c r="I440" s="2" t="s">
        <v>531</v>
      </c>
      <c r="J440" s="2" t="s">
        <v>37</v>
      </c>
      <c r="K440" s="2" t="s">
        <v>38</v>
      </c>
      <c r="L440" s="2" t="s">
        <v>38</v>
      </c>
      <c r="M440" s="2" t="s">
        <v>39</v>
      </c>
      <c r="N440" s="2" t="s">
        <v>38</v>
      </c>
      <c r="O440" s="2" t="s">
        <v>38</v>
      </c>
      <c r="P440" s="2" t="s">
        <v>765</v>
      </c>
      <c r="Q440" s="2" t="s">
        <v>38</v>
      </c>
      <c r="R440" s="2" t="s">
        <v>98</v>
      </c>
      <c r="S440" s="2" t="s">
        <v>766</v>
      </c>
      <c r="T440" s="2" t="s">
        <v>90</v>
      </c>
      <c r="U440" s="2" t="s">
        <v>593</v>
      </c>
      <c r="V440" s="2" t="s">
        <v>602</v>
      </c>
      <c r="W440" s="2" t="s">
        <v>38</v>
      </c>
      <c r="X440" s="3">
        <v>40981</v>
      </c>
      <c r="Y440" s="2" t="s">
        <v>767</v>
      </c>
      <c r="Z440" s="34"/>
      <c r="AA440" s="2" t="s">
        <v>672</v>
      </c>
      <c r="AB440" s="2" t="s">
        <v>673</v>
      </c>
      <c r="AC440" s="12">
        <f t="shared" si="36"/>
        <v>2012</v>
      </c>
      <c r="AD440" s="12">
        <f t="shared" si="37"/>
        <v>3</v>
      </c>
      <c r="AE440" s="12">
        <f t="shared" si="38"/>
        <v>13</v>
      </c>
      <c r="AF440" s="16">
        <f t="shared" si="39"/>
        <v>2.7</v>
      </c>
      <c r="AG440" s="16">
        <f t="shared" si="40"/>
        <v>34.1</v>
      </c>
      <c r="AH440" s="16" t="str">
        <f t="shared" si="41"/>
        <v/>
      </c>
    </row>
    <row r="441" spans="1:34" x14ac:dyDescent="0.35">
      <c r="A441" s="2" t="s">
        <v>768</v>
      </c>
      <c r="B441" s="2" t="s">
        <v>29</v>
      </c>
      <c r="C441" s="2" t="s">
        <v>30</v>
      </c>
      <c r="D441" s="2" t="s">
        <v>531</v>
      </c>
      <c r="E441" s="2" t="s">
        <v>172</v>
      </c>
      <c r="F441" s="2" t="s">
        <v>462</v>
      </c>
      <c r="G441" s="2" t="s">
        <v>34</v>
      </c>
      <c r="H441" s="2" t="s">
        <v>79</v>
      </c>
      <c r="I441" s="2" t="s">
        <v>583</v>
      </c>
      <c r="J441" s="2" t="s">
        <v>37</v>
      </c>
      <c r="K441" s="2" t="s">
        <v>38</v>
      </c>
      <c r="L441" s="2" t="s">
        <v>38</v>
      </c>
      <c r="M441" s="2" t="s">
        <v>39</v>
      </c>
      <c r="N441" s="2" t="s">
        <v>38</v>
      </c>
      <c r="O441" s="2" t="s">
        <v>38</v>
      </c>
      <c r="P441" s="2" t="s">
        <v>584</v>
      </c>
      <c r="Q441" s="2" t="s">
        <v>38</v>
      </c>
      <c r="R441" s="2" t="s">
        <v>98</v>
      </c>
      <c r="S441" s="2" t="s">
        <v>464</v>
      </c>
      <c r="T441" s="2" t="s">
        <v>90</v>
      </c>
      <c r="U441" s="2" t="s">
        <v>611</v>
      </c>
      <c r="V441" s="2" t="s">
        <v>176</v>
      </c>
      <c r="W441" s="2" t="s">
        <v>38</v>
      </c>
      <c r="X441" s="3">
        <v>40982</v>
      </c>
      <c r="Y441" s="2" t="s">
        <v>772</v>
      </c>
      <c r="Z441" s="4"/>
      <c r="AA441" s="2" t="s">
        <v>672</v>
      </c>
      <c r="AB441" s="2" t="s">
        <v>673</v>
      </c>
      <c r="AC441" s="12">
        <f t="shared" si="36"/>
        <v>2012</v>
      </c>
      <c r="AD441" s="12">
        <f t="shared" si="37"/>
        <v>3</v>
      </c>
      <c r="AE441" s="12">
        <f t="shared" si="38"/>
        <v>14</v>
      </c>
      <c r="AF441" s="16">
        <f t="shared" si="39"/>
        <v>5.4</v>
      </c>
      <c r="AG441" s="16">
        <f t="shared" si="40"/>
        <v>35.1</v>
      </c>
      <c r="AH441" s="16" t="str">
        <f t="shared" si="41"/>
        <v/>
      </c>
    </row>
    <row r="442" spans="1:34" x14ac:dyDescent="0.35">
      <c r="A442" s="2" t="s">
        <v>773</v>
      </c>
      <c r="B442" s="2" t="s">
        <v>29</v>
      </c>
      <c r="C442" s="2" t="s">
        <v>30</v>
      </c>
      <c r="D442" s="2" t="s">
        <v>583</v>
      </c>
      <c r="E442" s="2" t="s">
        <v>172</v>
      </c>
      <c r="F442" s="2" t="s">
        <v>287</v>
      </c>
      <c r="G442" s="2" t="s">
        <v>34</v>
      </c>
      <c r="H442" s="2" t="s">
        <v>457</v>
      </c>
      <c r="I442" s="2" t="s">
        <v>652</v>
      </c>
      <c r="J442" s="2" t="s">
        <v>37</v>
      </c>
      <c r="K442" s="2" t="s">
        <v>38</v>
      </c>
      <c r="L442" s="2" t="s">
        <v>38</v>
      </c>
      <c r="M442" s="2" t="s">
        <v>39</v>
      </c>
      <c r="N442" s="2" t="s">
        <v>38</v>
      </c>
      <c r="O442" s="2" t="s">
        <v>38</v>
      </c>
      <c r="P442" s="2" t="s">
        <v>774</v>
      </c>
      <c r="Q442" s="2" t="s">
        <v>38</v>
      </c>
      <c r="R442" s="2" t="s">
        <v>98</v>
      </c>
      <c r="S442" s="2" t="s">
        <v>89</v>
      </c>
      <c r="T442" s="2" t="s">
        <v>90</v>
      </c>
      <c r="U442" s="2" t="s">
        <v>775</v>
      </c>
      <c r="V442" s="2" t="s">
        <v>191</v>
      </c>
      <c r="W442" s="2" t="s">
        <v>38</v>
      </c>
      <c r="X442" s="3">
        <v>40983</v>
      </c>
      <c r="Y442" s="2" t="s">
        <v>776</v>
      </c>
      <c r="Z442" s="4"/>
      <c r="AA442" s="2" t="s">
        <v>672</v>
      </c>
      <c r="AB442" s="2" t="s">
        <v>673</v>
      </c>
      <c r="AC442" s="12">
        <f t="shared" si="36"/>
        <v>2012</v>
      </c>
      <c r="AD442" s="12">
        <f t="shared" si="37"/>
        <v>3</v>
      </c>
      <c r="AE442" s="12">
        <f t="shared" si="38"/>
        <v>15</v>
      </c>
      <c r="AF442" s="16">
        <f t="shared" si="39"/>
        <v>5.3</v>
      </c>
      <c r="AG442" s="16">
        <f t="shared" si="40"/>
        <v>36.9</v>
      </c>
      <c r="AH442" s="16" t="str">
        <f t="shared" si="41"/>
        <v/>
      </c>
    </row>
    <row r="443" spans="1:34" x14ac:dyDescent="0.35">
      <c r="A443" s="2" t="s">
        <v>780</v>
      </c>
      <c r="B443" s="2" t="s">
        <v>29</v>
      </c>
      <c r="C443" s="2" t="s">
        <v>30</v>
      </c>
      <c r="D443" s="2" t="s">
        <v>608</v>
      </c>
      <c r="E443" s="2" t="s">
        <v>165</v>
      </c>
      <c r="F443" s="2" t="s">
        <v>785</v>
      </c>
      <c r="G443" s="2" t="s">
        <v>34</v>
      </c>
      <c r="H443" s="2" t="s">
        <v>295</v>
      </c>
      <c r="I443" s="2" t="s">
        <v>652</v>
      </c>
      <c r="J443" s="2" t="s">
        <v>37</v>
      </c>
      <c r="K443" s="2" t="s">
        <v>38</v>
      </c>
      <c r="L443" s="2" t="s">
        <v>38</v>
      </c>
      <c r="M443" s="2" t="s">
        <v>39</v>
      </c>
      <c r="N443" s="2" t="s">
        <v>38</v>
      </c>
      <c r="O443" s="2" t="s">
        <v>38</v>
      </c>
      <c r="P443" s="2" t="s">
        <v>786</v>
      </c>
      <c r="Q443" s="2" t="s">
        <v>38</v>
      </c>
      <c r="R443" s="2" t="s">
        <v>98</v>
      </c>
      <c r="S443" s="2" t="s">
        <v>89</v>
      </c>
      <c r="T443" s="2" t="s">
        <v>90</v>
      </c>
      <c r="U443" s="2" t="s">
        <v>787</v>
      </c>
      <c r="V443" s="2" t="s">
        <v>333</v>
      </c>
      <c r="W443" s="2" t="s">
        <v>38</v>
      </c>
      <c r="X443" s="3">
        <v>40984</v>
      </c>
      <c r="Y443" s="2" t="s">
        <v>788</v>
      </c>
      <c r="Z443" s="34"/>
      <c r="AA443" s="2" t="s">
        <v>672</v>
      </c>
      <c r="AB443" s="2" t="s">
        <v>673</v>
      </c>
      <c r="AC443" s="12">
        <f t="shared" si="36"/>
        <v>2012</v>
      </c>
      <c r="AD443" s="12">
        <f t="shared" si="37"/>
        <v>3</v>
      </c>
      <c r="AE443" s="12">
        <f t="shared" si="38"/>
        <v>16</v>
      </c>
      <c r="AF443" s="16">
        <f t="shared" si="39"/>
        <v>9</v>
      </c>
      <c r="AG443" s="16">
        <f t="shared" si="40"/>
        <v>37.200000000000003</v>
      </c>
      <c r="AH443" s="16" t="str">
        <f t="shared" si="41"/>
        <v/>
      </c>
    </row>
    <row r="444" spans="1:34" x14ac:dyDescent="0.35">
      <c r="A444" s="2" t="s">
        <v>789</v>
      </c>
      <c r="B444" s="2" t="s">
        <v>29</v>
      </c>
      <c r="C444" s="2" t="s">
        <v>30</v>
      </c>
      <c r="D444" s="2" t="s">
        <v>583</v>
      </c>
      <c r="E444" s="2" t="s">
        <v>215</v>
      </c>
      <c r="F444" s="2" t="s">
        <v>790</v>
      </c>
      <c r="G444" s="2" t="s">
        <v>34</v>
      </c>
      <c r="H444" s="2" t="s">
        <v>451</v>
      </c>
      <c r="I444" s="2" t="s">
        <v>791</v>
      </c>
      <c r="J444" s="2" t="s">
        <v>37</v>
      </c>
      <c r="K444" s="2" t="s">
        <v>38</v>
      </c>
      <c r="L444" s="2" t="s">
        <v>38</v>
      </c>
      <c r="M444" s="2" t="s">
        <v>39</v>
      </c>
      <c r="N444" s="2" t="s">
        <v>38</v>
      </c>
      <c r="O444" s="2" t="s">
        <v>38</v>
      </c>
      <c r="P444" s="2" t="s">
        <v>792</v>
      </c>
      <c r="Q444" s="2" t="s">
        <v>38</v>
      </c>
      <c r="R444" s="2" t="s">
        <v>98</v>
      </c>
      <c r="S444" s="2" t="s">
        <v>793</v>
      </c>
      <c r="T444" s="2" t="s">
        <v>90</v>
      </c>
      <c r="U444" s="2" t="s">
        <v>775</v>
      </c>
      <c r="V444" s="2" t="s">
        <v>794</v>
      </c>
      <c r="W444" s="2" t="s">
        <v>38</v>
      </c>
      <c r="X444" s="3">
        <v>40985</v>
      </c>
      <c r="Y444" s="2" t="s">
        <v>795</v>
      </c>
      <c r="Z444" s="34"/>
      <c r="AA444" s="2" t="s">
        <v>672</v>
      </c>
      <c r="AB444" s="2" t="s">
        <v>673</v>
      </c>
      <c r="AC444" s="12">
        <f t="shared" si="36"/>
        <v>2012</v>
      </c>
      <c r="AD444" s="12">
        <f t="shared" si="37"/>
        <v>3</v>
      </c>
      <c r="AE444" s="12">
        <f t="shared" si="38"/>
        <v>17</v>
      </c>
      <c r="AF444" s="16">
        <f t="shared" si="39"/>
        <v>5.9</v>
      </c>
      <c r="AG444" s="16">
        <f t="shared" si="40"/>
        <v>38.1</v>
      </c>
      <c r="AH444" s="16" t="str">
        <f t="shared" si="41"/>
        <v/>
      </c>
    </row>
    <row r="445" spans="1:34" x14ac:dyDescent="0.35">
      <c r="A445" s="2" t="s">
        <v>798</v>
      </c>
      <c r="B445" s="2" t="s">
        <v>29</v>
      </c>
      <c r="C445" s="2" t="s">
        <v>30</v>
      </c>
      <c r="D445" s="2" t="s">
        <v>583</v>
      </c>
      <c r="E445" s="2" t="s">
        <v>215</v>
      </c>
      <c r="F445" s="2" t="s">
        <v>800</v>
      </c>
      <c r="G445" s="2" t="s">
        <v>34</v>
      </c>
      <c r="H445" s="2" t="s">
        <v>137</v>
      </c>
      <c r="I445" s="2" t="s">
        <v>791</v>
      </c>
      <c r="J445" s="2" t="s">
        <v>37</v>
      </c>
      <c r="K445" s="2" t="s">
        <v>38</v>
      </c>
      <c r="L445" s="2" t="s">
        <v>38</v>
      </c>
      <c r="M445" s="2" t="s">
        <v>39</v>
      </c>
      <c r="N445" s="2" t="s">
        <v>38</v>
      </c>
      <c r="O445" s="2" t="s">
        <v>38</v>
      </c>
      <c r="P445" s="2" t="s">
        <v>801</v>
      </c>
      <c r="Q445" s="2" t="s">
        <v>38</v>
      </c>
      <c r="R445" s="2" t="s">
        <v>98</v>
      </c>
      <c r="S445" s="2" t="s">
        <v>289</v>
      </c>
      <c r="T445" s="2" t="s">
        <v>90</v>
      </c>
      <c r="U445" s="2" t="s">
        <v>775</v>
      </c>
      <c r="V445" s="2" t="s">
        <v>794</v>
      </c>
      <c r="W445" s="2" t="s">
        <v>38</v>
      </c>
      <c r="X445" s="3">
        <v>40986</v>
      </c>
      <c r="Y445" s="2" t="s">
        <v>802</v>
      </c>
      <c r="Z445" s="4"/>
      <c r="AA445" s="2" t="s">
        <v>672</v>
      </c>
      <c r="AB445" s="2" t="s">
        <v>673</v>
      </c>
      <c r="AC445" s="12">
        <f t="shared" si="36"/>
        <v>2012</v>
      </c>
      <c r="AD445" s="12">
        <f t="shared" si="37"/>
        <v>3</v>
      </c>
      <c r="AE445" s="12">
        <f t="shared" si="38"/>
        <v>18</v>
      </c>
      <c r="AF445" s="16">
        <f t="shared" si="39"/>
        <v>5.9</v>
      </c>
      <c r="AG445" s="16">
        <f t="shared" si="40"/>
        <v>37.799999999999997</v>
      </c>
      <c r="AH445" s="16" t="str">
        <f t="shared" si="41"/>
        <v/>
      </c>
    </row>
    <row r="446" spans="1:34" x14ac:dyDescent="0.35">
      <c r="A446" s="2" t="s">
        <v>803</v>
      </c>
      <c r="B446" s="2" t="s">
        <v>29</v>
      </c>
      <c r="C446" s="2" t="s">
        <v>30</v>
      </c>
      <c r="D446" s="2" t="s">
        <v>583</v>
      </c>
      <c r="E446" s="2" t="s">
        <v>511</v>
      </c>
      <c r="F446" s="2" t="s">
        <v>790</v>
      </c>
      <c r="G446" s="2" t="s">
        <v>34</v>
      </c>
      <c r="H446" s="2" t="s">
        <v>331</v>
      </c>
      <c r="I446" s="2" t="s">
        <v>791</v>
      </c>
      <c r="J446" s="2" t="s">
        <v>37</v>
      </c>
      <c r="K446" s="2" t="s">
        <v>38</v>
      </c>
      <c r="L446" s="2" t="s">
        <v>38</v>
      </c>
      <c r="M446" s="2" t="s">
        <v>39</v>
      </c>
      <c r="N446" s="2" t="s">
        <v>38</v>
      </c>
      <c r="O446" s="2" t="s">
        <v>38</v>
      </c>
      <c r="P446" s="2" t="s">
        <v>792</v>
      </c>
      <c r="Q446" s="2" t="s">
        <v>38</v>
      </c>
      <c r="R446" s="2" t="s">
        <v>98</v>
      </c>
      <c r="S446" s="2" t="s">
        <v>533</v>
      </c>
      <c r="T446" s="2" t="s">
        <v>90</v>
      </c>
      <c r="U446" s="2" t="s">
        <v>804</v>
      </c>
      <c r="V446" s="2" t="s">
        <v>805</v>
      </c>
      <c r="W446" s="2" t="s">
        <v>38</v>
      </c>
      <c r="X446" s="3">
        <v>40987</v>
      </c>
      <c r="Y446" s="2" t="s">
        <v>806</v>
      </c>
      <c r="Z446" s="34"/>
      <c r="AA446" s="2" t="s">
        <v>672</v>
      </c>
      <c r="AB446" s="2" t="s">
        <v>673</v>
      </c>
      <c r="AC446" s="12">
        <f t="shared" si="36"/>
        <v>2012</v>
      </c>
      <c r="AD446" s="12">
        <f t="shared" si="37"/>
        <v>3</v>
      </c>
      <c r="AE446" s="12">
        <f t="shared" si="38"/>
        <v>19</v>
      </c>
      <c r="AF446" s="16">
        <f t="shared" si="39"/>
        <v>3.6</v>
      </c>
      <c r="AG446" s="16">
        <f t="shared" si="40"/>
        <v>38.1</v>
      </c>
      <c r="AH446" s="16" t="str">
        <f t="shared" si="41"/>
        <v/>
      </c>
    </row>
    <row r="447" spans="1:34" x14ac:dyDescent="0.35">
      <c r="A447" s="2" t="s">
        <v>809</v>
      </c>
      <c r="B447" s="2" t="s">
        <v>29</v>
      </c>
      <c r="C447" s="2" t="s">
        <v>30</v>
      </c>
      <c r="D447" s="2" t="s">
        <v>608</v>
      </c>
      <c r="E447" s="2" t="s">
        <v>511</v>
      </c>
      <c r="F447" s="2" t="s">
        <v>812</v>
      </c>
      <c r="G447" s="2" t="s">
        <v>34</v>
      </c>
      <c r="H447" s="2" t="s">
        <v>180</v>
      </c>
      <c r="I447" s="2" t="s">
        <v>813</v>
      </c>
      <c r="J447" s="2" t="s">
        <v>37</v>
      </c>
      <c r="K447" s="2" t="s">
        <v>38</v>
      </c>
      <c r="L447" s="2" t="s">
        <v>38</v>
      </c>
      <c r="M447" s="2" t="s">
        <v>39</v>
      </c>
      <c r="N447" s="2" t="s">
        <v>38</v>
      </c>
      <c r="O447" s="2" t="s">
        <v>38</v>
      </c>
      <c r="P447" s="2" t="s">
        <v>814</v>
      </c>
      <c r="Q447" s="2" t="s">
        <v>38</v>
      </c>
      <c r="R447" s="2" t="s">
        <v>98</v>
      </c>
      <c r="S447" s="2" t="s">
        <v>541</v>
      </c>
      <c r="T447" s="2" t="s">
        <v>90</v>
      </c>
      <c r="U447" s="2" t="s">
        <v>815</v>
      </c>
      <c r="V447" s="2" t="s">
        <v>535</v>
      </c>
      <c r="W447" s="2" t="s">
        <v>38</v>
      </c>
      <c r="X447" s="3">
        <v>40988</v>
      </c>
      <c r="Y447" s="2" t="s">
        <v>816</v>
      </c>
      <c r="Z447" s="4"/>
      <c r="AA447" s="2" t="s">
        <v>672</v>
      </c>
      <c r="AB447" s="2" t="s">
        <v>673</v>
      </c>
      <c r="AC447" s="12">
        <f t="shared" si="36"/>
        <v>2012</v>
      </c>
      <c r="AD447" s="12">
        <f t="shared" si="37"/>
        <v>3</v>
      </c>
      <c r="AE447" s="12">
        <f t="shared" si="38"/>
        <v>20</v>
      </c>
      <c r="AF447" s="16">
        <f t="shared" si="39"/>
        <v>3.8</v>
      </c>
      <c r="AG447" s="16">
        <f t="shared" si="40"/>
        <v>39.1</v>
      </c>
      <c r="AH447" s="16" t="str">
        <f t="shared" si="41"/>
        <v/>
      </c>
    </row>
    <row r="448" spans="1:34" x14ac:dyDescent="0.35">
      <c r="A448" s="2" t="s">
        <v>817</v>
      </c>
      <c r="B448" s="2" t="s">
        <v>29</v>
      </c>
      <c r="C448" s="2" t="s">
        <v>30</v>
      </c>
      <c r="D448" s="2" t="s">
        <v>608</v>
      </c>
      <c r="E448" s="2" t="s">
        <v>215</v>
      </c>
      <c r="F448" s="2" t="s">
        <v>818</v>
      </c>
      <c r="G448" s="2" t="s">
        <v>34</v>
      </c>
      <c r="H448" s="2" t="s">
        <v>475</v>
      </c>
      <c r="I448" s="2" t="s">
        <v>791</v>
      </c>
      <c r="J448" s="2" t="s">
        <v>37</v>
      </c>
      <c r="K448" s="2" t="s">
        <v>38</v>
      </c>
      <c r="L448" s="2" t="s">
        <v>38</v>
      </c>
      <c r="M448" s="2" t="s">
        <v>39</v>
      </c>
      <c r="N448" s="2" t="s">
        <v>38</v>
      </c>
      <c r="O448" s="2" t="s">
        <v>38</v>
      </c>
      <c r="P448" s="2" t="s">
        <v>819</v>
      </c>
      <c r="Q448" s="2" t="s">
        <v>38</v>
      </c>
      <c r="R448" s="2" t="s">
        <v>98</v>
      </c>
      <c r="S448" s="2" t="s">
        <v>533</v>
      </c>
      <c r="T448" s="2" t="s">
        <v>90</v>
      </c>
      <c r="U448" s="2" t="s">
        <v>820</v>
      </c>
      <c r="V448" s="2" t="s">
        <v>821</v>
      </c>
      <c r="W448" s="2" t="s">
        <v>38</v>
      </c>
      <c r="X448" s="3">
        <v>40989</v>
      </c>
      <c r="Y448" s="2" t="s">
        <v>822</v>
      </c>
      <c r="Z448" s="34"/>
      <c r="AA448" s="2" t="s">
        <v>672</v>
      </c>
      <c r="AB448" s="2" t="s">
        <v>673</v>
      </c>
      <c r="AC448" s="12">
        <f t="shared" si="36"/>
        <v>2012</v>
      </c>
      <c r="AD448" s="12">
        <f t="shared" si="37"/>
        <v>3</v>
      </c>
      <c r="AE448" s="12">
        <f t="shared" si="38"/>
        <v>21</v>
      </c>
      <c r="AF448" s="16">
        <f t="shared" si="39"/>
        <v>5.6</v>
      </c>
      <c r="AG448" s="16">
        <f t="shared" si="40"/>
        <v>38.4</v>
      </c>
      <c r="AH448" s="16" t="str">
        <f t="shared" si="41"/>
        <v/>
      </c>
    </row>
    <row r="449" spans="1:34" x14ac:dyDescent="0.35">
      <c r="A449" s="2" t="s">
        <v>825</v>
      </c>
      <c r="B449" s="2" t="s">
        <v>29</v>
      </c>
      <c r="C449" s="2" t="s">
        <v>30</v>
      </c>
      <c r="D449" s="2" t="s">
        <v>652</v>
      </c>
      <c r="E449" s="2" t="s">
        <v>195</v>
      </c>
      <c r="F449" s="2" t="s">
        <v>826</v>
      </c>
      <c r="G449" s="2" t="s">
        <v>34</v>
      </c>
      <c r="H449" s="2" t="s">
        <v>96</v>
      </c>
      <c r="I449" s="2" t="s">
        <v>791</v>
      </c>
      <c r="J449" s="2" t="s">
        <v>37</v>
      </c>
      <c r="K449" s="2" t="s">
        <v>38</v>
      </c>
      <c r="L449" s="2" t="s">
        <v>38</v>
      </c>
      <c r="M449" s="2" t="s">
        <v>39</v>
      </c>
      <c r="N449" s="2" t="s">
        <v>38</v>
      </c>
      <c r="O449" s="2" t="s">
        <v>38</v>
      </c>
      <c r="P449" s="2" t="s">
        <v>827</v>
      </c>
      <c r="Q449" s="2" t="s">
        <v>38</v>
      </c>
      <c r="R449" s="2" t="s">
        <v>98</v>
      </c>
      <c r="S449" s="2" t="s">
        <v>828</v>
      </c>
      <c r="T449" s="2" t="s">
        <v>90</v>
      </c>
      <c r="U449" s="2" t="s">
        <v>829</v>
      </c>
      <c r="V449" s="2" t="s">
        <v>830</v>
      </c>
      <c r="W449" s="2" t="s">
        <v>38</v>
      </c>
      <c r="X449" s="3">
        <v>40990</v>
      </c>
      <c r="Y449" s="2" t="s">
        <v>831</v>
      </c>
      <c r="Z449" s="4"/>
      <c r="AA449" s="2" t="s">
        <v>672</v>
      </c>
      <c r="AB449" s="2" t="s">
        <v>673</v>
      </c>
      <c r="AC449" s="12">
        <f t="shared" si="36"/>
        <v>2012</v>
      </c>
      <c r="AD449" s="12">
        <f t="shared" si="37"/>
        <v>3</v>
      </c>
      <c r="AE449" s="12">
        <f t="shared" si="38"/>
        <v>22</v>
      </c>
      <c r="AF449" s="16">
        <f t="shared" si="39"/>
        <v>8.3000000000000007</v>
      </c>
      <c r="AG449" s="16">
        <f t="shared" si="40"/>
        <v>38</v>
      </c>
      <c r="AH449" s="16" t="str">
        <f t="shared" si="41"/>
        <v/>
      </c>
    </row>
    <row r="450" spans="1:34" x14ac:dyDescent="0.35">
      <c r="A450" s="2" t="s">
        <v>834</v>
      </c>
      <c r="B450" s="2" t="s">
        <v>29</v>
      </c>
      <c r="C450" s="2" t="s">
        <v>30</v>
      </c>
      <c r="D450" s="2" t="s">
        <v>652</v>
      </c>
      <c r="E450" s="2" t="s">
        <v>172</v>
      </c>
      <c r="F450" s="2" t="s">
        <v>600</v>
      </c>
      <c r="G450" s="2" t="s">
        <v>34</v>
      </c>
      <c r="H450" s="2" t="s">
        <v>69</v>
      </c>
      <c r="I450" s="2" t="s">
        <v>791</v>
      </c>
      <c r="J450" s="2" t="s">
        <v>37</v>
      </c>
      <c r="K450" s="2" t="s">
        <v>38</v>
      </c>
      <c r="L450" s="2" t="s">
        <v>38</v>
      </c>
      <c r="M450" s="2" t="s">
        <v>39</v>
      </c>
      <c r="N450" s="2" t="s">
        <v>38</v>
      </c>
      <c r="O450" s="2" t="s">
        <v>38</v>
      </c>
      <c r="P450" s="2" t="s">
        <v>819</v>
      </c>
      <c r="Q450" s="2" t="s">
        <v>38</v>
      </c>
      <c r="R450" s="2" t="s">
        <v>183</v>
      </c>
      <c r="S450" s="2" t="s">
        <v>838</v>
      </c>
      <c r="T450" s="2" t="s">
        <v>90</v>
      </c>
      <c r="U450" s="2" t="s">
        <v>829</v>
      </c>
      <c r="V450" s="2" t="s">
        <v>237</v>
      </c>
      <c r="W450" s="2" t="s">
        <v>38</v>
      </c>
      <c r="X450" s="3">
        <v>40991</v>
      </c>
      <c r="Y450" s="2" t="s">
        <v>839</v>
      </c>
      <c r="Z450" s="4"/>
      <c r="AA450" s="2" t="s">
        <v>672</v>
      </c>
      <c r="AB450" s="2" t="s">
        <v>673</v>
      </c>
      <c r="AC450" s="12">
        <f t="shared" ref="AC450:AC513" si="42">YEAR(X450)</f>
        <v>2012</v>
      </c>
      <c r="AD450" s="12">
        <f t="shared" ref="AD450:AD513" si="43">MONTH(X450)</f>
        <v>3</v>
      </c>
      <c r="AE450" s="12">
        <f t="shared" ref="AE450:AE513" si="44">DAY(X450)</f>
        <v>23</v>
      </c>
      <c r="AF450" s="16">
        <f t="shared" ref="AF450:AF513" si="45">IF(LEN(V450)&gt;0,V450/10,"")</f>
        <v>5.0999999999999996</v>
      </c>
      <c r="AG450" s="16">
        <f t="shared" ref="AG450:AG513" si="46">IF(LEN(P450)&gt;0,P450/10,"")</f>
        <v>38.4</v>
      </c>
      <c r="AH450" s="16" t="str">
        <f t="shared" ref="AH450:AH513" si="47">IF(LEN(Q450)&gt;0,Q450/10,"")</f>
        <v/>
      </c>
    </row>
    <row r="451" spans="1:34" x14ac:dyDescent="0.35">
      <c r="A451" s="2" t="s">
        <v>840</v>
      </c>
      <c r="B451" s="2" t="s">
        <v>29</v>
      </c>
      <c r="C451" s="2" t="s">
        <v>30</v>
      </c>
      <c r="D451" s="2" t="s">
        <v>652</v>
      </c>
      <c r="E451" s="2" t="s">
        <v>165</v>
      </c>
      <c r="F451" s="2" t="s">
        <v>841</v>
      </c>
      <c r="G451" s="2" t="s">
        <v>34</v>
      </c>
      <c r="H451" s="2" t="s">
        <v>233</v>
      </c>
      <c r="I451" s="2" t="s">
        <v>791</v>
      </c>
      <c r="J451" s="2" t="s">
        <v>37</v>
      </c>
      <c r="K451" s="2" t="s">
        <v>38</v>
      </c>
      <c r="L451" s="2" t="s">
        <v>38</v>
      </c>
      <c r="M451" s="2" t="s">
        <v>39</v>
      </c>
      <c r="N451" s="2" t="s">
        <v>38</v>
      </c>
      <c r="O451" s="2" t="s">
        <v>38</v>
      </c>
      <c r="P451" s="2" t="s">
        <v>819</v>
      </c>
      <c r="Q451" s="2" t="s">
        <v>38</v>
      </c>
      <c r="R451" s="2" t="s">
        <v>98</v>
      </c>
      <c r="S451" s="2" t="s">
        <v>89</v>
      </c>
      <c r="T451" s="2" t="s">
        <v>90</v>
      </c>
      <c r="U451" s="2" t="s">
        <v>829</v>
      </c>
      <c r="V451" s="2" t="s">
        <v>842</v>
      </c>
      <c r="W451" s="2" t="s">
        <v>38</v>
      </c>
      <c r="X451" s="3">
        <v>40992</v>
      </c>
      <c r="Y451" s="2" t="s">
        <v>843</v>
      </c>
      <c r="Z451" s="34"/>
      <c r="AA451" s="2" t="s">
        <v>672</v>
      </c>
      <c r="AB451" s="2" t="s">
        <v>673</v>
      </c>
      <c r="AC451" s="12">
        <f t="shared" si="42"/>
        <v>2012</v>
      </c>
      <c r="AD451" s="12">
        <f t="shared" si="43"/>
        <v>3</v>
      </c>
      <c r="AE451" s="12">
        <f t="shared" si="44"/>
        <v>24</v>
      </c>
      <c r="AF451" s="16">
        <f t="shared" si="45"/>
        <v>9.4</v>
      </c>
      <c r="AG451" s="16">
        <f t="shared" si="46"/>
        <v>38.4</v>
      </c>
      <c r="AH451" s="16" t="str">
        <f t="shared" si="47"/>
        <v/>
      </c>
    </row>
    <row r="452" spans="1:34" x14ac:dyDescent="0.35">
      <c r="A452" s="2" t="s">
        <v>847</v>
      </c>
      <c r="B452" s="2" t="s">
        <v>29</v>
      </c>
      <c r="C452" s="2" t="s">
        <v>30</v>
      </c>
      <c r="D452" s="2" t="s">
        <v>652</v>
      </c>
      <c r="E452" s="2" t="s">
        <v>848</v>
      </c>
      <c r="F452" s="2" t="s">
        <v>849</v>
      </c>
      <c r="G452" s="2" t="s">
        <v>34</v>
      </c>
      <c r="H452" s="2" t="s">
        <v>173</v>
      </c>
      <c r="I452" s="2" t="s">
        <v>813</v>
      </c>
      <c r="J452" s="2" t="s">
        <v>37</v>
      </c>
      <c r="K452" s="2" t="s">
        <v>38</v>
      </c>
      <c r="L452" s="2" t="s">
        <v>38</v>
      </c>
      <c r="M452" s="2" t="s">
        <v>39</v>
      </c>
      <c r="N452" s="2" t="s">
        <v>38</v>
      </c>
      <c r="O452" s="2" t="s">
        <v>38</v>
      </c>
      <c r="P452" s="2" t="s">
        <v>850</v>
      </c>
      <c r="Q452" s="2" t="s">
        <v>38</v>
      </c>
      <c r="R452" s="2" t="s">
        <v>98</v>
      </c>
      <c r="S452" s="2" t="s">
        <v>851</v>
      </c>
      <c r="T452" s="2" t="s">
        <v>90</v>
      </c>
      <c r="U452" s="2" t="s">
        <v>829</v>
      </c>
      <c r="V452" s="2" t="s">
        <v>852</v>
      </c>
      <c r="W452" s="2" t="s">
        <v>38</v>
      </c>
      <c r="X452" s="3">
        <v>40993</v>
      </c>
      <c r="Y452" s="2" t="s">
        <v>853</v>
      </c>
      <c r="Z452" s="34"/>
      <c r="AA452" s="2" t="s">
        <v>672</v>
      </c>
      <c r="AB452" s="2" t="s">
        <v>673</v>
      </c>
      <c r="AC452" s="12">
        <f t="shared" si="42"/>
        <v>2012</v>
      </c>
      <c r="AD452" s="12">
        <f t="shared" si="43"/>
        <v>3</v>
      </c>
      <c r="AE452" s="12">
        <f t="shared" si="44"/>
        <v>25</v>
      </c>
      <c r="AF452" s="16">
        <f t="shared" si="45"/>
        <v>100.3</v>
      </c>
      <c r="AG452" s="16">
        <f t="shared" si="46"/>
        <v>38.700000000000003</v>
      </c>
      <c r="AH452" s="16" t="str">
        <f t="shared" si="47"/>
        <v/>
      </c>
    </row>
    <row r="453" spans="1:34" x14ac:dyDescent="0.35">
      <c r="A453" s="2" t="s">
        <v>856</v>
      </c>
      <c r="B453" s="2" t="s">
        <v>29</v>
      </c>
      <c r="C453" s="2" t="s">
        <v>30</v>
      </c>
      <c r="D453" s="2" t="s">
        <v>608</v>
      </c>
      <c r="E453" s="2" t="s">
        <v>719</v>
      </c>
      <c r="F453" s="2" t="s">
        <v>861</v>
      </c>
      <c r="G453" s="2" t="s">
        <v>34</v>
      </c>
      <c r="H453" s="2" t="s">
        <v>371</v>
      </c>
      <c r="I453" s="2" t="s">
        <v>813</v>
      </c>
      <c r="J453" s="2" t="s">
        <v>37</v>
      </c>
      <c r="K453" s="2" t="s">
        <v>38</v>
      </c>
      <c r="L453" s="2" t="s">
        <v>38</v>
      </c>
      <c r="M453" s="2" t="s">
        <v>39</v>
      </c>
      <c r="N453" s="2" t="s">
        <v>38</v>
      </c>
      <c r="O453" s="2" t="s">
        <v>38</v>
      </c>
      <c r="P453" s="2" t="s">
        <v>862</v>
      </c>
      <c r="Q453" s="2" t="s">
        <v>38</v>
      </c>
      <c r="R453" s="2" t="s">
        <v>98</v>
      </c>
      <c r="S453" s="2" t="s">
        <v>863</v>
      </c>
      <c r="T453" s="2" t="s">
        <v>73</v>
      </c>
      <c r="U453" s="2" t="s">
        <v>864</v>
      </c>
      <c r="V453" s="2" t="s">
        <v>865</v>
      </c>
      <c r="W453" s="2" t="s">
        <v>38</v>
      </c>
      <c r="X453" s="3">
        <v>40994</v>
      </c>
      <c r="Y453" s="2" t="s">
        <v>866</v>
      </c>
      <c r="Z453" s="4"/>
      <c r="AA453" s="2" t="s">
        <v>672</v>
      </c>
      <c r="AB453" s="2" t="s">
        <v>673</v>
      </c>
      <c r="AC453" s="12">
        <f t="shared" si="42"/>
        <v>2012</v>
      </c>
      <c r="AD453" s="12">
        <f t="shared" si="43"/>
        <v>3</v>
      </c>
      <c r="AE453" s="12">
        <f t="shared" si="44"/>
        <v>26</v>
      </c>
      <c r="AF453" s="16">
        <f t="shared" si="45"/>
        <v>101.1</v>
      </c>
      <c r="AG453" s="16">
        <f t="shared" si="46"/>
        <v>38.6</v>
      </c>
      <c r="AH453" s="16" t="str">
        <f t="shared" si="47"/>
        <v/>
      </c>
    </row>
    <row r="454" spans="1:34" x14ac:dyDescent="0.35">
      <c r="A454" s="2" t="s">
        <v>867</v>
      </c>
      <c r="B454" s="2" t="s">
        <v>29</v>
      </c>
      <c r="C454" s="2" t="s">
        <v>30</v>
      </c>
      <c r="D454" s="2" t="s">
        <v>583</v>
      </c>
      <c r="E454" s="2" t="s">
        <v>142</v>
      </c>
      <c r="F454" s="2" t="s">
        <v>300</v>
      </c>
      <c r="G454" s="2" t="s">
        <v>34</v>
      </c>
      <c r="H454" s="2" t="s">
        <v>79</v>
      </c>
      <c r="I454" s="2" t="s">
        <v>813</v>
      </c>
      <c r="J454" s="2" t="s">
        <v>37</v>
      </c>
      <c r="K454" s="2" t="s">
        <v>38</v>
      </c>
      <c r="L454" s="2" t="s">
        <v>38</v>
      </c>
      <c r="M454" s="2" t="s">
        <v>39</v>
      </c>
      <c r="N454" s="2" t="s">
        <v>38</v>
      </c>
      <c r="O454" s="2" t="s">
        <v>38</v>
      </c>
      <c r="P454" s="2" t="s">
        <v>871</v>
      </c>
      <c r="Q454" s="2" t="s">
        <v>38</v>
      </c>
      <c r="R454" s="2" t="s">
        <v>98</v>
      </c>
      <c r="S454" s="2" t="s">
        <v>872</v>
      </c>
      <c r="T454" s="2" t="s">
        <v>73</v>
      </c>
      <c r="U454" s="2" t="s">
        <v>873</v>
      </c>
      <c r="V454" s="2" t="s">
        <v>874</v>
      </c>
      <c r="W454" s="2" t="s">
        <v>38</v>
      </c>
      <c r="X454" s="3">
        <v>40995</v>
      </c>
      <c r="Y454" s="2" t="s">
        <v>875</v>
      </c>
      <c r="Z454" s="4"/>
      <c r="AA454" s="2" t="s">
        <v>672</v>
      </c>
      <c r="AB454" s="2" t="s">
        <v>673</v>
      </c>
      <c r="AC454" s="12">
        <f t="shared" si="42"/>
        <v>2012</v>
      </c>
      <c r="AD454" s="12">
        <f t="shared" si="43"/>
        <v>3</v>
      </c>
      <c r="AE454" s="12">
        <f t="shared" si="44"/>
        <v>27</v>
      </c>
      <c r="AF454" s="16">
        <f t="shared" si="45"/>
        <v>11.3</v>
      </c>
      <c r="AG454" s="16">
        <f t="shared" si="46"/>
        <v>38.799999999999997</v>
      </c>
      <c r="AH454" s="16" t="str">
        <f t="shared" si="47"/>
        <v/>
      </c>
    </row>
    <row r="455" spans="1:34" x14ac:dyDescent="0.35">
      <c r="A455" s="2" t="s">
        <v>876</v>
      </c>
      <c r="B455" s="2" t="s">
        <v>29</v>
      </c>
      <c r="C455" s="2" t="s">
        <v>30</v>
      </c>
      <c r="D455" s="2" t="s">
        <v>608</v>
      </c>
      <c r="E455" s="2" t="s">
        <v>142</v>
      </c>
      <c r="F455" s="2" t="s">
        <v>330</v>
      </c>
      <c r="G455" s="2" t="s">
        <v>34</v>
      </c>
      <c r="H455" s="2" t="s">
        <v>877</v>
      </c>
      <c r="I455" s="2" t="s">
        <v>813</v>
      </c>
      <c r="J455" s="2" t="s">
        <v>37</v>
      </c>
      <c r="K455" s="2" t="s">
        <v>38</v>
      </c>
      <c r="L455" s="2" t="s">
        <v>38</v>
      </c>
      <c r="M455" s="2" t="s">
        <v>39</v>
      </c>
      <c r="N455" s="2" t="s">
        <v>38</v>
      </c>
      <c r="O455" s="2" t="s">
        <v>38</v>
      </c>
      <c r="P455" s="2" t="s">
        <v>850</v>
      </c>
      <c r="Q455" s="2" t="s">
        <v>38</v>
      </c>
      <c r="R455" s="2" t="s">
        <v>98</v>
      </c>
      <c r="S455" s="2" t="s">
        <v>146</v>
      </c>
      <c r="T455" s="2" t="s">
        <v>90</v>
      </c>
      <c r="U455" s="2" t="s">
        <v>787</v>
      </c>
      <c r="V455" s="2" t="s">
        <v>197</v>
      </c>
      <c r="W455" s="2" t="s">
        <v>38</v>
      </c>
      <c r="X455" s="3">
        <v>40996</v>
      </c>
      <c r="Y455" s="2" t="s">
        <v>878</v>
      </c>
      <c r="Z455" s="34"/>
      <c r="AA455" s="2" t="s">
        <v>672</v>
      </c>
      <c r="AB455" s="2" t="s">
        <v>673</v>
      </c>
      <c r="AC455" s="12">
        <f t="shared" si="42"/>
        <v>2012</v>
      </c>
      <c r="AD455" s="12">
        <f t="shared" si="43"/>
        <v>3</v>
      </c>
      <c r="AE455" s="12">
        <f t="shared" si="44"/>
        <v>28</v>
      </c>
      <c r="AF455" s="16">
        <f t="shared" si="45"/>
        <v>10.6</v>
      </c>
      <c r="AG455" s="16">
        <f t="shared" si="46"/>
        <v>38.700000000000003</v>
      </c>
      <c r="AH455" s="16" t="str">
        <f t="shared" si="47"/>
        <v/>
      </c>
    </row>
    <row r="456" spans="1:34" x14ac:dyDescent="0.35">
      <c r="A456" s="2" t="s">
        <v>882</v>
      </c>
      <c r="B456" s="2" t="s">
        <v>29</v>
      </c>
      <c r="C456" s="2" t="s">
        <v>30</v>
      </c>
      <c r="D456" s="2" t="s">
        <v>583</v>
      </c>
      <c r="E456" s="2" t="s">
        <v>66</v>
      </c>
      <c r="F456" s="2" t="s">
        <v>785</v>
      </c>
      <c r="G456" s="2" t="s">
        <v>34</v>
      </c>
      <c r="H456" s="2" t="s">
        <v>153</v>
      </c>
      <c r="I456" s="2" t="s">
        <v>813</v>
      </c>
      <c r="J456" s="2" t="s">
        <v>37</v>
      </c>
      <c r="K456" s="2" t="s">
        <v>38</v>
      </c>
      <c r="L456" s="2" t="s">
        <v>38</v>
      </c>
      <c r="M456" s="2" t="s">
        <v>39</v>
      </c>
      <c r="N456" s="2" t="s">
        <v>38</v>
      </c>
      <c r="O456" s="2" t="s">
        <v>38</v>
      </c>
      <c r="P456" s="2" t="s">
        <v>850</v>
      </c>
      <c r="Q456" s="2" t="s">
        <v>38</v>
      </c>
      <c r="R456" s="2" t="s">
        <v>98</v>
      </c>
      <c r="S456" s="2" t="s">
        <v>146</v>
      </c>
      <c r="T456" s="2" t="s">
        <v>90</v>
      </c>
      <c r="U456" s="2" t="s">
        <v>873</v>
      </c>
      <c r="V456" s="2" t="s">
        <v>883</v>
      </c>
      <c r="W456" s="2" t="s">
        <v>38</v>
      </c>
      <c r="X456" s="3">
        <v>40997</v>
      </c>
      <c r="Y456" s="2" t="s">
        <v>884</v>
      </c>
      <c r="Z456" s="4"/>
      <c r="AA456" s="2" t="s">
        <v>672</v>
      </c>
      <c r="AB456" s="2" t="s">
        <v>673</v>
      </c>
      <c r="AC456" s="12">
        <f t="shared" si="42"/>
        <v>2012</v>
      </c>
      <c r="AD456" s="12">
        <f t="shared" si="43"/>
        <v>3</v>
      </c>
      <c r="AE456" s="12">
        <f t="shared" si="44"/>
        <v>29</v>
      </c>
      <c r="AF456" s="16">
        <f t="shared" si="45"/>
        <v>14.5</v>
      </c>
      <c r="AG456" s="16">
        <f t="shared" si="46"/>
        <v>38.700000000000003</v>
      </c>
      <c r="AH456" s="16" t="str">
        <f t="shared" si="47"/>
        <v/>
      </c>
    </row>
    <row r="457" spans="1:34" x14ac:dyDescent="0.35">
      <c r="A457" s="2" t="s">
        <v>888</v>
      </c>
      <c r="B457" s="2" t="s">
        <v>29</v>
      </c>
      <c r="C457" s="2" t="s">
        <v>30</v>
      </c>
      <c r="D457" s="2" t="s">
        <v>531</v>
      </c>
      <c r="E457" s="2" t="s">
        <v>30</v>
      </c>
      <c r="F457" s="2" t="s">
        <v>790</v>
      </c>
      <c r="G457" s="2" t="s">
        <v>34</v>
      </c>
      <c r="H457" s="2" t="s">
        <v>295</v>
      </c>
      <c r="I457" s="2" t="s">
        <v>652</v>
      </c>
      <c r="J457" s="2" t="s">
        <v>37</v>
      </c>
      <c r="K457" s="2" t="s">
        <v>38</v>
      </c>
      <c r="L457" s="2" t="s">
        <v>38</v>
      </c>
      <c r="M457" s="2" t="s">
        <v>39</v>
      </c>
      <c r="N457" s="2" t="s">
        <v>38</v>
      </c>
      <c r="O457" s="2" t="s">
        <v>38</v>
      </c>
      <c r="P457" s="2" t="s">
        <v>894</v>
      </c>
      <c r="Q457" s="2" t="s">
        <v>38</v>
      </c>
      <c r="R457" s="2" t="s">
        <v>98</v>
      </c>
      <c r="S457" s="2" t="s">
        <v>524</v>
      </c>
      <c r="T457" s="2" t="s">
        <v>90</v>
      </c>
      <c r="U457" s="2" t="s">
        <v>895</v>
      </c>
      <c r="V457" s="2" t="s">
        <v>393</v>
      </c>
      <c r="W457" s="2" t="s">
        <v>38</v>
      </c>
      <c r="X457" s="3">
        <v>40998</v>
      </c>
      <c r="Y457" s="2" t="s">
        <v>896</v>
      </c>
      <c r="Z457" s="34"/>
      <c r="AA457" s="2" t="s">
        <v>672</v>
      </c>
      <c r="AB457" s="2" t="s">
        <v>673</v>
      </c>
      <c r="AC457" s="12">
        <f t="shared" si="42"/>
        <v>2012</v>
      </c>
      <c r="AD457" s="12">
        <f t="shared" si="43"/>
        <v>3</v>
      </c>
      <c r="AE457" s="12">
        <f t="shared" si="44"/>
        <v>30</v>
      </c>
      <c r="AF457" s="16">
        <f t="shared" si="45"/>
        <v>12.3</v>
      </c>
      <c r="AG457" s="16">
        <f t="shared" si="46"/>
        <v>36.6</v>
      </c>
      <c r="AH457" s="16" t="str">
        <f t="shared" si="47"/>
        <v/>
      </c>
    </row>
    <row r="458" spans="1:34" x14ac:dyDescent="0.35">
      <c r="A458" s="2" t="s">
        <v>897</v>
      </c>
      <c r="B458" s="2" t="s">
        <v>29</v>
      </c>
      <c r="C458" s="2" t="s">
        <v>30</v>
      </c>
      <c r="D458" s="2" t="s">
        <v>652</v>
      </c>
      <c r="E458" s="2" t="s">
        <v>49</v>
      </c>
      <c r="F458" s="2" t="s">
        <v>901</v>
      </c>
      <c r="G458" s="2" t="s">
        <v>34</v>
      </c>
      <c r="H458" s="2" t="s">
        <v>246</v>
      </c>
      <c r="I458" s="2" t="s">
        <v>791</v>
      </c>
      <c r="J458" s="2" t="s">
        <v>37</v>
      </c>
      <c r="K458" s="2" t="s">
        <v>38</v>
      </c>
      <c r="L458" s="2" t="s">
        <v>38</v>
      </c>
      <c r="M458" s="2" t="s">
        <v>39</v>
      </c>
      <c r="N458" s="2" t="s">
        <v>38</v>
      </c>
      <c r="O458" s="2" t="s">
        <v>38</v>
      </c>
      <c r="P458" s="2" t="s">
        <v>902</v>
      </c>
      <c r="Q458" s="2" t="s">
        <v>38</v>
      </c>
      <c r="R458" s="2" t="s">
        <v>41</v>
      </c>
      <c r="S458" s="2" t="s">
        <v>72</v>
      </c>
      <c r="T458" s="2" t="s">
        <v>903</v>
      </c>
      <c r="U458" s="2" t="s">
        <v>904</v>
      </c>
      <c r="V458" s="2" t="s">
        <v>905</v>
      </c>
      <c r="W458" s="2" t="s">
        <v>38</v>
      </c>
      <c r="X458" s="3">
        <v>40999</v>
      </c>
      <c r="Y458" s="2" t="s">
        <v>906</v>
      </c>
      <c r="Z458" s="34"/>
      <c r="AA458" s="2" t="s">
        <v>672</v>
      </c>
      <c r="AB458" s="2" t="s">
        <v>907</v>
      </c>
      <c r="AC458" s="12">
        <f t="shared" si="42"/>
        <v>2012</v>
      </c>
      <c r="AD458" s="12">
        <f t="shared" si="43"/>
        <v>3</v>
      </c>
      <c r="AE458" s="12">
        <f t="shared" si="44"/>
        <v>31</v>
      </c>
      <c r="AF458" s="16">
        <f t="shared" si="45"/>
        <v>3.5</v>
      </c>
      <c r="AG458" s="16">
        <f t="shared" si="46"/>
        <v>37.9</v>
      </c>
      <c r="AH458" s="16" t="str">
        <f t="shared" si="47"/>
        <v/>
      </c>
    </row>
    <row r="459" spans="1:34" x14ac:dyDescent="0.35">
      <c r="A459" s="2" t="s">
        <v>908</v>
      </c>
      <c r="B459" s="2" t="s">
        <v>29</v>
      </c>
      <c r="C459" s="2" t="s">
        <v>30</v>
      </c>
      <c r="D459" s="2" t="s">
        <v>652</v>
      </c>
      <c r="E459" s="2" t="s">
        <v>165</v>
      </c>
      <c r="F459" s="2" t="s">
        <v>901</v>
      </c>
      <c r="G459" s="2" t="s">
        <v>34</v>
      </c>
      <c r="H459" s="2" t="s">
        <v>371</v>
      </c>
      <c r="I459" s="2" t="s">
        <v>813</v>
      </c>
      <c r="J459" s="2" t="s">
        <v>37</v>
      </c>
      <c r="K459" s="2" t="s">
        <v>38</v>
      </c>
      <c r="L459" s="2" t="s">
        <v>38</v>
      </c>
      <c r="M459" s="2" t="s">
        <v>39</v>
      </c>
      <c r="N459" s="2" t="s">
        <v>38</v>
      </c>
      <c r="O459" s="2" t="s">
        <v>38</v>
      </c>
      <c r="P459" s="2" t="s">
        <v>909</v>
      </c>
      <c r="Q459" s="2" t="s">
        <v>38</v>
      </c>
      <c r="R459" s="2" t="s">
        <v>41</v>
      </c>
      <c r="S459" s="2" t="s">
        <v>910</v>
      </c>
      <c r="T459" s="2" t="s">
        <v>372</v>
      </c>
      <c r="U459" s="2" t="s">
        <v>829</v>
      </c>
      <c r="V459" s="2" t="s">
        <v>586</v>
      </c>
      <c r="W459" s="2" t="s">
        <v>38</v>
      </c>
      <c r="X459" s="3">
        <v>41000</v>
      </c>
      <c r="Y459" s="2" t="s">
        <v>911</v>
      </c>
      <c r="Z459" s="4"/>
      <c r="AA459" s="2" t="s">
        <v>672</v>
      </c>
      <c r="AB459" s="2" t="s">
        <v>907</v>
      </c>
      <c r="AC459" s="12">
        <f t="shared" si="42"/>
        <v>2012</v>
      </c>
      <c r="AD459" s="12">
        <f t="shared" si="43"/>
        <v>4</v>
      </c>
      <c r="AE459" s="12">
        <f t="shared" si="44"/>
        <v>1</v>
      </c>
      <c r="AF459" s="16">
        <f t="shared" si="45"/>
        <v>8.8000000000000007</v>
      </c>
      <c r="AG459" s="16">
        <f t="shared" si="46"/>
        <v>38.5</v>
      </c>
      <c r="AH459" s="16" t="str">
        <f t="shared" si="47"/>
        <v/>
      </c>
    </row>
    <row r="460" spans="1:34" x14ac:dyDescent="0.35">
      <c r="A460" s="2" t="s">
        <v>914</v>
      </c>
      <c r="B460" s="2" t="s">
        <v>29</v>
      </c>
      <c r="C460" s="2" t="s">
        <v>30</v>
      </c>
      <c r="D460" s="2" t="s">
        <v>531</v>
      </c>
      <c r="E460" s="2" t="s">
        <v>187</v>
      </c>
      <c r="F460" s="2" t="s">
        <v>841</v>
      </c>
      <c r="G460" s="2" t="s">
        <v>34</v>
      </c>
      <c r="H460" s="2" t="s">
        <v>379</v>
      </c>
      <c r="I460" s="2" t="s">
        <v>813</v>
      </c>
      <c r="J460" s="2" t="s">
        <v>37</v>
      </c>
      <c r="K460" s="2" t="s">
        <v>38</v>
      </c>
      <c r="L460" s="2" t="s">
        <v>38</v>
      </c>
      <c r="M460" s="2" t="s">
        <v>39</v>
      </c>
      <c r="N460" s="2" t="s">
        <v>38</v>
      </c>
      <c r="O460" s="2" t="s">
        <v>38</v>
      </c>
      <c r="P460" s="2" t="s">
        <v>871</v>
      </c>
      <c r="Q460" s="2" t="s">
        <v>38</v>
      </c>
      <c r="R460" s="2" t="s">
        <v>41</v>
      </c>
      <c r="S460" s="2" t="s">
        <v>915</v>
      </c>
      <c r="T460" s="2" t="s">
        <v>916</v>
      </c>
      <c r="U460" s="2" t="s">
        <v>611</v>
      </c>
      <c r="V460" s="2" t="s">
        <v>917</v>
      </c>
      <c r="W460" s="2" t="s">
        <v>38</v>
      </c>
      <c r="X460" s="3">
        <v>41001</v>
      </c>
      <c r="Y460" s="2" t="s">
        <v>918</v>
      </c>
      <c r="Z460" s="34"/>
      <c r="AA460" s="2" t="s">
        <v>672</v>
      </c>
      <c r="AB460" s="2" t="s">
        <v>907</v>
      </c>
      <c r="AC460" s="12">
        <f t="shared" si="42"/>
        <v>2012</v>
      </c>
      <c r="AD460" s="12">
        <f t="shared" si="43"/>
        <v>4</v>
      </c>
      <c r="AE460" s="12">
        <f t="shared" si="44"/>
        <v>2</v>
      </c>
      <c r="AF460" s="16">
        <f t="shared" si="45"/>
        <v>26.3</v>
      </c>
      <c r="AG460" s="16">
        <f t="shared" si="46"/>
        <v>38.799999999999997</v>
      </c>
      <c r="AH460" s="16" t="str">
        <f t="shared" si="47"/>
        <v/>
      </c>
    </row>
    <row r="461" spans="1:34" x14ac:dyDescent="0.35">
      <c r="A461" s="2" t="s">
        <v>921</v>
      </c>
      <c r="B461" s="2" t="s">
        <v>29</v>
      </c>
      <c r="C461" s="2" t="s">
        <v>30</v>
      </c>
      <c r="D461" s="2" t="s">
        <v>583</v>
      </c>
      <c r="E461" s="2" t="s">
        <v>66</v>
      </c>
      <c r="F461" s="2" t="s">
        <v>330</v>
      </c>
      <c r="G461" s="2" t="s">
        <v>34</v>
      </c>
      <c r="H461" s="2" t="s">
        <v>342</v>
      </c>
      <c r="I461" s="2" t="s">
        <v>813</v>
      </c>
      <c r="J461" s="2" t="s">
        <v>37</v>
      </c>
      <c r="K461" s="2" t="s">
        <v>38</v>
      </c>
      <c r="L461" s="2" t="s">
        <v>38</v>
      </c>
      <c r="M461" s="2" t="s">
        <v>39</v>
      </c>
      <c r="N461" s="2" t="s">
        <v>38</v>
      </c>
      <c r="O461" s="2" t="s">
        <v>38</v>
      </c>
      <c r="P461" s="2" t="s">
        <v>871</v>
      </c>
      <c r="Q461" s="2" t="s">
        <v>38</v>
      </c>
      <c r="R461" s="2" t="s">
        <v>41</v>
      </c>
      <c r="S461" s="2" t="s">
        <v>922</v>
      </c>
      <c r="T461" s="2" t="s">
        <v>362</v>
      </c>
      <c r="U461" s="2" t="s">
        <v>923</v>
      </c>
      <c r="V461" s="2" t="s">
        <v>924</v>
      </c>
      <c r="W461" s="2" t="s">
        <v>38</v>
      </c>
      <c r="X461" s="3">
        <v>41002</v>
      </c>
      <c r="Y461" s="2" t="s">
        <v>925</v>
      </c>
      <c r="Z461" s="4"/>
      <c r="AA461" s="2" t="s">
        <v>672</v>
      </c>
      <c r="AB461" s="2" t="s">
        <v>907</v>
      </c>
      <c r="AC461" s="12">
        <f t="shared" si="42"/>
        <v>2012</v>
      </c>
      <c r="AD461" s="12">
        <f t="shared" si="43"/>
        <v>4</v>
      </c>
      <c r="AE461" s="12">
        <f t="shared" si="44"/>
        <v>3</v>
      </c>
      <c r="AF461" s="16">
        <f t="shared" si="45"/>
        <v>15.1</v>
      </c>
      <c r="AG461" s="16">
        <f t="shared" si="46"/>
        <v>38.799999999999997</v>
      </c>
      <c r="AH461" s="16" t="str">
        <f t="shared" si="47"/>
        <v/>
      </c>
    </row>
    <row r="462" spans="1:34" x14ac:dyDescent="0.35">
      <c r="A462" s="2" t="s">
        <v>930</v>
      </c>
      <c r="B462" s="2" t="s">
        <v>29</v>
      </c>
      <c r="C462" s="2" t="s">
        <v>30</v>
      </c>
      <c r="D462" s="2" t="s">
        <v>583</v>
      </c>
      <c r="E462" s="2" t="s">
        <v>104</v>
      </c>
      <c r="F462" s="2" t="s">
        <v>849</v>
      </c>
      <c r="G462" s="2" t="s">
        <v>34</v>
      </c>
      <c r="H462" s="2" t="s">
        <v>457</v>
      </c>
      <c r="I462" s="2" t="s">
        <v>813</v>
      </c>
      <c r="J462" s="2" t="s">
        <v>37</v>
      </c>
      <c r="K462" s="2" t="s">
        <v>38</v>
      </c>
      <c r="L462" s="2" t="s">
        <v>38</v>
      </c>
      <c r="M462" s="2" t="s">
        <v>39</v>
      </c>
      <c r="N462" s="2" t="s">
        <v>38</v>
      </c>
      <c r="O462" s="2" t="s">
        <v>38</v>
      </c>
      <c r="P462" s="2" t="s">
        <v>871</v>
      </c>
      <c r="Q462" s="2" t="s">
        <v>38</v>
      </c>
      <c r="R462" s="2" t="s">
        <v>41</v>
      </c>
      <c r="S462" s="2" t="s">
        <v>935</v>
      </c>
      <c r="T462" s="2" t="s">
        <v>936</v>
      </c>
      <c r="U462" s="2" t="s">
        <v>775</v>
      </c>
      <c r="V462" s="2" t="s">
        <v>392</v>
      </c>
      <c r="W462" s="2" t="s">
        <v>38</v>
      </c>
      <c r="X462" s="3">
        <v>41003</v>
      </c>
      <c r="Y462" s="2" t="s">
        <v>937</v>
      </c>
      <c r="Z462" s="34"/>
      <c r="AA462" s="2" t="s">
        <v>672</v>
      </c>
      <c r="AB462" s="2" t="s">
        <v>907</v>
      </c>
      <c r="AC462" s="12">
        <f t="shared" si="42"/>
        <v>2012</v>
      </c>
      <c r="AD462" s="12">
        <f t="shared" si="43"/>
        <v>4</v>
      </c>
      <c r="AE462" s="12">
        <f t="shared" si="44"/>
        <v>4</v>
      </c>
      <c r="AF462" s="16">
        <f t="shared" si="45"/>
        <v>13.4</v>
      </c>
      <c r="AG462" s="16">
        <f t="shared" si="46"/>
        <v>38.799999999999997</v>
      </c>
      <c r="AH462" s="16" t="str">
        <f t="shared" si="47"/>
        <v/>
      </c>
    </row>
    <row r="463" spans="1:34" x14ac:dyDescent="0.35">
      <c r="A463" s="2" t="s">
        <v>938</v>
      </c>
      <c r="B463" s="2" t="s">
        <v>29</v>
      </c>
      <c r="C463" s="2" t="s">
        <v>30</v>
      </c>
      <c r="D463" s="2" t="s">
        <v>583</v>
      </c>
      <c r="E463" s="2" t="s">
        <v>112</v>
      </c>
      <c r="F463" s="2" t="s">
        <v>901</v>
      </c>
      <c r="G463" s="2" t="s">
        <v>34</v>
      </c>
      <c r="H463" s="2" t="s">
        <v>475</v>
      </c>
      <c r="I463" s="2" t="s">
        <v>791</v>
      </c>
      <c r="J463" s="2" t="s">
        <v>37</v>
      </c>
      <c r="K463" s="2" t="s">
        <v>38</v>
      </c>
      <c r="L463" s="2" t="s">
        <v>38</v>
      </c>
      <c r="M463" s="2" t="s">
        <v>39</v>
      </c>
      <c r="N463" s="2" t="s">
        <v>38</v>
      </c>
      <c r="O463" s="2" t="s">
        <v>38</v>
      </c>
      <c r="P463" s="2" t="s">
        <v>939</v>
      </c>
      <c r="Q463" s="2" t="s">
        <v>38</v>
      </c>
      <c r="R463" s="2" t="s">
        <v>41</v>
      </c>
      <c r="S463" s="2" t="s">
        <v>940</v>
      </c>
      <c r="T463" s="2" t="s">
        <v>903</v>
      </c>
      <c r="U463" s="2" t="s">
        <v>775</v>
      </c>
      <c r="V463" s="2" t="s">
        <v>169</v>
      </c>
      <c r="W463" s="2" t="s">
        <v>38</v>
      </c>
      <c r="X463" s="3">
        <v>41004</v>
      </c>
      <c r="Y463" s="2" t="s">
        <v>941</v>
      </c>
      <c r="Z463" s="4"/>
      <c r="AA463" s="2" t="s">
        <v>672</v>
      </c>
      <c r="AB463" s="2" t="s">
        <v>907</v>
      </c>
      <c r="AC463" s="12">
        <f t="shared" si="42"/>
        <v>2012</v>
      </c>
      <c r="AD463" s="12">
        <f t="shared" si="43"/>
        <v>4</v>
      </c>
      <c r="AE463" s="12">
        <f t="shared" si="44"/>
        <v>5</v>
      </c>
      <c r="AF463" s="16">
        <f t="shared" si="45"/>
        <v>10</v>
      </c>
      <c r="AG463" s="16">
        <f t="shared" si="46"/>
        <v>38.200000000000003</v>
      </c>
      <c r="AH463" s="16" t="str">
        <f t="shared" si="47"/>
        <v/>
      </c>
    </row>
    <row r="464" spans="1:34" x14ac:dyDescent="0.35">
      <c r="A464" s="2" t="s">
        <v>946</v>
      </c>
      <c r="B464" s="2" t="s">
        <v>29</v>
      </c>
      <c r="C464" s="2" t="s">
        <v>30</v>
      </c>
      <c r="D464" s="2" t="s">
        <v>583</v>
      </c>
      <c r="E464" s="2" t="s">
        <v>165</v>
      </c>
      <c r="F464" s="2" t="s">
        <v>951</v>
      </c>
      <c r="G464" s="2" t="s">
        <v>34</v>
      </c>
      <c r="H464" s="2" t="s">
        <v>173</v>
      </c>
      <c r="I464" s="2" t="s">
        <v>652</v>
      </c>
      <c r="J464" s="2" t="s">
        <v>37</v>
      </c>
      <c r="K464" s="2" t="s">
        <v>38</v>
      </c>
      <c r="L464" s="2" t="s">
        <v>38</v>
      </c>
      <c r="M464" s="2" t="s">
        <v>39</v>
      </c>
      <c r="N464" s="2" t="s">
        <v>38</v>
      </c>
      <c r="O464" s="2" t="s">
        <v>38</v>
      </c>
      <c r="P464" s="2" t="s">
        <v>952</v>
      </c>
      <c r="Q464" s="2" t="s">
        <v>38</v>
      </c>
      <c r="R464" s="2" t="s">
        <v>98</v>
      </c>
      <c r="S464" s="2" t="s">
        <v>146</v>
      </c>
      <c r="T464" s="2" t="s">
        <v>90</v>
      </c>
      <c r="U464" s="2" t="s">
        <v>707</v>
      </c>
      <c r="V464" s="2" t="s">
        <v>261</v>
      </c>
      <c r="W464" s="2" t="s">
        <v>38</v>
      </c>
      <c r="X464" s="3">
        <v>41005</v>
      </c>
      <c r="Y464" s="2" t="s">
        <v>953</v>
      </c>
      <c r="Z464" s="4"/>
      <c r="AA464" s="2" t="s">
        <v>672</v>
      </c>
      <c r="AB464" s="2" t="s">
        <v>907</v>
      </c>
      <c r="AC464" s="12">
        <f t="shared" si="42"/>
        <v>2012</v>
      </c>
      <c r="AD464" s="12">
        <f t="shared" si="43"/>
        <v>4</v>
      </c>
      <c r="AE464" s="12">
        <f t="shared" si="44"/>
        <v>6</v>
      </c>
      <c r="AF464" s="16">
        <f t="shared" si="45"/>
        <v>8.5</v>
      </c>
      <c r="AG464" s="16">
        <f t="shared" si="46"/>
        <v>37.1</v>
      </c>
      <c r="AH464" s="16" t="str">
        <f t="shared" si="47"/>
        <v/>
      </c>
    </row>
    <row r="465" spans="1:34" x14ac:dyDescent="0.35">
      <c r="A465" s="2" t="s">
        <v>954</v>
      </c>
      <c r="B465" s="2" t="s">
        <v>29</v>
      </c>
      <c r="C465" s="2" t="s">
        <v>30</v>
      </c>
      <c r="D465" s="2" t="s">
        <v>608</v>
      </c>
      <c r="E465" s="2" t="s">
        <v>165</v>
      </c>
      <c r="F465" s="2" t="s">
        <v>959</v>
      </c>
      <c r="G465" s="2" t="s">
        <v>34</v>
      </c>
      <c r="H465" s="2" t="s">
        <v>451</v>
      </c>
      <c r="I465" s="2" t="s">
        <v>813</v>
      </c>
      <c r="J465" s="2" t="s">
        <v>37</v>
      </c>
      <c r="K465" s="2" t="s">
        <v>38</v>
      </c>
      <c r="L465" s="2" t="s">
        <v>38</v>
      </c>
      <c r="M465" s="2" t="s">
        <v>39</v>
      </c>
      <c r="N465" s="2" t="s">
        <v>38</v>
      </c>
      <c r="O465" s="2" t="s">
        <v>38</v>
      </c>
      <c r="P465" s="2" t="s">
        <v>960</v>
      </c>
      <c r="Q465" s="2" t="s">
        <v>38</v>
      </c>
      <c r="R465" s="2" t="s">
        <v>41</v>
      </c>
      <c r="S465" s="2" t="s">
        <v>961</v>
      </c>
      <c r="T465" s="2" t="s">
        <v>903</v>
      </c>
      <c r="U465" s="2" t="s">
        <v>820</v>
      </c>
      <c r="V465" s="2" t="s">
        <v>322</v>
      </c>
      <c r="W465" s="2" t="s">
        <v>38</v>
      </c>
      <c r="X465" s="3">
        <v>41006</v>
      </c>
      <c r="Y465" s="2" t="s">
        <v>962</v>
      </c>
      <c r="Z465" s="34"/>
      <c r="AA465" s="2" t="s">
        <v>672</v>
      </c>
      <c r="AB465" s="2" t="s">
        <v>907</v>
      </c>
      <c r="AC465" s="12">
        <f t="shared" si="42"/>
        <v>2012</v>
      </c>
      <c r="AD465" s="12">
        <f t="shared" si="43"/>
        <v>4</v>
      </c>
      <c r="AE465" s="12">
        <f t="shared" si="44"/>
        <v>7</v>
      </c>
      <c r="AF465" s="16">
        <f t="shared" si="45"/>
        <v>9.1999999999999993</v>
      </c>
      <c r="AG465" s="16">
        <f t="shared" si="46"/>
        <v>39</v>
      </c>
      <c r="AH465" s="16" t="str">
        <f t="shared" si="47"/>
        <v/>
      </c>
    </row>
    <row r="466" spans="1:34" x14ac:dyDescent="0.35">
      <c r="A466" s="2" t="s">
        <v>963</v>
      </c>
      <c r="B466" s="2" t="s">
        <v>29</v>
      </c>
      <c r="C466" s="2" t="s">
        <v>30</v>
      </c>
      <c r="D466" s="2" t="s">
        <v>652</v>
      </c>
      <c r="E466" s="2" t="s">
        <v>104</v>
      </c>
      <c r="F466" s="2" t="s">
        <v>966</v>
      </c>
      <c r="G466" s="2" t="s">
        <v>34</v>
      </c>
      <c r="H466" s="2" t="s">
        <v>295</v>
      </c>
      <c r="I466" s="2" t="s">
        <v>967</v>
      </c>
      <c r="J466" s="2" t="s">
        <v>37</v>
      </c>
      <c r="K466" s="2" t="s">
        <v>38</v>
      </c>
      <c r="L466" s="2" t="s">
        <v>38</v>
      </c>
      <c r="M466" s="2" t="s">
        <v>39</v>
      </c>
      <c r="N466" s="2" t="s">
        <v>38</v>
      </c>
      <c r="O466" s="2" t="s">
        <v>38</v>
      </c>
      <c r="P466" s="2" t="s">
        <v>968</v>
      </c>
      <c r="Q466" s="2" t="s">
        <v>38</v>
      </c>
      <c r="R466" s="2" t="s">
        <v>41</v>
      </c>
      <c r="S466" s="2" t="s">
        <v>344</v>
      </c>
      <c r="T466" s="2" t="s">
        <v>345</v>
      </c>
      <c r="U466" s="2" t="s">
        <v>829</v>
      </c>
      <c r="V466" s="2" t="s">
        <v>168</v>
      </c>
      <c r="W466" s="2" t="s">
        <v>38</v>
      </c>
      <c r="X466" s="3">
        <v>41007</v>
      </c>
      <c r="Y466" s="2" t="s">
        <v>969</v>
      </c>
      <c r="Z466" s="34"/>
      <c r="AA466" s="2" t="s">
        <v>672</v>
      </c>
      <c r="AB466" s="2" t="s">
        <v>907</v>
      </c>
      <c r="AC466" s="12">
        <f t="shared" si="42"/>
        <v>2012</v>
      </c>
      <c r="AD466" s="12">
        <f t="shared" si="43"/>
        <v>4</v>
      </c>
      <c r="AE466" s="12">
        <f t="shared" si="44"/>
        <v>8</v>
      </c>
      <c r="AF466" s="16">
        <f t="shared" si="45"/>
        <v>13</v>
      </c>
      <c r="AG466" s="16">
        <f t="shared" si="46"/>
        <v>39.9</v>
      </c>
      <c r="AH466" s="16" t="str">
        <f t="shared" si="47"/>
        <v/>
      </c>
    </row>
    <row r="467" spans="1:34" x14ac:dyDescent="0.35">
      <c r="A467" s="2" t="s">
        <v>970</v>
      </c>
      <c r="B467" s="2" t="s">
        <v>29</v>
      </c>
      <c r="C467" s="2" t="s">
        <v>30</v>
      </c>
      <c r="D467" s="2" t="s">
        <v>608</v>
      </c>
      <c r="E467" s="2" t="s">
        <v>104</v>
      </c>
      <c r="F467" s="2" t="s">
        <v>629</v>
      </c>
      <c r="G467" s="2" t="s">
        <v>34</v>
      </c>
      <c r="H467" s="2" t="s">
        <v>209</v>
      </c>
      <c r="I467" s="2" t="s">
        <v>813</v>
      </c>
      <c r="J467" s="2" t="s">
        <v>37</v>
      </c>
      <c r="K467" s="2" t="s">
        <v>38</v>
      </c>
      <c r="L467" s="2" t="s">
        <v>38</v>
      </c>
      <c r="M467" s="2" t="s">
        <v>39</v>
      </c>
      <c r="N467" s="2" t="s">
        <v>38</v>
      </c>
      <c r="O467" s="2" t="s">
        <v>38</v>
      </c>
      <c r="P467" s="2" t="s">
        <v>971</v>
      </c>
      <c r="Q467" s="2" t="s">
        <v>38</v>
      </c>
      <c r="R467" s="2" t="s">
        <v>98</v>
      </c>
      <c r="S467" s="2" t="s">
        <v>972</v>
      </c>
      <c r="T467" s="2" t="s">
        <v>73</v>
      </c>
      <c r="U467" s="2" t="s">
        <v>787</v>
      </c>
      <c r="V467" s="2" t="s">
        <v>327</v>
      </c>
      <c r="W467" s="2" t="s">
        <v>38</v>
      </c>
      <c r="X467" s="3">
        <v>41008</v>
      </c>
      <c r="Y467" s="2" t="s">
        <v>973</v>
      </c>
      <c r="Z467" s="4"/>
      <c r="AA467" s="2" t="s">
        <v>672</v>
      </c>
      <c r="AB467" s="2" t="s">
        <v>907</v>
      </c>
      <c r="AC467" s="12">
        <f t="shared" si="42"/>
        <v>2012</v>
      </c>
      <c r="AD467" s="12">
        <f t="shared" si="43"/>
        <v>4</v>
      </c>
      <c r="AE467" s="12">
        <f t="shared" si="44"/>
        <v>9</v>
      </c>
      <c r="AF467" s="16">
        <f t="shared" si="45"/>
        <v>12.6</v>
      </c>
      <c r="AG467" s="16">
        <f t="shared" si="46"/>
        <v>38.9</v>
      </c>
      <c r="AH467" s="16" t="str">
        <f t="shared" si="47"/>
        <v/>
      </c>
    </row>
    <row r="468" spans="1:34" x14ac:dyDescent="0.35">
      <c r="A468" s="2" t="s">
        <v>977</v>
      </c>
      <c r="B468" s="2" t="s">
        <v>29</v>
      </c>
      <c r="C468" s="2" t="s">
        <v>30</v>
      </c>
      <c r="D468" s="2" t="s">
        <v>608</v>
      </c>
      <c r="E468" s="2" t="s">
        <v>112</v>
      </c>
      <c r="F468" s="2" t="s">
        <v>658</v>
      </c>
      <c r="G468" s="2" t="s">
        <v>34</v>
      </c>
      <c r="H468" s="2" t="s">
        <v>153</v>
      </c>
      <c r="I468" s="2" t="s">
        <v>813</v>
      </c>
      <c r="J468" s="2" t="s">
        <v>37</v>
      </c>
      <c r="K468" s="2" t="s">
        <v>38</v>
      </c>
      <c r="L468" s="2" t="s">
        <v>38</v>
      </c>
      <c r="M468" s="2" t="s">
        <v>39</v>
      </c>
      <c r="N468" s="2" t="s">
        <v>38</v>
      </c>
      <c r="O468" s="2" t="s">
        <v>38</v>
      </c>
      <c r="P468" s="2" t="s">
        <v>814</v>
      </c>
      <c r="Q468" s="2" t="s">
        <v>38</v>
      </c>
      <c r="R468" s="2" t="s">
        <v>98</v>
      </c>
      <c r="S468" s="2" t="s">
        <v>981</v>
      </c>
      <c r="T468" s="2" t="s">
        <v>73</v>
      </c>
      <c r="U468" s="2" t="s">
        <v>820</v>
      </c>
      <c r="V468" s="2" t="s">
        <v>471</v>
      </c>
      <c r="W468" s="2" t="s">
        <v>38</v>
      </c>
      <c r="X468" s="3">
        <v>41009</v>
      </c>
      <c r="Y468" s="2" t="s">
        <v>982</v>
      </c>
      <c r="Z468" s="34"/>
      <c r="AA468" s="2" t="s">
        <v>672</v>
      </c>
      <c r="AB468" s="2" t="s">
        <v>907</v>
      </c>
      <c r="AC468" s="12">
        <f t="shared" si="42"/>
        <v>2012</v>
      </c>
      <c r="AD468" s="12">
        <f t="shared" si="43"/>
        <v>4</v>
      </c>
      <c r="AE468" s="12">
        <f t="shared" si="44"/>
        <v>10</v>
      </c>
      <c r="AF468" s="16">
        <f t="shared" si="45"/>
        <v>10.3</v>
      </c>
      <c r="AG468" s="16">
        <f t="shared" si="46"/>
        <v>39.1</v>
      </c>
      <c r="AH468" s="16" t="str">
        <f t="shared" si="47"/>
        <v/>
      </c>
    </row>
    <row r="469" spans="1:34" x14ac:dyDescent="0.35">
      <c r="A469" s="2" t="s">
        <v>983</v>
      </c>
      <c r="B469" s="2" t="s">
        <v>29</v>
      </c>
      <c r="C469" s="2" t="s">
        <v>30</v>
      </c>
      <c r="D469" s="2" t="s">
        <v>531</v>
      </c>
      <c r="E469" s="2" t="s">
        <v>55</v>
      </c>
      <c r="F469" s="2" t="s">
        <v>670</v>
      </c>
      <c r="G469" s="2" t="s">
        <v>34</v>
      </c>
      <c r="H469" s="2" t="s">
        <v>113</v>
      </c>
      <c r="I469" s="2" t="s">
        <v>791</v>
      </c>
      <c r="J469" s="2" t="s">
        <v>37</v>
      </c>
      <c r="K469" s="2" t="s">
        <v>38</v>
      </c>
      <c r="L469" s="2" t="s">
        <v>38</v>
      </c>
      <c r="M469" s="2" t="s">
        <v>39</v>
      </c>
      <c r="N469" s="2" t="s">
        <v>38</v>
      </c>
      <c r="O469" s="2" t="s">
        <v>38</v>
      </c>
      <c r="P469" s="2" t="s">
        <v>984</v>
      </c>
      <c r="Q469" s="2" t="s">
        <v>38</v>
      </c>
      <c r="R469" s="2" t="s">
        <v>41</v>
      </c>
      <c r="S469" s="2" t="s">
        <v>985</v>
      </c>
      <c r="T469" s="2" t="s">
        <v>986</v>
      </c>
      <c r="U469" s="2" t="s">
        <v>611</v>
      </c>
      <c r="V469" s="2" t="s">
        <v>987</v>
      </c>
      <c r="W469" s="2" t="s">
        <v>38</v>
      </c>
      <c r="X469" s="3">
        <v>41010</v>
      </c>
      <c r="Y469" s="2" t="s">
        <v>988</v>
      </c>
      <c r="Z469" s="4"/>
      <c r="AA469" s="2" t="s">
        <v>672</v>
      </c>
      <c r="AB469" s="2" t="s">
        <v>907</v>
      </c>
      <c r="AC469" s="12">
        <f t="shared" si="42"/>
        <v>2012</v>
      </c>
      <c r="AD469" s="12">
        <f t="shared" si="43"/>
        <v>4</v>
      </c>
      <c r="AE469" s="12">
        <f t="shared" si="44"/>
        <v>11</v>
      </c>
      <c r="AF469" s="16">
        <f t="shared" si="45"/>
        <v>18.2</v>
      </c>
      <c r="AG469" s="16">
        <f t="shared" si="46"/>
        <v>37.700000000000003</v>
      </c>
      <c r="AH469" s="16" t="str">
        <f t="shared" si="47"/>
        <v/>
      </c>
    </row>
    <row r="470" spans="1:34" x14ac:dyDescent="0.35">
      <c r="A470" s="2" t="s">
        <v>991</v>
      </c>
      <c r="B470" s="2" t="s">
        <v>29</v>
      </c>
      <c r="C470" s="2" t="s">
        <v>30</v>
      </c>
      <c r="D470" s="2" t="s">
        <v>114</v>
      </c>
      <c r="E470" s="2" t="s">
        <v>596</v>
      </c>
      <c r="F470" s="2" t="s">
        <v>959</v>
      </c>
      <c r="G470" s="2" t="s">
        <v>34</v>
      </c>
      <c r="H470" s="2" t="s">
        <v>35</v>
      </c>
      <c r="I470" s="2" t="s">
        <v>791</v>
      </c>
      <c r="J470" s="2" t="s">
        <v>37</v>
      </c>
      <c r="K470" s="2" t="s">
        <v>38</v>
      </c>
      <c r="L470" s="2" t="s">
        <v>38</v>
      </c>
      <c r="M470" s="2" t="s">
        <v>39</v>
      </c>
      <c r="N470" s="2" t="s">
        <v>38</v>
      </c>
      <c r="O470" s="2" t="s">
        <v>38</v>
      </c>
      <c r="P470" s="2" t="s">
        <v>984</v>
      </c>
      <c r="Q470" s="2" t="s">
        <v>38</v>
      </c>
      <c r="R470" s="2" t="s">
        <v>41</v>
      </c>
      <c r="S470" s="2" t="s">
        <v>981</v>
      </c>
      <c r="T470" s="2" t="s">
        <v>480</v>
      </c>
      <c r="U470" s="2" t="s">
        <v>622</v>
      </c>
      <c r="V470" s="2" t="s">
        <v>992</v>
      </c>
      <c r="W470" s="2" t="s">
        <v>38</v>
      </c>
      <c r="X470" s="3">
        <v>41011</v>
      </c>
      <c r="Y470" s="2" t="s">
        <v>993</v>
      </c>
      <c r="Z470" s="34"/>
      <c r="AA470" s="2" t="s">
        <v>672</v>
      </c>
      <c r="AB470" s="2" t="s">
        <v>907</v>
      </c>
      <c r="AC470" s="12">
        <f t="shared" si="42"/>
        <v>2012</v>
      </c>
      <c r="AD470" s="12">
        <f t="shared" si="43"/>
        <v>4</v>
      </c>
      <c r="AE470" s="12">
        <f t="shared" si="44"/>
        <v>12</v>
      </c>
      <c r="AF470" s="16">
        <f t="shared" si="45"/>
        <v>18.7</v>
      </c>
      <c r="AG470" s="16">
        <f t="shared" si="46"/>
        <v>37.700000000000003</v>
      </c>
      <c r="AH470" s="16" t="str">
        <f t="shared" si="47"/>
        <v/>
      </c>
    </row>
    <row r="471" spans="1:34" x14ac:dyDescent="0.35">
      <c r="A471" s="2" t="s">
        <v>998</v>
      </c>
      <c r="B471" s="2" t="s">
        <v>29</v>
      </c>
      <c r="C471" s="2" t="s">
        <v>30</v>
      </c>
      <c r="D471" s="2" t="s">
        <v>608</v>
      </c>
      <c r="E471" s="2" t="s">
        <v>112</v>
      </c>
      <c r="F471" s="2" t="s">
        <v>999</v>
      </c>
      <c r="G471" s="2" t="s">
        <v>34</v>
      </c>
      <c r="H471" s="2" t="s">
        <v>202</v>
      </c>
      <c r="I471" s="2" t="s">
        <v>791</v>
      </c>
      <c r="J471" s="2" t="s">
        <v>37</v>
      </c>
      <c r="K471" s="2" t="s">
        <v>38</v>
      </c>
      <c r="L471" s="2" t="s">
        <v>38</v>
      </c>
      <c r="M471" s="2" t="s">
        <v>39</v>
      </c>
      <c r="N471" s="2" t="s">
        <v>38</v>
      </c>
      <c r="O471" s="2" t="s">
        <v>38</v>
      </c>
      <c r="P471" s="2" t="s">
        <v>792</v>
      </c>
      <c r="Q471" s="2" t="s">
        <v>38</v>
      </c>
      <c r="R471" s="2" t="s">
        <v>41</v>
      </c>
      <c r="S471" s="2" t="s">
        <v>1000</v>
      </c>
      <c r="T471" s="2" t="s">
        <v>986</v>
      </c>
      <c r="U471" s="2" t="s">
        <v>787</v>
      </c>
      <c r="V471" s="2" t="s">
        <v>454</v>
      </c>
      <c r="W471" s="2" t="s">
        <v>38</v>
      </c>
      <c r="X471" s="3">
        <v>41012</v>
      </c>
      <c r="Y471" s="2" t="s">
        <v>1001</v>
      </c>
      <c r="Z471" s="4"/>
      <c r="AA471" s="2" t="s">
        <v>672</v>
      </c>
      <c r="AB471" s="2" t="s">
        <v>907</v>
      </c>
      <c r="AC471" s="12">
        <f t="shared" si="42"/>
        <v>2012</v>
      </c>
      <c r="AD471" s="12">
        <f t="shared" si="43"/>
        <v>4</v>
      </c>
      <c r="AE471" s="12">
        <f t="shared" si="44"/>
        <v>13</v>
      </c>
      <c r="AF471" s="16">
        <f t="shared" si="45"/>
        <v>9.6</v>
      </c>
      <c r="AG471" s="16">
        <f t="shared" si="46"/>
        <v>38.1</v>
      </c>
      <c r="AH471" s="16" t="str">
        <f t="shared" si="47"/>
        <v/>
      </c>
    </row>
    <row r="472" spans="1:34" x14ac:dyDescent="0.35">
      <c r="A472" s="2" t="s">
        <v>1007</v>
      </c>
      <c r="B472" s="2" t="s">
        <v>29</v>
      </c>
      <c r="C472" s="2" t="s">
        <v>30</v>
      </c>
      <c r="D472" s="2" t="s">
        <v>608</v>
      </c>
      <c r="E472" s="2" t="s">
        <v>181</v>
      </c>
      <c r="F472" s="2" t="s">
        <v>1010</v>
      </c>
      <c r="G472" s="2" t="s">
        <v>34</v>
      </c>
      <c r="H472" s="2" t="s">
        <v>144</v>
      </c>
      <c r="I472" s="2" t="s">
        <v>791</v>
      </c>
      <c r="J472" s="2" t="s">
        <v>37</v>
      </c>
      <c r="K472" s="2" t="s">
        <v>38</v>
      </c>
      <c r="L472" s="2" t="s">
        <v>38</v>
      </c>
      <c r="M472" s="2" t="s">
        <v>39</v>
      </c>
      <c r="N472" s="2" t="s">
        <v>38</v>
      </c>
      <c r="O472" s="2" t="s">
        <v>38</v>
      </c>
      <c r="P472" s="2" t="s">
        <v>827</v>
      </c>
      <c r="Q472" s="2" t="s">
        <v>38</v>
      </c>
      <c r="R472" s="2" t="s">
        <v>41</v>
      </c>
      <c r="S472" s="2" t="s">
        <v>58</v>
      </c>
      <c r="T472" s="2" t="s">
        <v>1011</v>
      </c>
      <c r="U472" s="2" t="s">
        <v>820</v>
      </c>
      <c r="V472" s="2" t="s">
        <v>1012</v>
      </c>
      <c r="W472" s="2" t="s">
        <v>38</v>
      </c>
      <c r="X472" s="3">
        <v>41013</v>
      </c>
      <c r="Y472" s="2" t="s">
        <v>1013</v>
      </c>
      <c r="Z472" s="4"/>
      <c r="AA472" s="2" t="s">
        <v>672</v>
      </c>
      <c r="AB472" s="2" t="s">
        <v>907</v>
      </c>
      <c r="AC472" s="12">
        <f t="shared" si="42"/>
        <v>2012</v>
      </c>
      <c r="AD472" s="12">
        <f t="shared" si="43"/>
        <v>4</v>
      </c>
      <c r="AE472" s="12">
        <f t="shared" si="44"/>
        <v>14</v>
      </c>
      <c r="AF472" s="16">
        <f t="shared" si="45"/>
        <v>6.9</v>
      </c>
      <c r="AG472" s="16">
        <f t="shared" si="46"/>
        <v>38</v>
      </c>
      <c r="AH472" s="16" t="str">
        <f t="shared" si="47"/>
        <v/>
      </c>
    </row>
    <row r="473" spans="1:34" x14ac:dyDescent="0.35">
      <c r="A473" s="2" t="s">
        <v>1014</v>
      </c>
      <c r="B473" s="2" t="s">
        <v>29</v>
      </c>
      <c r="C473" s="2" t="s">
        <v>30</v>
      </c>
      <c r="D473" s="2" t="s">
        <v>791</v>
      </c>
      <c r="E473" s="2" t="s">
        <v>181</v>
      </c>
      <c r="F473" s="2" t="s">
        <v>959</v>
      </c>
      <c r="G473" s="2" t="s">
        <v>34</v>
      </c>
      <c r="H473" s="2" t="s">
        <v>233</v>
      </c>
      <c r="I473" s="2" t="s">
        <v>813</v>
      </c>
      <c r="J473" s="2" t="s">
        <v>37</v>
      </c>
      <c r="K473" s="2" t="s">
        <v>38</v>
      </c>
      <c r="L473" s="2" t="s">
        <v>38</v>
      </c>
      <c r="M473" s="2" t="s">
        <v>39</v>
      </c>
      <c r="N473" s="2" t="s">
        <v>38</v>
      </c>
      <c r="O473" s="2" t="s">
        <v>38</v>
      </c>
      <c r="P473" s="2" t="s">
        <v>909</v>
      </c>
      <c r="Q473" s="2" t="s">
        <v>38</v>
      </c>
      <c r="R473" s="2" t="s">
        <v>41</v>
      </c>
      <c r="S473" s="2" t="s">
        <v>1015</v>
      </c>
      <c r="T473" s="2" t="s">
        <v>417</v>
      </c>
      <c r="U473" s="2" t="s">
        <v>1016</v>
      </c>
      <c r="V473" s="2" t="s">
        <v>1017</v>
      </c>
      <c r="W473" s="2" t="s">
        <v>38</v>
      </c>
      <c r="X473" s="3">
        <v>41014</v>
      </c>
      <c r="Y473" s="2" t="s">
        <v>1018</v>
      </c>
      <c r="Z473" s="34"/>
      <c r="AA473" s="2" t="s">
        <v>672</v>
      </c>
      <c r="AB473" s="2" t="s">
        <v>907</v>
      </c>
      <c r="AC473" s="12">
        <f t="shared" si="42"/>
        <v>2012</v>
      </c>
      <c r="AD473" s="12">
        <f t="shared" si="43"/>
        <v>4</v>
      </c>
      <c r="AE473" s="12">
        <f t="shared" si="44"/>
        <v>15</v>
      </c>
      <c r="AF473" s="16">
        <f t="shared" si="45"/>
        <v>7.1</v>
      </c>
      <c r="AG473" s="16">
        <f t="shared" si="46"/>
        <v>38.5</v>
      </c>
      <c r="AH473" s="16" t="str">
        <f t="shared" si="47"/>
        <v/>
      </c>
    </row>
    <row r="474" spans="1:34" x14ac:dyDescent="0.35">
      <c r="A474" s="2" t="s">
        <v>1022</v>
      </c>
      <c r="B474" s="2" t="s">
        <v>29</v>
      </c>
      <c r="C474" s="2" t="s">
        <v>30</v>
      </c>
      <c r="D474" s="2" t="s">
        <v>187</v>
      </c>
      <c r="E474" s="2" t="s">
        <v>596</v>
      </c>
      <c r="F474" s="2" t="s">
        <v>696</v>
      </c>
      <c r="G474" s="2" t="s">
        <v>1028</v>
      </c>
      <c r="H474" s="2" t="s">
        <v>202</v>
      </c>
      <c r="I474" s="2" t="s">
        <v>813</v>
      </c>
      <c r="J474" s="2" t="s">
        <v>37</v>
      </c>
      <c r="K474" s="2" t="s">
        <v>38</v>
      </c>
      <c r="L474" s="2" t="s">
        <v>38</v>
      </c>
      <c r="M474" s="2" t="s">
        <v>39</v>
      </c>
      <c r="N474" s="2" t="s">
        <v>38</v>
      </c>
      <c r="O474" s="2" t="s">
        <v>38</v>
      </c>
      <c r="P474" s="2" t="s">
        <v>971</v>
      </c>
      <c r="Q474" s="2" t="s">
        <v>38</v>
      </c>
      <c r="R474" s="2" t="s">
        <v>1029</v>
      </c>
      <c r="S474" s="2" t="s">
        <v>1030</v>
      </c>
      <c r="T474" s="2" t="s">
        <v>1031</v>
      </c>
      <c r="U474" s="2" t="s">
        <v>891</v>
      </c>
      <c r="V474" s="2" t="s">
        <v>1032</v>
      </c>
      <c r="W474" s="2" t="s">
        <v>38</v>
      </c>
      <c r="X474" s="3">
        <v>41015</v>
      </c>
      <c r="Y474" s="2" t="s">
        <v>1033</v>
      </c>
      <c r="Z474" s="4"/>
      <c r="AA474" s="2" t="s">
        <v>672</v>
      </c>
      <c r="AB474" s="2" t="s">
        <v>907</v>
      </c>
      <c r="AC474" s="12">
        <f t="shared" si="42"/>
        <v>2012</v>
      </c>
      <c r="AD474" s="12">
        <f t="shared" si="43"/>
        <v>4</v>
      </c>
      <c r="AE474" s="12">
        <f t="shared" si="44"/>
        <v>16</v>
      </c>
      <c r="AF474" s="16">
        <f t="shared" si="45"/>
        <v>18.899999999999999</v>
      </c>
      <c r="AG474" s="16">
        <f t="shared" si="46"/>
        <v>38.9</v>
      </c>
      <c r="AH474" s="16" t="str">
        <f t="shared" si="47"/>
        <v/>
      </c>
    </row>
    <row r="475" spans="1:34" x14ac:dyDescent="0.35">
      <c r="A475" s="2" t="s">
        <v>1034</v>
      </c>
      <c r="B475" s="2" t="s">
        <v>29</v>
      </c>
      <c r="C475" s="2" t="s">
        <v>30</v>
      </c>
      <c r="D475" s="2" t="s">
        <v>608</v>
      </c>
      <c r="E475" s="2" t="s">
        <v>112</v>
      </c>
      <c r="F475" s="2" t="s">
        <v>1038</v>
      </c>
      <c r="G475" s="2" t="s">
        <v>34</v>
      </c>
      <c r="H475" s="2" t="s">
        <v>258</v>
      </c>
      <c r="I475" s="2" t="s">
        <v>652</v>
      </c>
      <c r="J475" s="2" t="s">
        <v>37</v>
      </c>
      <c r="K475" s="2" t="s">
        <v>38</v>
      </c>
      <c r="L475" s="2" t="s">
        <v>38</v>
      </c>
      <c r="M475" s="2" t="s">
        <v>39</v>
      </c>
      <c r="N475" s="2" t="s">
        <v>38</v>
      </c>
      <c r="O475" s="2" t="s">
        <v>38</v>
      </c>
      <c r="P475" s="2" t="s">
        <v>1039</v>
      </c>
      <c r="Q475" s="2" t="s">
        <v>38</v>
      </c>
      <c r="R475" s="2" t="s">
        <v>41</v>
      </c>
      <c r="S475" s="2" t="s">
        <v>42</v>
      </c>
      <c r="T475" s="2" t="s">
        <v>986</v>
      </c>
      <c r="U475" s="2" t="s">
        <v>1040</v>
      </c>
      <c r="V475" s="2" t="s">
        <v>664</v>
      </c>
      <c r="W475" s="2" t="s">
        <v>38</v>
      </c>
      <c r="X475" s="3">
        <v>41016</v>
      </c>
      <c r="Y475" s="2" t="s">
        <v>1041</v>
      </c>
      <c r="Z475" s="34"/>
      <c r="AA475" s="2" t="s">
        <v>672</v>
      </c>
      <c r="AB475" s="2" t="s">
        <v>907</v>
      </c>
      <c r="AC475" s="12">
        <f t="shared" si="42"/>
        <v>2012</v>
      </c>
      <c r="AD475" s="12">
        <f t="shared" si="43"/>
        <v>4</v>
      </c>
      <c r="AE475" s="12">
        <f t="shared" si="44"/>
        <v>17</v>
      </c>
      <c r="AF475" s="16">
        <f t="shared" si="45"/>
        <v>10.1</v>
      </c>
      <c r="AG475" s="16">
        <f t="shared" si="46"/>
        <v>37.299999999999997</v>
      </c>
      <c r="AH475" s="16" t="str">
        <f t="shared" si="47"/>
        <v/>
      </c>
    </row>
    <row r="476" spans="1:34" x14ac:dyDescent="0.35">
      <c r="A476" s="2" t="s">
        <v>1042</v>
      </c>
      <c r="B476" s="2" t="s">
        <v>29</v>
      </c>
      <c r="C476" s="2" t="s">
        <v>30</v>
      </c>
      <c r="D476" s="2" t="s">
        <v>583</v>
      </c>
      <c r="E476" s="2" t="s">
        <v>195</v>
      </c>
      <c r="F476" s="2" t="s">
        <v>1043</v>
      </c>
      <c r="G476" s="2" t="s">
        <v>34</v>
      </c>
      <c r="H476" s="2" t="s">
        <v>137</v>
      </c>
      <c r="I476" s="2" t="s">
        <v>813</v>
      </c>
      <c r="J476" s="2" t="s">
        <v>37</v>
      </c>
      <c r="K476" s="2" t="s">
        <v>38</v>
      </c>
      <c r="L476" s="2" t="s">
        <v>38</v>
      </c>
      <c r="M476" s="2" t="s">
        <v>39</v>
      </c>
      <c r="N476" s="2" t="s">
        <v>38</v>
      </c>
      <c r="O476" s="2" t="s">
        <v>38</v>
      </c>
      <c r="P476" s="2" t="s">
        <v>971</v>
      </c>
      <c r="Q476" s="2" t="s">
        <v>38</v>
      </c>
      <c r="R476" s="2" t="s">
        <v>41</v>
      </c>
      <c r="S476" s="2" t="s">
        <v>985</v>
      </c>
      <c r="T476" s="2" t="s">
        <v>1044</v>
      </c>
      <c r="U476" s="2" t="s">
        <v>775</v>
      </c>
      <c r="V476" s="2" t="s">
        <v>830</v>
      </c>
      <c r="W476" s="2" t="s">
        <v>38</v>
      </c>
      <c r="X476" s="3">
        <v>41017</v>
      </c>
      <c r="Y476" s="2" t="s">
        <v>1045</v>
      </c>
      <c r="Z476" s="4"/>
      <c r="AA476" s="2" t="s">
        <v>672</v>
      </c>
      <c r="AB476" s="2" t="s">
        <v>907</v>
      </c>
      <c r="AC476" s="12">
        <f t="shared" si="42"/>
        <v>2012</v>
      </c>
      <c r="AD476" s="12">
        <f t="shared" si="43"/>
        <v>4</v>
      </c>
      <c r="AE476" s="12">
        <f t="shared" si="44"/>
        <v>18</v>
      </c>
      <c r="AF476" s="16">
        <f t="shared" si="45"/>
        <v>8.3000000000000007</v>
      </c>
      <c r="AG476" s="16">
        <f t="shared" si="46"/>
        <v>38.9</v>
      </c>
      <c r="AH476" s="16" t="str">
        <f t="shared" si="47"/>
        <v/>
      </c>
    </row>
    <row r="477" spans="1:34" x14ac:dyDescent="0.35">
      <c r="A477" s="2" t="s">
        <v>1049</v>
      </c>
      <c r="B477" s="2" t="s">
        <v>29</v>
      </c>
      <c r="C477" s="2" t="s">
        <v>30</v>
      </c>
      <c r="D477" s="2" t="s">
        <v>214</v>
      </c>
      <c r="E477" s="2" t="s">
        <v>596</v>
      </c>
      <c r="F477" s="2" t="s">
        <v>547</v>
      </c>
      <c r="G477" s="2" t="s">
        <v>1055</v>
      </c>
      <c r="H477" s="2" t="s">
        <v>1056</v>
      </c>
      <c r="I477" s="2" t="s">
        <v>652</v>
      </c>
      <c r="J477" s="2" t="s">
        <v>37</v>
      </c>
      <c r="K477" s="2" t="s">
        <v>38</v>
      </c>
      <c r="L477" s="2" t="s">
        <v>38</v>
      </c>
      <c r="M477" s="2" t="s">
        <v>39</v>
      </c>
      <c r="N477" s="2" t="s">
        <v>38</v>
      </c>
      <c r="O477" s="2" t="s">
        <v>38</v>
      </c>
      <c r="P477" s="2" t="s">
        <v>1057</v>
      </c>
      <c r="Q477" s="2" t="s">
        <v>38</v>
      </c>
      <c r="R477" s="2" t="s">
        <v>1029</v>
      </c>
      <c r="S477" s="2" t="s">
        <v>1058</v>
      </c>
      <c r="T477" s="2" t="s">
        <v>1059</v>
      </c>
      <c r="U477" s="2" t="s">
        <v>219</v>
      </c>
      <c r="V477" s="2" t="s">
        <v>1060</v>
      </c>
      <c r="W477" s="2" t="s">
        <v>38</v>
      </c>
      <c r="X477" s="3">
        <v>41018</v>
      </c>
      <c r="Y477" s="2" t="s">
        <v>1061</v>
      </c>
      <c r="Z477" s="34"/>
      <c r="AA477" s="2" t="s">
        <v>672</v>
      </c>
      <c r="AB477" s="2" t="s">
        <v>907</v>
      </c>
      <c r="AC477" s="12">
        <f t="shared" si="42"/>
        <v>2012</v>
      </c>
      <c r="AD477" s="12">
        <f t="shared" si="43"/>
        <v>4</v>
      </c>
      <c r="AE477" s="12">
        <f t="shared" si="44"/>
        <v>19</v>
      </c>
      <c r="AF477" s="16">
        <f t="shared" si="45"/>
        <v>18.5</v>
      </c>
      <c r="AG477" s="16">
        <f t="shared" si="46"/>
        <v>36.799999999999997</v>
      </c>
      <c r="AH477" s="16" t="str">
        <f t="shared" si="47"/>
        <v/>
      </c>
    </row>
    <row r="478" spans="1:34" x14ac:dyDescent="0.35">
      <c r="A478" s="2" t="s">
        <v>1062</v>
      </c>
      <c r="B478" s="2" t="s">
        <v>29</v>
      </c>
      <c r="C478" s="2" t="s">
        <v>30</v>
      </c>
      <c r="D478" s="2" t="s">
        <v>608</v>
      </c>
      <c r="E478" s="2" t="s">
        <v>94</v>
      </c>
      <c r="F478" s="2" t="s">
        <v>1010</v>
      </c>
      <c r="G478" s="2" t="s">
        <v>34</v>
      </c>
      <c r="H478" s="2" t="s">
        <v>734</v>
      </c>
      <c r="I478" s="2" t="s">
        <v>652</v>
      </c>
      <c r="J478" s="2" t="s">
        <v>37</v>
      </c>
      <c r="K478" s="2" t="s">
        <v>38</v>
      </c>
      <c r="L478" s="2" t="s">
        <v>38</v>
      </c>
      <c r="M478" s="2" t="s">
        <v>39</v>
      </c>
      <c r="N478" s="2" t="s">
        <v>38</v>
      </c>
      <c r="O478" s="2" t="s">
        <v>38</v>
      </c>
      <c r="P478" s="2" t="s">
        <v>774</v>
      </c>
      <c r="Q478" s="2" t="s">
        <v>38</v>
      </c>
      <c r="R478" s="2" t="s">
        <v>41</v>
      </c>
      <c r="S478" s="2" t="s">
        <v>1068</v>
      </c>
      <c r="T478" s="2" t="s">
        <v>362</v>
      </c>
      <c r="U478" s="2" t="s">
        <v>787</v>
      </c>
      <c r="V478" s="2" t="s">
        <v>338</v>
      </c>
      <c r="W478" s="2" t="s">
        <v>38</v>
      </c>
      <c r="X478" s="3">
        <v>41019</v>
      </c>
      <c r="Y478" s="2" t="s">
        <v>1069</v>
      </c>
      <c r="Z478" s="34"/>
      <c r="AA478" s="2" t="s">
        <v>672</v>
      </c>
      <c r="AB478" s="2" t="s">
        <v>907</v>
      </c>
      <c r="AC478" s="12">
        <f t="shared" si="42"/>
        <v>2012</v>
      </c>
      <c r="AD478" s="12">
        <f t="shared" si="43"/>
        <v>4</v>
      </c>
      <c r="AE478" s="12">
        <f t="shared" si="44"/>
        <v>20</v>
      </c>
      <c r="AF478" s="16">
        <f t="shared" si="45"/>
        <v>14</v>
      </c>
      <c r="AG478" s="16">
        <f t="shared" si="46"/>
        <v>36.9</v>
      </c>
      <c r="AH478" s="16" t="str">
        <f t="shared" si="47"/>
        <v/>
      </c>
    </row>
    <row r="479" spans="1:34" x14ac:dyDescent="0.35">
      <c r="A479" s="2" t="s">
        <v>1070</v>
      </c>
      <c r="B479" s="2" t="s">
        <v>29</v>
      </c>
      <c r="C479" s="2" t="s">
        <v>30</v>
      </c>
      <c r="D479" s="2" t="s">
        <v>608</v>
      </c>
      <c r="E479" s="2" t="s">
        <v>51</v>
      </c>
      <c r="F479" s="2" t="s">
        <v>1074</v>
      </c>
      <c r="G479" s="2" t="s">
        <v>1075</v>
      </c>
      <c r="H479" s="2" t="s">
        <v>451</v>
      </c>
      <c r="I479" s="2" t="s">
        <v>652</v>
      </c>
      <c r="J479" s="2" t="s">
        <v>37</v>
      </c>
      <c r="K479" s="2" t="s">
        <v>38</v>
      </c>
      <c r="L479" s="2" t="s">
        <v>38</v>
      </c>
      <c r="M479" s="2" t="s">
        <v>39</v>
      </c>
      <c r="N479" s="2" t="s">
        <v>38</v>
      </c>
      <c r="O479" s="2" t="s">
        <v>38</v>
      </c>
      <c r="P479" s="2" t="s">
        <v>774</v>
      </c>
      <c r="Q479" s="2" t="s">
        <v>38</v>
      </c>
      <c r="R479" s="2" t="s">
        <v>1076</v>
      </c>
      <c r="S479" s="2" t="s">
        <v>1077</v>
      </c>
      <c r="T479" s="2" t="s">
        <v>362</v>
      </c>
      <c r="U479" s="2" t="s">
        <v>787</v>
      </c>
      <c r="V479" s="2" t="s">
        <v>933</v>
      </c>
      <c r="W479" s="2" t="s">
        <v>38</v>
      </c>
      <c r="X479" s="3">
        <v>41020</v>
      </c>
      <c r="Y479" s="2" t="s">
        <v>1078</v>
      </c>
      <c r="Z479" s="4"/>
      <c r="AA479" s="2" t="s">
        <v>672</v>
      </c>
      <c r="AB479" s="2" t="s">
        <v>907</v>
      </c>
      <c r="AC479" s="12">
        <f t="shared" si="42"/>
        <v>2012</v>
      </c>
      <c r="AD479" s="12">
        <f t="shared" si="43"/>
        <v>4</v>
      </c>
      <c r="AE479" s="12">
        <f t="shared" si="44"/>
        <v>21</v>
      </c>
      <c r="AF479" s="16">
        <f t="shared" si="45"/>
        <v>16.899999999999999</v>
      </c>
      <c r="AG479" s="16">
        <f t="shared" si="46"/>
        <v>36.9</v>
      </c>
      <c r="AH479" s="16" t="str">
        <f t="shared" si="47"/>
        <v/>
      </c>
    </row>
    <row r="480" spans="1:34" x14ac:dyDescent="0.35">
      <c r="A480" s="2" t="s">
        <v>1079</v>
      </c>
      <c r="B480" s="2" t="s">
        <v>29</v>
      </c>
      <c r="C480" s="2" t="s">
        <v>30</v>
      </c>
      <c r="D480" s="2" t="s">
        <v>608</v>
      </c>
      <c r="E480" s="2" t="s">
        <v>112</v>
      </c>
      <c r="F480" s="2" t="s">
        <v>1080</v>
      </c>
      <c r="G480" s="2" t="s">
        <v>34</v>
      </c>
      <c r="H480" s="2" t="s">
        <v>386</v>
      </c>
      <c r="I480" s="2" t="s">
        <v>791</v>
      </c>
      <c r="J480" s="2" t="s">
        <v>37</v>
      </c>
      <c r="K480" s="2" t="s">
        <v>38</v>
      </c>
      <c r="L480" s="2" t="s">
        <v>38</v>
      </c>
      <c r="M480" s="2" t="s">
        <v>39</v>
      </c>
      <c r="N480" s="2" t="s">
        <v>38</v>
      </c>
      <c r="O480" s="2" t="s">
        <v>38</v>
      </c>
      <c r="P480" s="2" t="s">
        <v>902</v>
      </c>
      <c r="Q480" s="2" t="s">
        <v>38</v>
      </c>
      <c r="R480" s="2" t="s">
        <v>41</v>
      </c>
      <c r="S480" s="2" t="s">
        <v>1081</v>
      </c>
      <c r="T480" s="2" t="s">
        <v>916</v>
      </c>
      <c r="U480" s="2" t="s">
        <v>1082</v>
      </c>
      <c r="V480" s="2" t="s">
        <v>471</v>
      </c>
      <c r="W480" s="2" t="s">
        <v>38</v>
      </c>
      <c r="X480" s="3">
        <v>41021</v>
      </c>
      <c r="Y480" s="2" t="s">
        <v>1083</v>
      </c>
      <c r="Z480" s="4"/>
      <c r="AA480" s="2" t="s">
        <v>672</v>
      </c>
      <c r="AB480" s="2" t="s">
        <v>907</v>
      </c>
      <c r="AC480" s="12">
        <f t="shared" si="42"/>
        <v>2012</v>
      </c>
      <c r="AD480" s="12">
        <f t="shared" si="43"/>
        <v>4</v>
      </c>
      <c r="AE480" s="12">
        <f t="shared" si="44"/>
        <v>22</v>
      </c>
      <c r="AF480" s="16">
        <f t="shared" si="45"/>
        <v>10.3</v>
      </c>
      <c r="AG480" s="16">
        <f t="shared" si="46"/>
        <v>37.9</v>
      </c>
      <c r="AH480" s="16" t="str">
        <f t="shared" si="47"/>
        <v/>
      </c>
    </row>
    <row r="481" spans="1:34" x14ac:dyDescent="0.35">
      <c r="A481" s="2" t="s">
        <v>1086</v>
      </c>
      <c r="B481" s="2" t="s">
        <v>29</v>
      </c>
      <c r="C481" s="2" t="s">
        <v>30</v>
      </c>
      <c r="D481" s="2" t="s">
        <v>583</v>
      </c>
      <c r="E481" s="2" t="s">
        <v>286</v>
      </c>
      <c r="F481" s="2" t="s">
        <v>1089</v>
      </c>
      <c r="G481" s="2" t="s">
        <v>34</v>
      </c>
      <c r="H481" s="2" t="s">
        <v>113</v>
      </c>
      <c r="I481" s="2" t="s">
        <v>652</v>
      </c>
      <c r="J481" s="2" t="s">
        <v>37</v>
      </c>
      <c r="K481" s="2" t="s">
        <v>38</v>
      </c>
      <c r="L481" s="2" t="s">
        <v>38</v>
      </c>
      <c r="M481" s="2" t="s">
        <v>39</v>
      </c>
      <c r="N481" s="2" t="s">
        <v>38</v>
      </c>
      <c r="O481" s="2" t="s">
        <v>38</v>
      </c>
      <c r="P481" s="2" t="s">
        <v>952</v>
      </c>
      <c r="Q481" s="2" t="s">
        <v>38</v>
      </c>
      <c r="R481" s="2" t="s">
        <v>41</v>
      </c>
      <c r="S481" s="2" t="s">
        <v>1090</v>
      </c>
      <c r="T481" s="2" t="s">
        <v>372</v>
      </c>
      <c r="U481" s="2" t="s">
        <v>804</v>
      </c>
      <c r="V481" s="2" t="s">
        <v>1091</v>
      </c>
      <c r="W481" s="2" t="s">
        <v>38</v>
      </c>
      <c r="X481" s="3">
        <v>41022</v>
      </c>
      <c r="Y481" s="2" t="s">
        <v>1092</v>
      </c>
      <c r="Z481" s="34"/>
      <c r="AA481" s="2" t="s">
        <v>672</v>
      </c>
      <c r="AB481" s="2" t="s">
        <v>907</v>
      </c>
      <c r="AC481" s="12">
        <f t="shared" si="42"/>
        <v>2012</v>
      </c>
      <c r="AD481" s="12">
        <f t="shared" si="43"/>
        <v>4</v>
      </c>
      <c r="AE481" s="12">
        <f t="shared" si="44"/>
        <v>23</v>
      </c>
      <c r="AF481" s="16">
        <f t="shared" si="45"/>
        <v>0.5</v>
      </c>
      <c r="AG481" s="16">
        <f t="shared" si="46"/>
        <v>37.1</v>
      </c>
      <c r="AH481" s="16" t="str">
        <f t="shared" si="47"/>
        <v/>
      </c>
    </row>
    <row r="482" spans="1:34" x14ac:dyDescent="0.35">
      <c r="A482" s="2" t="s">
        <v>1093</v>
      </c>
      <c r="B482" s="2" t="s">
        <v>29</v>
      </c>
      <c r="C482" s="2" t="s">
        <v>30</v>
      </c>
      <c r="D482" s="2" t="s">
        <v>608</v>
      </c>
      <c r="E482" s="2" t="s">
        <v>165</v>
      </c>
      <c r="F482" s="2" t="s">
        <v>966</v>
      </c>
      <c r="G482" s="2" t="s">
        <v>34</v>
      </c>
      <c r="H482" s="2" t="s">
        <v>308</v>
      </c>
      <c r="I482" s="2" t="s">
        <v>652</v>
      </c>
      <c r="J482" s="2" t="s">
        <v>37</v>
      </c>
      <c r="K482" s="2" t="s">
        <v>38</v>
      </c>
      <c r="L482" s="2" t="s">
        <v>38</v>
      </c>
      <c r="M482" s="2" t="s">
        <v>39</v>
      </c>
      <c r="N482" s="2" t="s">
        <v>38</v>
      </c>
      <c r="O482" s="2" t="s">
        <v>38</v>
      </c>
      <c r="P482" s="2" t="s">
        <v>952</v>
      </c>
      <c r="Q482" s="2" t="s">
        <v>38</v>
      </c>
      <c r="R482" s="2" t="s">
        <v>98</v>
      </c>
      <c r="S482" s="2" t="s">
        <v>1094</v>
      </c>
      <c r="T482" s="2" t="s">
        <v>90</v>
      </c>
      <c r="U482" s="2" t="s">
        <v>815</v>
      </c>
      <c r="V482" s="2" t="s">
        <v>842</v>
      </c>
      <c r="W482" s="2" t="s">
        <v>38</v>
      </c>
      <c r="X482" s="3">
        <v>41023</v>
      </c>
      <c r="Y482" s="2" t="s">
        <v>1095</v>
      </c>
      <c r="Z482" s="34"/>
      <c r="AA482" s="2" t="s">
        <v>672</v>
      </c>
      <c r="AB482" s="2" t="s">
        <v>907</v>
      </c>
      <c r="AC482" s="12">
        <f t="shared" si="42"/>
        <v>2012</v>
      </c>
      <c r="AD482" s="12">
        <f t="shared" si="43"/>
        <v>4</v>
      </c>
      <c r="AE482" s="12">
        <f t="shared" si="44"/>
        <v>24</v>
      </c>
      <c r="AF482" s="16">
        <f t="shared" si="45"/>
        <v>9.4</v>
      </c>
      <c r="AG482" s="16">
        <f t="shared" si="46"/>
        <v>37.1</v>
      </c>
      <c r="AH482" s="16" t="str">
        <f t="shared" si="47"/>
        <v/>
      </c>
    </row>
    <row r="483" spans="1:34" x14ac:dyDescent="0.35">
      <c r="A483" s="2" t="s">
        <v>1097</v>
      </c>
      <c r="B483" s="2" t="s">
        <v>29</v>
      </c>
      <c r="C483" s="2" t="s">
        <v>30</v>
      </c>
      <c r="D483" s="2" t="s">
        <v>608</v>
      </c>
      <c r="E483" s="2" t="s">
        <v>195</v>
      </c>
      <c r="F483" s="2" t="s">
        <v>1101</v>
      </c>
      <c r="G483" s="2" t="s">
        <v>34</v>
      </c>
      <c r="H483" s="2" t="s">
        <v>113</v>
      </c>
      <c r="I483" s="2" t="s">
        <v>791</v>
      </c>
      <c r="J483" s="2" t="s">
        <v>37</v>
      </c>
      <c r="K483" s="2" t="s">
        <v>38</v>
      </c>
      <c r="L483" s="2" t="s">
        <v>38</v>
      </c>
      <c r="M483" s="2" t="s">
        <v>39</v>
      </c>
      <c r="N483" s="2" t="s">
        <v>38</v>
      </c>
      <c r="O483" s="2" t="s">
        <v>38</v>
      </c>
      <c r="P483" s="2" t="s">
        <v>1102</v>
      </c>
      <c r="Q483" s="2" t="s">
        <v>38</v>
      </c>
      <c r="R483" s="2" t="s">
        <v>98</v>
      </c>
      <c r="S483" s="2" t="s">
        <v>524</v>
      </c>
      <c r="T483" s="2" t="s">
        <v>90</v>
      </c>
      <c r="U483" s="2" t="s">
        <v>815</v>
      </c>
      <c r="V483" s="2" t="s">
        <v>830</v>
      </c>
      <c r="W483" s="2" t="s">
        <v>38</v>
      </c>
      <c r="X483" s="3">
        <v>41024</v>
      </c>
      <c r="Y483" s="2" t="s">
        <v>1103</v>
      </c>
      <c r="Z483" s="4"/>
      <c r="AA483" s="2" t="s">
        <v>672</v>
      </c>
      <c r="AB483" s="2" t="s">
        <v>907</v>
      </c>
      <c r="AC483" s="12">
        <f t="shared" si="42"/>
        <v>2012</v>
      </c>
      <c r="AD483" s="12">
        <f t="shared" si="43"/>
        <v>4</v>
      </c>
      <c r="AE483" s="12">
        <f t="shared" si="44"/>
        <v>25</v>
      </c>
      <c r="AF483" s="16">
        <f t="shared" si="45"/>
        <v>8.3000000000000007</v>
      </c>
      <c r="AG483" s="16">
        <f t="shared" si="46"/>
        <v>37.6</v>
      </c>
      <c r="AH483" s="16" t="str">
        <f t="shared" si="47"/>
        <v/>
      </c>
    </row>
    <row r="484" spans="1:34" x14ac:dyDescent="0.35">
      <c r="A484" s="2" t="s">
        <v>1104</v>
      </c>
      <c r="B484" s="2" t="s">
        <v>29</v>
      </c>
      <c r="C484" s="2" t="s">
        <v>30</v>
      </c>
      <c r="D484" s="2" t="s">
        <v>652</v>
      </c>
      <c r="E484" s="2" t="s">
        <v>403</v>
      </c>
      <c r="F484" s="2" t="s">
        <v>1106</v>
      </c>
      <c r="G484" s="2" t="s">
        <v>34</v>
      </c>
      <c r="H484" s="2" t="s">
        <v>240</v>
      </c>
      <c r="I484" s="2" t="s">
        <v>791</v>
      </c>
      <c r="J484" s="2" t="s">
        <v>37</v>
      </c>
      <c r="K484" s="2" t="s">
        <v>38</v>
      </c>
      <c r="L484" s="2" t="s">
        <v>38</v>
      </c>
      <c r="M484" s="2" t="s">
        <v>39</v>
      </c>
      <c r="N484" s="2" t="s">
        <v>38</v>
      </c>
      <c r="O484" s="2" t="s">
        <v>38</v>
      </c>
      <c r="P484" s="2" t="s">
        <v>819</v>
      </c>
      <c r="Q484" s="2" t="s">
        <v>38</v>
      </c>
      <c r="R484" s="2" t="s">
        <v>98</v>
      </c>
      <c r="S484" s="2" t="s">
        <v>735</v>
      </c>
      <c r="T484" s="2" t="s">
        <v>73</v>
      </c>
      <c r="U484" s="2" t="s">
        <v>1107</v>
      </c>
      <c r="V484" s="2" t="s">
        <v>408</v>
      </c>
      <c r="W484" s="2" t="s">
        <v>38</v>
      </c>
      <c r="X484" s="3">
        <v>41025</v>
      </c>
      <c r="Y484" s="2" t="s">
        <v>1108</v>
      </c>
      <c r="Z484" s="34"/>
      <c r="AA484" s="2" t="s">
        <v>672</v>
      </c>
      <c r="AB484" s="2" t="s">
        <v>907</v>
      </c>
      <c r="AC484" s="12">
        <f t="shared" si="42"/>
        <v>2012</v>
      </c>
      <c r="AD484" s="12">
        <f t="shared" si="43"/>
        <v>4</v>
      </c>
      <c r="AE484" s="12">
        <f t="shared" si="44"/>
        <v>26</v>
      </c>
      <c r="AF484" s="16">
        <f t="shared" si="45"/>
        <v>1.7</v>
      </c>
      <c r="AG484" s="16">
        <f t="shared" si="46"/>
        <v>38.4</v>
      </c>
      <c r="AH484" s="16" t="str">
        <f t="shared" si="47"/>
        <v/>
      </c>
    </row>
    <row r="485" spans="1:34" x14ac:dyDescent="0.35">
      <c r="A485" s="2" t="s">
        <v>1109</v>
      </c>
      <c r="B485" s="2" t="s">
        <v>29</v>
      </c>
      <c r="C485" s="2" t="s">
        <v>30</v>
      </c>
      <c r="D485" s="2" t="s">
        <v>608</v>
      </c>
      <c r="E485" s="2" t="s">
        <v>172</v>
      </c>
      <c r="F485" s="2" t="s">
        <v>966</v>
      </c>
      <c r="G485" s="2" t="s">
        <v>34</v>
      </c>
      <c r="H485" s="2" t="s">
        <v>451</v>
      </c>
      <c r="I485" s="2" t="s">
        <v>652</v>
      </c>
      <c r="J485" s="2" t="s">
        <v>37</v>
      </c>
      <c r="K485" s="2" t="s">
        <v>38</v>
      </c>
      <c r="L485" s="2" t="s">
        <v>38</v>
      </c>
      <c r="M485" s="2" t="s">
        <v>39</v>
      </c>
      <c r="N485" s="2" t="s">
        <v>38</v>
      </c>
      <c r="O485" s="2" t="s">
        <v>38</v>
      </c>
      <c r="P485" s="2" t="s">
        <v>952</v>
      </c>
      <c r="Q485" s="2" t="s">
        <v>38</v>
      </c>
      <c r="R485" s="2" t="s">
        <v>98</v>
      </c>
      <c r="S485" s="2" t="s">
        <v>935</v>
      </c>
      <c r="T485" s="2" t="s">
        <v>73</v>
      </c>
      <c r="U485" s="2" t="s">
        <v>864</v>
      </c>
      <c r="V485" s="2" t="s">
        <v>237</v>
      </c>
      <c r="W485" s="2" t="s">
        <v>38</v>
      </c>
      <c r="X485" s="3">
        <v>41026</v>
      </c>
      <c r="Y485" s="2" t="s">
        <v>1110</v>
      </c>
      <c r="Z485" s="4"/>
      <c r="AA485" s="2" t="s">
        <v>672</v>
      </c>
      <c r="AB485" s="2" t="s">
        <v>907</v>
      </c>
      <c r="AC485" s="12">
        <f t="shared" si="42"/>
        <v>2012</v>
      </c>
      <c r="AD485" s="12">
        <f t="shared" si="43"/>
        <v>4</v>
      </c>
      <c r="AE485" s="12">
        <f t="shared" si="44"/>
        <v>27</v>
      </c>
      <c r="AF485" s="16">
        <f t="shared" si="45"/>
        <v>5.0999999999999996</v>
      </c>
      <c r="AG485" s="16">
        <f t="shared" si="46"/>
        <v>37.1</v>
      </c>
      <c r="AH485" s="16" t="str">
        <f t="shared" si="47"/>
        <v/>
      </c>
    </row>
    <row r="486" spans="1:34" x14ac:dyDescent="0.35">
      <c r="A486" s="2" t="s">
        <v>1113</v>
      </c>
      <c r="B486" s="2" t="s">
        <v>29</v>
      </c>
      <c r="C486" s="2" t="s">
        <v>30</v>
      </c>
      <c r="D486" s="2" t="s">
        <v>583</v>
      </c>
      <c r="E486" s="2" t="s">
        <v>104</v>
      </c>
      <c r="F486" s="2" t="s">
        <v>1118</v>
      </c>
      <c r="G486" s="2" t="s">
        <v>34</v>
      </c>
      <c r="H486" s="2" t="s">
        <v>180</v>
      </c>
      <c r="I486" s="2" t="s">
        <v>791</v>
      </c>
      <c r="J486" s="2" t="s">
        <v>37</v>
      </c>
      <c r="K486" s="2" t="s">
        <v>38</v>
      </c>
      <c r="L486" s="2" t="s">
        <v>38</v>
      </c>
      <c r="M486" s="2" t="s">
        <v>39</v>
      </c>
      <c r="N486" s="2" t="s">
        <v>38</v>
      </c>
      <c r="O486" s="2" t="s">
        <v>38</v>
      </c>
      <c r="P486" s="2" t="s">
        <v>801</v>
      </c>
      <c r="Q486" s="2" t="s">
        <v>38</v>
      </c>
      <c r="R486" s="2" t="s">
        <v>41</v>
      </c>
      <c r="S486" s="2" t="s">
        <v>1119</v>
      </c>
      <c r="T486" s="2" t="s">
        <v>372</v>
      </c>
      <c r="U486" s="2" t="s">
        <v>804</v>
      </c>
      <c r="V486" s="2" t="s">
        <v>109</v>
      </c>
      <c r="W486" s="2" t="s">
        <v>38</v>
      </c>
      <c r="X486" s="3">
        <v>41027</v>
      </c>
      <c r="Y486" s="2" t="s">
        <v>1120</v>
      </c>
      <c r="Z486" s="34"/>
      <c r="AA486" s="2" t="s">
        <v>672</v>
      </c>
      <c r="AB486" s="2" t="s">
        <v>907</v>
      </c>
      <c r="AC486" s="12">
        <f t="shared" si="42"/>
        <v>2012</v>
      </c>
      <c r="AD486" s="12">
        <f t="shared" si="43"/>
        <v>4</v>
      </c>
      <c r="AE486" s="12">
        <f t="shared" si="44"/>
        <v>28</v>
      </c>
      <c r="AF486" s="16">
        <f t="shared" si="45"/>
        <v>13.2</v>
      </c>
      <c r="AG486" s="16">
        <f t="shared" si="46"/>
        <v>37.799999999999997</v>
      </c>
      <c r="AH486" s="16" t="str">
        <f t="shared" si="47"/>
        <v/>
      </c>
    </row>
    <row r="487" spans="1:34" x14ac:dyDescent="0.35">
      <c r="A487" s="2" t="s">
        <v>1121</v>
      </c>
      <c r="B487" s="2" t="s">
        <v>29</v>
      </c>
      <c r="C487" s="2" t="s">
        <v>30</v>
      </c>
      <c r="D487" s="2" t="s">
        <v>583</v>
      </c>
      <c r="E487" s="2" t="s">
        <v>142</v>
      </c>
      <c r="F487" s="2" t="s">
        <v>1122</v>
      </c>
      <c r="G487" s="2" t="s">
        <v>34</v>
      </c>
      <c r="H487" s="2" t="s">
        <v>180</v>
      </c>
      <c r="I487" s="2" t="s">
        <v>791</v>
      </c>
      <c r="J487" s="2" t="s">
        <v>37</v>
      </c>
      <c r="K487" s="2" t="s">
        <v>38</v>
      </c>
      <c r="L487" s="2" t="s">
        <v>38</v>
      </c>
      <c r="M487" s="2" t="s">
        <v>39</v>
      </c>
      <c r="N487" s="2" t="s">
        <v>38</v>
      </c>
      <c r="O487" s="2" t="s">
        <v>38</v>
      </c>
      <c r="P487" s="2" t="s">
        <v>939</v>
      </c>
      <c r="Q487" s="2" t="s">
        <v>38</v>
      </c>
      <c r="R487" s="2" t="s">
        <v>98</v>
      </c>
      <c r="S487" s="2" t="s">
        <v>524</v>
      </c>
      <c r="T487" s="2" t="s">
        <v>90</v>
      </c>
      <c r="U487" s="2" t="s">
        <v>707</v>
      </c>
      <c r="V487" s="2" t="s">
        <v>197</v>
      </c>
      <c r="W487" s="2" t="s">
        <v>38</v>
      </c>
      <c r="X487" s="3">
        <v>41028</v>
      </c>
      <c r="Y487" s="2" t="s">
        <v>1123</v>
      </c>
      <c r="Z487" s="4"/>
      <c r="AA487" s="2" t="s">
        <v>672</v>
      </c>
      <c r="AB487" s="2" t="s">
        <v>907</v>
      </c>
      <c r="AC487" s="12">
        <f t="shared" si="42"/>
        <v>2012</v>
      </c>
      <c r="AD487" s="12">
        <f t="shared" si="43"/>
        <v>4</v>
      </c>
      <c r="AE487" s="12">
        <f t="shared" si="44"/>
        <v>29</v>
      </c>
      <c r="AF487" s="16">
        <f t="shared" si="45"/>
        <v>10.6</v>
      </c>
      <c r="AG487" s="16">
        <f t="shared" si="46"/>
        <v>38.200000000000003</v>
      </c>
      <c r="AH487" s="16" t="str">
        <f t="shared" si="47"/>
        <v/>
      </c>
    </row>
    <row r="488" spans="1:34" x14ac:dyDescent="0.35">
      <c r="A488" s="2" t="s">
        <v>1127</v>
      </c>
      <c r="B488" s="2" t="s">
        <v>29</v>
      </c>
      <c r="C488" s="2" t="s">
        <v>30</v>
      </c>
      <c r="D488" s="2" t="s">
        <v>583</v>
      </c>
      <c r="E488" s="2" t="s">
        <v>66</v>
      </c>
      <c r="F488" s="2" t="s">
        <v>1128</v>
      </c>
      <c r="G488" s="2" t="s">
        <v>34</v>
      </c>
      <c r="H488" s="2" t="s">
        <v>233</v>
      </c>
      <c r="I488" s="2" t="s">
        <v>791</v>
      </c>
      <c r="J488" s="2" t="s">
        <v>37</v>
      </c>
      <c r="K488" s="2" t="s">
        <v>38</v>
      </c>
      <c r="L488" s="2" t="s">
        <v>38</v>
      </c>
      <c r="M488" s="2" t="s">
        <v>39</v>
      </c>
      <c r="N488" s="2" t="s">
        <v>38</v>
      </c>
      <c r="O488" s="2" t="s">
        <v>38</v>
      </c>
      <c r="P488" s="2" t="s">
        <v>984</v>
      </c>
      <c r="Q488" s="2" t="s">
        <v>38</v>
      </c>
      <c r="R488" s="2" t="s">
        <v>41</v>
      </c>
      <c r="S488" s="2" t="s">
        <v>1129</v>
      </c>
      <c r="T488" s="2" t="s">
        <v>372</v>
      </c>
      <c r="U488" s="2" t="s">
        <v>923</v>
      </c>
      <c r="V488" s="2" t="s">
        <v>140</v>
      </c>
      <c r="W488" s="2" t="s">
        <v>38</v>
      </c>
      <c r="X488" s="3">
        <v>41029</v>
      </c>
      <c r="Y488" s="2" t="s">
        <v>1130</v>
      </c>
      <c r="Z488" s="4"/>
      <c r="AA488" s="2" t="s">
        <v>672</v>
      </c>
      <c r="AB488" s="2" t="s">
        <v>1131</v>
      </c>
      <c r="AC488" s="12">
        <f t="shared" si="42"/>
        <v>2012</v>
      </c>
      <c r="AD488" s="12">
        <f t="shared" si="43"/>
        <v>4</v>
      </c>
      <c r="AE488" s="12">
        <f t="shared" si="44"/>
        <v>30</v>
      </c>
      <c r="AF488" s="16">
        <f t="shared" si="45"/>
        <v>14.7</v>
      </c>
      <c r="AG488" s="16">
        <f t="shared" si="46"/>
        <v>37.700000000000003</v>
      </c>
      <c r="AH488" s="16" t="str">
        <f t="shared" si="47"/>
        <v/>
      </c>
    </row>
    <row r="489" spans="1:34" x14ac:dyDescent="0.35">
      <c r="A489" s="2" t="s">
        <v>1134</v>
      </c>
      <c r="B489" s="2" t="s">
        <v>29</v>
      </c>
      <c r="C489" s="2" t="s">
        <v>30</v>
      </c>
      <c r="D489" s="2" t="s">
        <v>583</v>
      </c>
      <c r="E489" s="2" t="s">
        <v>112</v>
      </c>
      <c r="F489" s="2" t="s">
        <v>966</v>
      </c>
      <c r="G489" s="2" t="s">
        <v>34</v>
      </c>
      <c r="H489" s="2" t="s">
        <v>69</v>
      </c>
      <c r="I489" s="2" t="s">
        <v>652</v>
      </c>
      <c r="J489" s="2" t="s">
        <v>37</v>
      </c>
      <c r="K489" s="2" t="s">
        <v>38</v>
      </c>
      <c r="L489" s="2" t="s">
        <v>38</v>
      </c>
      <c r="M489" s="2" t="s">
        <v>39</v>
      </c>
      <c r="N489" s="2" t="s">
        <v>38</v>
      </c>
      <c r="O489" s="2" t="s">
        <v>38</v>
      </c>
      <c r="P489" s="2" t="s">
        <v>952</v>
      </c>
      <c r="Q489" s="2" t="s">
        <v>38</v>
      </c>
      <c r="R489" s="2" t="s">
        <v>98</v>
      </c>
      <c r="S489" s="2" t="s">
        <v>981</v>
      </c>
      <c r="T489" s="2" t="s">
        <v>73</v>
      </c>
      <c r="U489" s="2" t="s">
        <v>775</v>
      </c>
      <c r="V489" s="2" t="s">
        <v>454</v>
      </c>
      <c r="W489" s="2" t="s">
        <v>38</v>
      </c>
      <c r="X489" s="3">
        <v>41030</v>
      </c>
      <c r="Y489" s="2" t="s">
        <v>1136</v>
      </c>
      <c r="Z489" s="34"/>
      <c r="AA489" s="2" t="s">
        <v>672</v>
      </c>
      <c r="AB489" s="2" t="s">
        <v>1131</v>
      </c>
      <c r="AC489" s="12">
        <f t="shared" si="42"/>
        <v>2012</v>
      </c>
      <c r="AD489" s="12">
        <f t="shared" si="43"/>
        <v>5</v>
      </c>
      <c r="AE489" s="12">
        <f t="shared" si="44"/>
        <v>1</v>
      </c>
      <c r="AF489" s="16">
        <f t="shared" si="45"/>
        <v>9.6</v>
      </c>
      <c r="AG489" s="16">
        <f t="shared" si="46"/>
        <v>37.1</v>
      </c>
      <c r="AH489" s="16" t="str">
        <f t="shared" si="47"/>
        <v/>
      </c>
    </row>
    <row r="490" spans="1:34" x14ac:dyDescent="0.35">
      <c r="A490" s="2" t="s">
        <v>1137</v>
      </c>
      <c r="B490" s="2" t="s">
        <v>29</v>
      </c>
      <c r="C490" s="2" t="s">
        <v>30</v>
      </c>
      <c r="D490" s="2" t="s">
        <v>583</v>
      </c>
      <c r="E490" s="2" t="s">
        <v>165</v>
      </c>
      <c r="F490" s="2" t="s">
        <v>645</v>
      </c>
      <c r="G490" s="2" t="s">
        <v>34</v>
      </c>
      <c r="H490" s="2" t="s">
        <v>144</v>
      </c>
      <c r="I490" s="2" t="s">
        <v>652</v>
      </c>
      <c r="J490" s="2" t="s">
        <v>37</v>
      </c>
      <c r="K490" s="2" t="s">
        <v>38</v>
      </c>
      <c r="L490" s="2" t="s">
        <v>38</v>
      </c>
      <c r="M490" s="2" t="s">
        <v>39</v>
      </c>
      <c r="N490" s="2" t="s">
        <v>38</v>
      </c>
      <c r="O490" s="2" t="s">
        <v>38</v>
      </c>
      <c r="P490" s="2" t="s">
        <v>1138</v>
      </c>
      <c r="Q490" s="2" t="s">
        <v>38</v>
      </c>
      <c r="R490" s="2" t="s">
        <v>98</v>
      </c>
      <c r="S490" s="2" t="s">
        <v>146</v>
      </c>
      <c r="T490" s="2" t="s">
        <v>90</v>
      </c>
      <c r="U490" s="2" t="s">
        <v>707</v>
      </c>
      <c r="V490" s="2" t="s">
        <v>198</v>
      </c>
      <c r="W490" s="2" t="s">
        <v>38</v>
      </c>
      <c r="X490" s="3">
        <v>41031</v>
      </c>
      <c r="Y490" s="2" t="s">
        <v>1139</v>
      </c>
      <c r="Z490" s="34"/>
      <c r="AA490" s="2" t="s">
        <v>672</v>
      </c>
      <c r="AB490" s="2" t="s">
        <v>1131</v>
      </c>
      <c r="AC490" s="12">
        <f t="shared" si="42"/>
        <v>2012</v>
      </c>
      <c r="AD490" s="12">
        <f t="shared" si="43"/>
        <v>5</v>
      </c>
      <c r="AE490" s="12">
        <f t="shared" si="44"/>
        <v>2</v>
      </c>
      <c r="AF490" s="16">
        <f t="shared" si="45"/>
        <v>9.1</v>
      </c>
      <c r="AG490" s="16">
        <f t="shared" si="46"/>
        <v>37.5</v>
      </c>
      <c r="AH490" s="16" t="str">
        <f t="shared" si="47"/>
        <v/>
      </c>
    </row>
    <row r="491" spans="1:34" x14ac:dyDescent="0.35">
      <c r="A491" s="2" t="s">
        <v>1143</v>
      </c>
      <c r="B491" s="2" t="s">
        <v>29</v>
      </c>
      <c r="C491" s="2" t="s">
        <v>30</v>
      </c>
      <c r="D491" s="2" t="s">
        <v>583</v>
      </c>
      <c r="E491" s="2" t="s">
        <v>104</v>
      </c>
      <c r="F491" s="2" t="s">
        <v>1144</v>
      </c>
      <c r="G491" s="2" t="s">
        <v>34</v>
      </c>
      <c r="H491" s="2" t="s">
        <v>475</v>
      </c>
      <c r="I491" s="2" t="s">
        <v>791</v>
      </c>
      <c r="J491" s="2" t="s">
        <v>37</v>
      </c>
      <c r="K491" s="2" t="s">
        <v>38</v>
      </c>
      <c r="L491" s="2" t="s">
        <v>38</v>
      </c>
      <c r="M491" s="2" t="s">
        <v>39</v>
      </c>
      <c r="N491" s="2" t="s">
        <v>38</v>
      </c>
      <c r="O491" s="2" t="s">
        <v>38</v>
      </c>
      <c r="P491" s="2" t="s">
        <v>939</v>
      </c>
      <c r="Q491" s="2" t="s">
        <v>38</v>
      </c>
      <c r="R491" s="2" t="s">
        <v>98</v>
      </c>
      <c r="S491" s="2" t="s">
        <v>552</v>
      </c>
      <c r="T491" s="2" t="s">
        <v>90</v>
      </c>
      <c r="U491" s="2" t="s">
        <v>775</v>
      </c>
      <c r="V491" s="2" t="s">
        <v>392</v>
      </c>
      <c r="W491" s="2" t="s">
        <v>38</v>
      </c>
      <c r="X491" s="3">
        <v>41032</v>
      </c>
      <c r="Y491" s="2" t="s">
        <v>1145</v>
      </c>
      <c r="Z491" s="4"/>
      <c r="AA491" s="2" t="s">
        <v>672</v>
      </c>
      <c r="AB491" s="2" t="s">
        <v>1131</v>
      </c>
      <c r="AC491" s="12">
        <f t="shared" si="42"/>
        <v>2012</v>
      </c>
      <c r="AD491" s="12">
        <f t="shared" si="43"/>
        <v>5</v>
      </c>
      <c r="AE491" s="12">
        <f t="shared" si="44"/>
        <v>3</v>
      </c>
      <c r="AF491" s="16">
        <f t="shared" si="45"/>
        <v>13.4</v>
      </c>
      <c r="AG491" s="16">
        <f t="shared" si="46"/>
        <v>38.200000000000003</v>
      </c>
      <c r="AH491" s="16" t="str">
        <f t="shared" si="47"/>
        <v/>
      </c>
    </row>
    <row r="492" spans="1:34" x14ac:dyDescent="0.35">
      <c r="A492" s="2" t="s">
        <v>1148</v>
      </c>
      <c r="B492" s="2" t="s">
        <v>29</v>
      </c>
      <c r="C492" s="2" t="s">
        <v>30</v>
      </c>
      <c r="D492" s="2" t="s">
        <v>114</v>
      </c>
      <c r="E492" s="2" t="s">
        <v>51</v>
      </c>
      <c r="F492" s="2" t="s">
        <v>1149</v>
      </c>
      <c r="G492" s="2" t="s">
        <v>34</v>
      </c>
      <c r="H492" s="2" t="s">
        <v>173</v>
      </c>
      <c r="I492" s="2" t="s">
        <v>608</v>
      </c>
      <c r="J492" s="2" t="s">
        <v>37</v>
      </c>
      <c r="K492" s="2" t="s">
        <v>38</v>
      </c>
      <c r="L492" s="2" t="s">
        <v>38</v>
      </c>
      <c r="M492" s="2" t="s">
        <v>39</v>
      </c>
      <c r="N492" s="2" t="s">
        <v>38</v>
      </c>
      <c r="O492" s="2" t="s">
        <v>38</v>
      </c>
      <c r="P492" s="2" t="s">
        <v>1150</v>
      </c>
      <c r="Q492" s="2" t="s">
        <v>38</v>
      </c>
      <c r="R492" s="2" t="s">
        <v>98</v>
      </c>
      <c r="S492" s="2" t="s">
        <v>563</v>
      </c>
      <c r="T492" s="2" t="s">
        <v>90</v>
      </c>
      <c r="U492" s="2" t="s">
        <v>585</v>
      </c>
      <c r="V492" s="2" t="s">
        <v>979</v>
      </c>
      <c r="W492" s="2" t="s">
        <v>38</v>
      </c>
      <c r="X492" s="3">
        <v>41033</v>
      </c>
      <c r="Y492" s="2" t="s">
        <v>1151</v>
      </c>
      <c r="Z492" s="4"/>
      <c r="AA492" s="2" t="s">
        <v>672</v>
      </c>
      <c r="AB492" s="2" t="s">
        <v>1131</v>
      </c>
      <c r="AC492" s="12">
        <f t="shared" si="42"/>
        <v>2012</v>
      </c>
      <c r="AD492" s="12">
        <f t="shared" si="43"/>
        <v>5</v>
      </c>
      <c r="AE492" s="12">
        <f t="shared" si="44"/>
        <v>4</v>
      </c>
      <c r="AF492" s="16">
        <f t="shared" si="45"/>
        <v>16.5</v>
      </c>
      <c r="AG492" s="16">
        <f t="shared" si="46"/>
        <v>36.4</v>
      </c>
      <c r="AH492" s="16" t="str">
        <f t="shared" si="47"/>
        <v/>
      </c>
    </row>
    <row r="493" spans="1:34" x14ac:dyDescent="0.35">
      <c r="A493" s="2" t="s">
        <v>1153</v>
      </c>
      <c r="B493" s="2" t="s">
        <v>29</v>
      </c>
      <c r="C493" s="2" t="s">
        <v>30</v>
      </c>
      <c r="D493" s="2" t="s">
        <v>128</v>
      </c>
      <c r="E493" s="2" t="s">
        <v>66</v>
      </c>
      <c r="F493" s="2" t="s">
        <v>1154</v>
      </c>
      <c r="G493" s="2" t="s">
        <v>34</v>
      </c>
      <c r="H493" s="2" t="s">
        <v>209</v>
      </c>
      <c r="I493" s="2" t="s">
        <v>583</v>
      </c>
      <c r="J493" s="2" t="s">
        <v>37</v>
      </c>
      <c r="K493" s="2" t="s">
        <v>38</v>
      </c>
      <c r="L493" s="2" t="s">
        <v>38</v>
      </c>
      <c r="M493" s="2" t="s">
        <v>39</v>
      </c>
      <c r="N493" s="2" t="s">
        <v>38</v>
      </c>
      <c r="O493" s="2" t="s">
        <v>38</v>
      </c>
      <c r="P493" s="2" t="s">
        <v>1155</v>
      </c>
      <c r="Q493" s="2" t="s">
        <v>38</v>
      </c>
      <c r="R493" s="2" t="s">
        <v>41</v>
      </c>
      <c r="S493" s="2" t="s">
        <v>1129</v>
      </c>
      <c r="T493" s="2" t="s">
        <v>936</v>
      </c>
      <c r="U493" s="2" t="s">
        <v>660</v>
      </c>
      <c r="V493" s="2" t="s">
        <v>140</v>
      </c>
      <c r="W493" s="2" t="s">
        <v>38</v>
      </c>
      <c r="X493" s="3">
        <v>41034</v>
      </c>
      <c r="Y493" s="2" t="s">
        <v>1156</v>
      </c>
      <c r="Z493" s="34"/>
      <c r="AA493" s="2" t="s">
        <v>672</v>
      </c>
      <c r="AB493" s="2" t="s">
        <v>1131</v>
      </c>
      <c r="AC493" s="12">
        <f t="shared" si="42"/>
        <v>2012</v>
      </c>
      <c r="AD493" s="12">
        <f t="shared" si="43"/>
        <v>5</v>
      </c>
      <c r="AE493" s="12">
        <f t="shared" si="44"/>
        <v>5</v>
      </c>
      <c r="AF493" s="16">
        <f t="shared" si="45"/>
        <v>14.7</v>
      </c>
      <c r="AG493" s="16">
        <f t="shared" si="46"/>
        <v>35.299999999999997</v>
      </c>
      <c r="AH493" s="16" t="str">
        <f t="shared" si="47"/>
        <v/>
      </c>
    </row>
    <row r="494" spans="1:34" x14ac:dyDescent="0.35">
      <c r="A494" s="2" t="s">
        <v>1159</v>
      </c>
      <c r="B494" s="2" t="s">
        <v>29</v>
      </c>
      <c r="C494" s="2" t="s">
        <v>30</v>
      </c>
      <c r="D494" s="2" t="s">
        <v>114</v>
      </c>
      <c r="E494" s="2" t="s">
        <v>32</v>
      </c>
      <c r="F494" s="2" t="s">
        <v>826</v>
      </c>
      <c r="G494" s="2" t="s">
        <v>34</v>
      </c>
      <c r="H494" s="2" t="s">
        <v>144</v>
      </c>
      <c r="I494" s="2" t="s">
        <v>583</v>
      </c>
      <c r="J494" s="2" t="s">
        <v>37</v>
      </c>
      <c r="K494" s="2" t="s">
        <v>38</v>
      </c>
      <c r="L494" s="2" t="s">
        <v>38</v>
      </c>
      <c r="M494" s="2" t="s">
        <v>39</v>
      </c>
      <c r="N494" s="2" t="s">
        <v>38</v>
      </c>
      <c r="O494" s="2" t="s">
        <v>38</v>
      </c>
      <c r="P494" s="2" t="s">
        <v>710</v>
      </c>
      <c r="Q494" s="2" t="s">
        <v>38</v>
      </c>
      <c r="R494" s="2" t="s">
        <v>41</v>
      </c>
      <c r="S494" s="2" t="s">
        <v>1160</v>
      </c>
      <c r="T494" s="2" t="s">
        <v>362</v>
      </c>
      <c r="U494" s="2" t="s">
        <v>593</v>
      </c>
      <c r="V494" s="2" t="s">
        <v>1161</v>
      </c>
      <c r="W494" s="2" t="s">
        <v>38</v>
      </c>
      <c r="X494" s="3">
        <v>41035</v>
      </c>
      <c r="Y494" s="2" t="s">
        <v>1162</v>
      </c>
      <c r="Z494" s="4"/>
      <c r="AA494" s="2" t="s">
        <v>672</v>
      </c>
      <c r="AB494" s="2" t="s">
        <v>1131</v>
      </c>
      <c r="AC494" s="12">
        <f t="shared" si="42"/>
        <v>2012</v>
      </c>
      <c r="AD494" s="12">
        <f t="shared" si="43"/>
        <v>5</v>
      </c>
      <c r="AE494" s="12">
        <f t="shared" si="44"/>
        <v>6</v>
      </c>
      <c r="AF494" s="16">
        <f t="shared" si="45"/>
        <v>15.9</v>
      </c>
      <c r="AG494" s="16">
        <f t="shared" si="46"/>
        <v>34.9</v>
      </c>
      <c r="AH494" s="16" t="str">
        <f t="shared" si="47"/>
        <v/>
      </c>
    </row>
    <row r="495" spans="1:34" x14ac:dyDescent="0.35">
      <c r="A495" s="2" t="s">
        <v>1167</v>
      </c>
      <c r="B495" s="2" t="s">
        <v>29</v>
      </c>
      <c r="C495" s="2" t="s">
        <v>30</v>
      </c>
      <c r="D495" s="2" t="s">
        <v>583</v>
      </c>
      <c r="E495" s="2" t="s">
        <v>66</v>
      </c>
      <c r="F495" s="2" t="s">
        <v>1172</v>
      </c>
      <c r="G495" s="2" t="s">
        <v>34</v>
      </c>
      <c r="H495" s="2" t="s">
        <v>1173</v>
      </c>
      <c r="I495" s="2" t="s">
        <v>652</v>
      </c>
      <c r="J495" s="2" t="s">
        <v>37</v>
      </c>
      <c r="K495" s="2" t="s">
        <v>38</v>
      </c>
      <c r="L495" s="2" t="s">
        <v>38</v>
      </c>
      <c r="M495" s="2" t="s">
        <v>39</v>
      </c>
      <c r="N495" s="2" t="s">
        <v>38</v>
      </c>
      <c r="O495" s="2" t="s">
        <v>38</v>
      </c>
      <c r="P495" s="2" t="s">
        <v>786</v>
      </c>
      <c r="Q495" s="2" t="s">
        <v>38</v>
      </c>
      <c r="R495" s="2" t="s">
        <v>41</v>
      </c>
      <c r="S495" s="2" t="s">
        <v>1174</v>
      </c>
      <c r="T495" s="2" t="s">
        <v>1175</v>
      </c>
      <c r="U495" s="2" t="s">
        <v>775</v>
      </c>
      <c r="V495" s="2" t="s">
        <v>140</v>
      </c>
      <c r="W495" s="2" t="s">
        <v>38</v>
      </c>
      <c r="X495" s="3">
        <v>41036</v>
      </c>
      <c r="Y495" s="2" t="s">
        <v>1176</v>
      </c>
      <c r="Z495" s="34"/>
      <c r="AA495" s="2" t="s">
        <v>672</v>
      </c>
      <c r="AB495" s="2" t="s">
        <v>1131</v>
      </c>
      <c r="AC495" s="12">
        <f t="shared" si="42"/>
        <v>2012</v>
      </c>
      <c r="AD495" s="12">
        <f t="shared" si="43"/>
        <v>5</v>
      </c>
      <c r="AE495" s="12">
        <f t="shared" si="44"/>
        <v>7</v>
      </c>
      <c r="AF495" s="16">
        <f t="shared" si="45"/>
        <v>14.7</v>
      </c>
      <c r="AG495" s="16">
        <f t="shared" si="46"/>
        <v>37.200000000000003</v>
      </c>
      <c r="AH495" s="16" t="str">
        <f t="shared" si="47"/>
        <v/>
      </c>
    </row>
    <row r="496" spans="1:34" x14ac:dyDescent="0.35">
      <c r="A496" s="2" t="s">
        <v>1177</v>
      </c>
      <c r="B496" s="2" t="s">
        <v>29</v>
      </c>
      <c r="C496" s="2" t="s">
        <v>30</v>
      </c>
      <c r="D496" s="2" t="s">
        <v>652</v>
      </c>
      <c r="E496" s="2" t="s">
        <v>142</v>
      </c>
      <c r="F496" s="2" t="s">
        <v>1043</v>
      </c>
      <c r="G496" s="2" t="s">
        <v>34</v>
      </c>
      <c r="H496" s="2" t="s">
        <v>233</v>
      </c>
      <c r="I496" s="2" t="s">
        <v>791</v>
      </c>
      <c r="J496" s="2" t="s">
        <v>37</v>
      </c>
      <c r="K496" s="2" t="s">
        <v>38</v>
      </c>
      <c r="L496" s="2" t="s">
        <v>38</v>
      </c>
      <c r="M496" s="2" t="s">
        <v>39</v>
      </c>
      <c r="N496" s="2" t="s">
        <v>38</v>
      </c>
      <c r="O496" s="2" t="s">
        <v>38</v>
      </c>
      <c r="P496" s="2" t="s">
        <v>939</v>
      </c>
      <c r="Q496" s="2" t="s">
        <v>38</v>
      </c>
      <c r="R496" s="2" t="s">
        <v>41</v>
      </c>
      <c r="S496" s="2" t="s">
        <v>488</v>
      </c>
      <c r="T496" s="2" t="s">
        <v>1181</v>
      </c>
      <c r="U496" s="2" t="s">
        <v>1182</v>
      </c>
      <c r="V496" s="2" t="s">
        <v>328</v>
      </c>
      <c r="W496" s="2" t="s">
        <v>38</v>
      </c>
      <c r="X496" s="3">
        <v>41037</v>
      </c>
      <c r="Y496" s="2" t="s">
        <v>1183</v>
      </c>
      <c r="Z496" s="4"/>
      <c r="AA496" s="2" t="s">
        <v>672</v>
      </c>
      <c r="AB496" s="2" t="s">
        <v>1131</v>
      </c>
      <c r="AC496" s="12">
        <f t="shared" si="42"/>
        <v>2012</v>
      </c>
      <c r="AD496" s="12">
        <f t="shared" si="43"/>
        <v>5</v>
      </c>
      <c r="AE496" s="12">
        <f t="shared" si="44"/>
        <v>8</v>
      </c>
      <c r="AF496" s="16">
        <f t="shared" si="45"/>
        <v>11.1</v>
      </c>
      <c r="AG496" s="16">
        <f t="shared" si="46"/>
        <v>38.200000000000003</v>
      </c>
      <c r="AH496" s="16" t="str">
        <f t="shared" si="47"/>
        <v/>
      </c>
    </row>
    <row r="497" spans="1:34" x14ac:dyDescent="0.35">
      <c r="A497" s="2" t="s">
        <v>1184</v>
      </c>
      <c r="B497" s="2" t="s">
        <v>29</v>
      </c>
      <c r="C497" s="2" t="s">
        <v>30</v>
      </c>
      <c r="D497" s="2" t="s">
        <v>583</v>
      </c>
      <c r="E497" s="2" t="s">
        <v>55</v>
      </c>
      <c r="F497" s="2" t="s">
        <v>1010</v>
      </c>
      <c r="G497" s="2" t="s">
        <v>1185</v>
      </c>
      <c r="H497" s="2" t="s">
        <v>877</v>
      </c>
      <c r="I497" s="2" t="s">
        <v>813</v>
      </c>
      <c r="J497" s="2" t="s">
        <v>37</v>
      </c>
      <c r="K497" s="2" t="s">
        <v>38</v>
      </c>
      <c r="L497" s="2" t="s">
        <v>38</v>
      </c>
      <c r="M497" s="2" t="s">
        <v>39</v>
      </c>
      <c r="N497" s="2" t="s">
        <v>38</v>
      </c>
      <c r="O497" s="2" t="s">
        <v>38</v>
      </c>
      <c r="P497" s="2" t="s">
        <v>909</v>
      </c>
      <c r="Q497" s="2" t="s">
        <v>38</v>
      </c>
      <c r="R497" s="2" t="s">
        <v>1076</v>
      </c>
      <c r="S497" s="2" t="s">
        <v>972</v>
      </c>
      <c r="T497" s="2" t="s">
        <v>1186</v>
      </c>
      <c r="U497" s="2" t="s">
        <v>804</v>
      </c>
      <c r="V497" s="2" t="s">
        <v>74</v>
      </c>
      <c r="W497" s="2" t="s">
        <v>38</v>
      </c>
      <c r="X497" s="3">
        <v>41038</v>
      </c>
      <c r="Y497" s="2" t="s">
        <v>1187</v>
      </c>
      <c r="Z497" s="34"/>
      <c r="AA497" s="2" t="s">
        <v>672</v>
      </c>
      <c r="AB497" s="2" t="s">
        <v>1131</v>
      </c>
      <c r="AC497" s="12">
        <f t="shared" si="42"/>
        <v>2012</v>
      </c>
      <c r="AD497" s="12">
        <f t="shared" si="43"/>
        <v>5</v>
      </c>
      <c r="AE497" s="12">
        <f t="shared" si="44"/>
        <v>9</v>
      </c>
      <c r="AF497" s="16">
        <f t="shared" si="45"/>
        <v>17.600000000000001</v>
      </c>
      <c r="AG497" s="16">
        <f t="shared" si="46"/>
        <v>38.5</v>
      </c>
      <c r="AH497" s="16" t="str">
        <f t="shared" si="47"/>
        <v/>
      </c>
    </row>
    <row r="498" spans="1:34" x14ac:dyDescent="0.35">
      <c r="A498" s="2" t="s">
        <v>1192</v>
      </c>
      <c r="B498" s="2" t="s">
        <v>29</v>
      </c>
      <c r="C498" s="2" t="s">
        <v>30</v>
      </c>
      <c r="D498" s="2" t="s">
        <v>583</v>
      </c>
      <c r="E498" s="2" t="s">
        <v>596</v>
      </c>
      <c r="F498" s="2" t="s">
        <v>951</v>
      </c>
      <c r="G498" s="2" t="s">
        <v>34</v>
      </c>
      <c r="H498" s="2" t="s">
        <v>96</v>
      </c>
      <c r="I498" s="2" t="s">
        <v>791</v>
      </c>
      <c r="J498" s="2" t="s">
        <v>37</v>
      </c>
      <c r="K498" s="2" t="s">
        <v>38</v>
      </c>
      <c r="L498" s="2" t="s">
        <v>38</v>
      </c>
      <c r="M498" s="2" t="s">
        <v>39</v>
      </c>
      <c r="N498" s="2" t="s">
        <v>38</v>
      </c>
      <c r="O498" s="2" t="s">
        <v>38</v>
      </c>
      <c r="P498" s="2" t="s">
        <v>801</v>
      </c>
      <c r="Q498" s="2" t="s">
        <v>38</v>
      </c>
      <c r="R498" s="2" t="s">
        <v>41</v>
      </c>
      <c r="S498" s="2" t="s">
        <v>1015</v>
      </c>
      <c r="T498" s="2" t="s">
        <v>1175</v>
      </c>
      <c r="U498" s="2" t="s">
        <v>923</v>
      </c>
      <c r="V498" s="2" t="s">
        <v>627</v>
      </c>
      <c r="W498" s="2" t="s">
        <v>38</v>
      </c>
      <c r="X498" s="3">
        <v>41039</v>
      </c>
      <c r="Y498" s="2" t="s">
        <v>1196</v>
      </c>
      <c r="Z498" s="34"/>
      <c r="AA498" s="2" t="s">
        <v>672</v>
      </c>
      <c r="AB498" s="2" t="s">
        <v>1131</v>
      </c>
      <c r="AC498" s="12">
        <f t="shared" si="42"/>
        <v>2012</v>
      </c>
      <c r="AD498" s="12">
        <f t="shared" si="43"/>
        <v>5</v>
      </c>
      <c r="AE498" s="12">
        <f t="shared" si="44"/>
        <v>10</v>
      </c>
      <c r="AF498" s="16">
        <f t="shared" si="45"/>
        <v>19</v>
      </c>
      <c r="AG498" s="16">
        <f t="shared" si="46"/>
        <v>37.799999999999997</v>
      </c>
      <c r="AH498" s="16" t="str">
        <f t="shared" si="47"/>
        <v/>
      </c>
    </row>
    <row r="499" spans="1:34" x14ac:dyDescent="0.35">
      <c r="A499" s="2" t="s">
        <v>1197</v>
      </c>
      <c r="B499" s="2" t="s">
        <v>29</v>
      </c>
      <c r="C499" s="2" t="s">
        <v>30</v>
      </c>
      <c r="D499" s="2" t="s">
        <v>608</v>
      </c>
      <c r="E499" s="2" t="s">
        <v>32</v>
      </c>
      <c r="F499" s="2" t="s">
        <v>1198</v>
      </c>
      <c r="G499" s="2" t="s">
        <v>1199</v>
      </c>
      <c r="H499" s="2" t="s">
        <v>263</v>
      </c>
      <c r="I499" s="2" t="s">
        <v>652</v>
      </c>
      <c r="J499" s="2" t="s">
        <v>37</v>
      </c>
      <c r="K499" s="2" t="s">
        <v>38</v>
      </c>
      <c r="L499" s="2" t="s">
        <v>38</v>
      </c>
      <c r="M499" s="2" t="s">
        <v>39</v>
      </c>
      <c r="N499" s="2" t="s">
        <v>38</v>
      </c>
      <c r="O499" s="2" t="s">
        <v>38</v>
      </c>
      <c r="P499" s="2" t="s">
        <v>1138</v>
      </c>
      <c r="Q499" s="2" t="s">
        <v>38</v>
      </c>
      <c r="R499" s="2" t="s">
        <v>1076</v>
      </c>
      <c r="S499" s="2" t="s">
        <v>1200</v>
      </c>
      <c r="T499" s="2" t="s">
        <v>1186</v>
      </c>
      <c r="U499" s="2" t="s">
        <v>1082</v>
      </c>
      <c r="V499" s="2" t="s">
        <v>359</v>
      </c>
      <c r="W499" s="2" t="s">
        <v>38</v>
      </c>
      <c r="X499" s="3">
        <v>41040</v>
      </c>
      <c r="Y499" s="2" t="s">
        <v>1201</v>
      </c>
      <c r="Z499" s="4"/>
      <c r="AA499" s="2" t="s">
        <v>672</v>
      </c>
      <c r="AB499" s="2" t="s">
        <v>1131</v>
      </c>
      <c r="AC499" s="12">
        <f t="shared" si="42"/>
        <v>2012</v>
      </c>
      <c r="AD499" s="12">
        <f t="shared" si="43"/>
        <v>5</v>
      </c>
      <c r="AE499" s="12">
        <f t="shared" si="44"/>
        <v>11</v>
      </c>
      <c r="AF499" s="16">
        <f t="shared" si="45"/>
        <v>15.6</v>
      </c>
      <c r="AG499" s="16">
        <f t="shared" si="46"/>
        <v>37.5</v>
      </c>
      <c r="AH499" s="16" t="str">
        <f t="shared" si="47"/>
        <v/>
      </c>
    </row>
    <row r="500" spans="1:34" x14ac:dyDescent="0.35">
      <c r="A500" s="2" t="s">
        <v>1205</v>
      </c>
      <c r="B500" s="2" t="s">
        <v>29</v>
      </c>
      <c r="C500" s="2" t="s">
        <v>30</v>
      </c>
      <c r="D500" s="2" t="s">
        <v>531</v>
      </c>
      <c r="E500" s="2" t="s">
        <v>55</v>
      </c>
      <c r="F500" s="2" t="s">
        <v>1149</v>
      </c>
      <c r="G500" s="2" t="s">
        <v>1208</v>
      </c>
      <c r="H500" s="2" t="s">
        <v>137</v>
      </c>
      <c r="I500" s="2" t="s">
        <v>652</v>
      </c>
      <c r="J500" s="2" t="s">
        <v>37</v>
      </c>
      <c r="K500" s="2" t="s">
        <v>38</v>
      </c>
      <c r="L500" s="2" t="s">
        <v>38</v>
      </c>
      <c r="M500" s="2" t="s">
        <v>39</v>
      </c>
      <c r="N500" s="2" t="s">
        <v>38</v>
      </c>
      <c r="O500" s="2" t="s">
        <v>38</v>
      </c>
      <c r="P500" s="2" t="s">
        <v>1209</v>
      </c>
      <c r="Q500" s="2" t="s">
        <v>38</v>
      </c>
      <c r="R500" s="2" t="s">
        <v>1076</v>
      </c>
      <c r="S500" s="2" t="s">
        <v>1210</v>
      </c>
      <c r="T500" s="2" t="s">
        <v>1211</v>
      </c>
      <c r="U500" s="2" t="s">
        <v>1212</v>
      </c>
      <c r="V500" s="2" t="s">
        <v>1213</v>
      </c>
      <c r="W500" s="2" t="s">
        <v>38</v>
      </c>
      <c r="X500" s="3">
        <v>41041</v>
      </c>
      <c r="Y500" s="2" t="s">
        <v>1214</v>
      </c>
      <c r="Z500" s="34"/>
      <c r="AA500" s="2" t="s">
        <v>672</v>
      </c>
      <c r="AB500" s="2" t="s">
        <v>1131</v>
      </c>
      <c r="AC500" s="12">
        <f t="shared" si="42"/>
        <v>2012</v>
      </c>
      <c r="AD500" s="12">
        <f t="shared" si="43"/>
        <v>5</v>
      </c>
      <c r="AE500" s="12">
        <f t="shared" si="44"/>
        <v>12</v>
      </c>
      <c r="AF500" s="16">
        <f t="shared" si="45"/>
        <v>18.100000000000001</v>
      </c>
      <c r="AG500" s="16">
        <f t="shared" si="46"/>
        <v>37</v>
      </c>
      <c r="AH500" s="16" t="str">
        <f t="shared" si="47"/>
        <v/>
      </c>
    </row>
    <row r="501" spans="1:34" x14ac:dyDescent="0.35">
      <c r="A501" s="2" t="s">
        <v>1215</v>
      </c>
      <c r="B501" s="2" t="s">
        <v>29</v>
      </c>
      <c r="C501" s="2" t="s">
        <v>30</v>
      </c>
      <c r="D501" s="2" t="s">
        <v>583</v>
      </c>
      <c r="E501" s="2" t="s">
        <v>94</v>
      </c>
      <c r="F501" s="2" t="s">
        <v>1144</v>
      </c>
      <c r="G501" s="2" t="s">
        <v>34</v>
      </c>
      <c r="H501" s="2" t="s">
        <v>233</v>
      </c>
      <c r="I501" s="2" t="s">
        <v>652</v>
      </c>
      <c r="J501" s="2" t="s">
        <v>37</v>
      </c>
      <c r="K501" s="2" t="s">
        <v>38</v>
      </c>
      <c r="L501" s="2" t="s">
        <v>38</v>
      </c>
      <c r="M501" s="2" t="s">
        <v>39</v>
      </c>
      <c r="N501" s="2" t="s">
        <v>38</v>
      </c>
      <c r="O501" s="2" t="s">
        <v>38</v>
      </c>
      <c r="P501" s="2" t="s">
        <v>1057</v>
      </c>
      <c r="Q501" s="2" t="s">
        <v>38</v>
      </c>
      <c r="R501" s="2" t="s">
        <v>41</v>
      </c>
      <c r="S501" s="2" t="s">
        <v>981</v>
      </c>
      <c r="T501" s="2" t="s">
        <v>1175</v>
      </c>
      <c r="U501" s="2" t="s">
        <v>1216</v>
      </c>
      <c r="V501" s="2" t="s">
        <v>368</v>
      </c>
      <c r="W501" s="2" t="s">
        <v>38</v>
      </c>
      <c r="X501" s="3">
        <v>41042</v>
      </c>
      <c r="Y501" s="2" t="s">
        <v>1217</v>
      </c>
      <c r="Z501" s="4"/>
      <c r="AA501" s="2" t="s">
        <v>672</v>
      </c>
      <c r="AB501" s="2" t="s">
        <v>1131</v>
      </c>
      <c r="AC501" s="12">
        <f t="shared" si="42"/>
        <v>2012</v>
      </c>
      <c r="AD501" s="12">
        <f t="shared" si="43"/>
        <v>5</v>
      </c>
      <c r="AE501" s="12">
        <f t="shared" si="44"/>
        <v>13</v>
      </c>
      <c r="AF501" s="16">
        <f t="shared" si="45"/>
        <v>14.3</v>
      </c>
      <c r="AG501" s="16">
        <f t="shared" si="46"/>
        <v>36.799999999999997</v>
      </c>
      <c r="AH501" s="16" t="str">
        <f t="shared" si="47"/>
        <v/>
      </c>
    </row>
    <row r="502" spans="1:34" x14ac:dyDescent="0.35">
      <c r="A502" s="2" t="s">
        <v>1219</v>
      </c>
      <c r="B502" s="2" t="s">
        <v>29</v>
      </c>
      <c r="C502" s="2" t="s">
        <v>30</v>
      </c>
      <c r="D502" s="2" t="s">
        <v>608</v>
      </c>
      <c r="E502" s="2" t="s">
        <v>142</v>
      </c>
      <c r="F502" s="2" t="s">
        <v>959</v>
      </c>
      <c r="G502" s="2" t="s">
        <v>34</v>
      </c>
      <c r="H502" s="2" t="s">
        <v>379</v>
      </c>
      <c r="I502" s="2" t="s">
        <v>791</v>
      </c>
      <c r="J502" s="2" t="s">
        <v>37</v>
      </c>
      <c r="K502" s="2" t="s">
        <v>38</v>
      </c>
      <c r="L502" s="2" t="s">
        <v>38</v>
      </c>
      <c r="M502" s="2" t="s">
        <v>39</v>
      </c>
      <c r="N502" s="2" t="s">
        <v>38</v>
      </c>
      <c r="O502" s="2" t="s">
        <v>38</v>
      </c>
      <c r="P502" s="2" t="s">
        <v>1102</v>
      </c>
      <c r="Q502" s="2" t="s">
        <v>38</v>
      </c>
      <c r="R502" s="2" t="s">
        <v>41</v>
      </c>
      <c r="S502" s="2" t="s">
        <v>1222</v>
      </c>
      <c r="T502" s="2" t="s">
        <v>345</v>
      </c>
      <c r="U502" s="2" t="s">
        <v>787</v>
      </c>
      <c r="V502" s="2" t="s">
        <v>328</v>
      </c>
      <c r="W502" s="2" t="s">
        <v>38</v>
      </c>
      <c r="X502" s="3">
        <v>41043</v>
      </c>
      <c r="Y502" s="2" t="s">
        <v>1223</v>
      </c>
      <c r="Z502" s="34"/>
      <c r="AA502" s="2" t="s">
        <v>672</v>
      </c>
      <c r="AB502" s="2" t="s">
        <v>1131</v>
      </c>
      <c r="AC502" s="12">
        <f t="shared" si="42"/>
        <v>2012</v>
      </c>
      <c r="AD502" s="12">
        <f t="shared" si="43"/>
        <v>5</v>
      </c>
      <c r="AE502" s="12">
        <f t="shared" si="44"/>
        <v>14</v>
      </c>
      <c r="AF502" s="16">
        <f t="shared" si="45"/>
        <v>11.1</v>
      </c>
      <c r="AG502" s="16">
        <f t="shared" si="46"/>
        <v>37.6</v>
      </c>
      <c r="AH502" s="16" t="str">
        <f t="shared" si="47"/>
        <v/>
      </c>
    </row>
    <row r="503" spans="1:34" x14ac:dyDescent="0.35">
      <c r="A503" s="2" t="s">
        <v>1224</v>
      </c>
      <c r="B503" s="2" t="s">
        <v>29</v>
      </c>
      <c r="C503" s="2" t="s">
        <v>30</v>
      </c>
      <c r="D503" s="2" t="s">
        <v>652</v>
      </c>
      <c r="E503" s="2" t="s">
        <v>142</v>
      </c>
      <c r="F503" s="2" t="s">
        <v>1228</v>
      </c>
      <c r="G503" s="2" t="s">
        <v>34</v>
      </c>
      <c r="H503" s="2" t="s">
        <v>113</v>
      </c>
      <c r="I503" s="2" t="s">
        <v>813</v>
      </c>
      <c r="J503" s="2" t="s">
        <v>37</v>
      </c>
      <c r="K503" s="2" t="s">
        <v>38</v>
      </c>
      <c r="L503" s="2" t="s">
        <v>38</v>
      </c>
      <c r="M503" s="2" t="s">
        <v>39</v>
      </c>
      <c r="N503" s="2" t="s">
        <v>38</v>
      </c>
      <c r="O503" s="2" t="s">
        <v>38</v>
      </c>
      <c r="P503" s="2" t="s">
        <v>1229</v>
      </c>
      <c r="Q503" s="2" t="s">
        <v>38</v>
      </c>
      <c r="R503" s="2" t="s">
        <v>41</v>
      </c>
      <c r="S503" s="2" t="s">
        <v>479</v>
      </c>
      <c r="T503" s="2" t="s">
        <v>1175</v>
      </c>
      <c r="U503" s="2" t="s">
        <v>829</v>
      </c>
      <c r="V503" s="2" t="s">
        <v>211</v>
      </c>
      <c r="W503" s="2" t="s">
        <v>38</v>
      </c>
      <c r="X503" s="3">
        <v>41044</v>
      </c>
      <c r="Y503" s="2" t="s">
        <v>1230</v>
      </c>
      <c r="Z503" s="4"/>
      <c r="AA503" s="2" t="s">
        <v>672</v>
      </c>
      <c r="AB503" s="2" t="s">
        <v>1131</v>
      </c>
      <c r="AC503" s="12">
        <f t="shared" si="42"/>
        <v>2012</v>
      </c>
      <c r="AD503" s="12">
        <f t="shared" si="43"/>
        <v>5</v>
      </c>
      <c r="AE503" s="12">
        <f t="shared" si="44"/>
        <v>15</v>
      </c>
      <c r="AF503" s="16">
        <f t="shared" si="45"/>
        <v>11</v>
      </c>
      <c r="AG503" s="16">
        <f t="shared" si="46"/>
        <v>39.4</v>
      </c>
      <c r="AH503" s="16" t="str">
        <f t="shared" si="47"/>
        <v/>
      </c>
    </row>
    <row r="504" spans="1:34" x14ac:dyDescent="0.35">
      <c r="A504" s="2" t="s">
        <v>1231</v>
      </c>
      <c r="B504" s="2" t="s">
        <v>29</v>
      </c>
      <c r="C504" s="2" t="s">
        <v>30</v>
      </c>
      <c r="D504" s="2" t="s">
        <v>608</v>
      </c>
      <c r="E504" s="2" t="s">
        <v>104</v>
      </c>
      <c r="F504" s="2" t="s">
        <v>1232</v>
      </c>
      <c r="G504" s="2" t="s">
        <v>34</v>
      </c>
      <c r="H504" s="2" t="s">
        <v>451</v>
      </c>
      <c r="I504" s="2" t="s">
        <v>791</v>
      </c>
      <c r="J504" s="2" t="s">
        <v>37</v>
      </c>
      <c r="K504" s="2" t="s">
        <v>38</v>
      </c>
      <c r="L504" s="2" t="s">
        <v>38</v>
      </c>
      <c r="M504" s="2" t="s">
        <v>39</v>
      </c>
      <c r="N504" s="2" t="s">
        <v>38</v>
      </c>
      <c r="O504" s="2" t="s">
        <v>38</v>
      </c>
      <c r="P504" s="2" t="s">
        <v>819</v>
      </c>
      <c r="Q504" s="2" t="s">
        <v>38</v>
      </c>
      <c r="R504" s="2" t="s">
        <v>41</v>
      </c>
      <c r="S504" s="2" t="s">
        <v>1233</v>
      </c>
      <c r="T504" s="2" t="s">
        <v>936</v>
      </c>
      <c r="U504" s="2" t="s">
        <v>820</v>
      </c>
      <c r="V504" s="2" t="s">
        <v>339</v>
      </c>
      <c r="W504" s="2" t="s">
        <v>38</v>
      </c>
      <c r="X504" s="3">
        <v>41045</v>
      </c>
      <c r="Y504" s="2" t="s">
        <v>1234</v>
      </c>
      <c r="Z504" s="34"/>
      <c r="AA504" s="2" t="s">
        <v>672</v>
      </c>
      <c r="AB504" s="2" t="s">
        <v>1131</v>
      </c>
      <c r="AC504" s="12">
        <f t="shared" si="42"/>
        <v>2012</v>
      </c>
      <c r="AD504" s="12">
        <f t="shared" si="43"/>
        <v>5</v>
      </c>
      <c r="AE504" s="12">
        <f t="shared" si="44"/>
        <v>16</v>
      </c>
      <c r="AF504" s="16">
        <f t="shared" si="45"/>
        <v>12.8</v>
      </c>
      <c r="AG504" s="16">
        <f t="shared" si="46"/>
        <v>38.4</v>
      </c>
      <c r="AH504" s="16" t="str">
        <f t="shared" si="47"/>
        <v/>
      </c>
    </row>
    <row r="505" spans="1:34" x14ac:dyDescent="0.35">
      <c r="A505" s="2" t="s">
        <v>1237</v>
      </c>
      <c r="B505" s="2" t="s">
        <v>29</v>
      </c>
      <c r="C505" s="2" t="s">
        <v>30</v>
      </c>
      <c r="D505" s="2" t="s">
        <v>608</v>
      </c>
      <c r="E505" s="2" t="s">
        <v>94</v>
      </c>
      <c r="F505" s="2" t="s">
        <v>966</v>
      </c>
      <c r="G505" s="2" t="s">
        <v>34</v>
      </c>
      <c r="H505" s="2" t="s">
        <v>276</v>
      </c>
      <c r="I505" s="2" t="s">
        <v>813</v>
      </c>
      <c r="J505" s="2" t="s">
        <v>37</v>
      </c>
      <c r="K505" s="2" t="s">
        <v>38</v>
      </c>
      <c r="L505" s="2" t="s">
        <v>38</v>
      </c>
      <c r="M505" s="2" t="s">
        <v>39</v>
      </c>
      <c r="N505" s="2" t="s">
        <v>38</v>
      </c>
      <c r="O505" s="2" t="s">
        <v>38</v>
      </c>
      <c r="P505" s="2" t="s">
        <v>960</v>
      </c>
      <c r="Q505" s="2" t="s">
        <v>38</v>
      </c>
      <c r="R505" s="2" t="s">
        <v>41</v>
      </c>
      <c r="S505" s="2" t="s">
        <v>1129</v>
      </c>
      <c r="T505" s="2" t="s">
        <v>936</v>
      </c>
      <c r="U505" s="2" t="s">
        <v>1239</v>
      </c>
      <c r="V505" s="2" t="s">
        <v>368</v>
      </c>
      <c r="W505" s="2" t="s">
        <v>38</v>
      </c>
      <c r="X505" s="3">
        <v>41046</v>
      </c>
      <c r="Y505" s="2" t="s">
        <v>1240</v>
      </c>
      <c r="Z505" s="4"/>
      <c r="AA505" s="2" t="s">
        <v>672</v>
      </c>
      <c r="AB505" s="2" t="s">
        <v>1131</v>
      </c>
      <c r="AC505" s="12">
        <f t="shared" si="42"/>
        <v>2012</v>
      </c>
      <c r="AD505" s="12">
        <f t="shared" si="43"/>
        <v>5</v>
      </c>
      <c r="AE505" s="12">
        <f t="shared" si="44"/>
        <v>17</v>
      </c>
      <c r="AF505" s="16">
        <f t="shared" si="45"/>
        <v>14.3</v>
      </c>
      <c r="AG505" s="16">
        <f t="shared" si="46"/>
        <v>39</v>
      </c>
      <c r="AH505" s="16" t="str">
        <f t="shared" si="47"/>
        <v/>
      </c>
    </row>
    <row r="506" spans="1:34" x14ac:dyDescent="0.35">
      <c r="A506" s="2" t="s">
        <v>1241</v>
      </c>
      <c r="B506" s="2" t="s">
        <v>29</v>
      </c>
      <c r="C506" s="2" t="s">
        <v>30</v>
      </c>
      <c r="D506" s="2" t="s">
        <v>652</v>
      </c>
      <c r="E506" s="2" t="s">
        <v>142</v>
      </c>
      <c r="F506" s="2" t="s">
        <v>1101</v>
      </c>
      <c r="G506" s="2" t="s">
        <v>34</v>
      </c>
      <c r="H506" s="2" t="s">
        <v>79</v>
      </c>
      <c r="I506" s="2" t="s">
        <v>791</v>
      </c>
      <c r="J506" s="2" t="s">
        <v>37</v>
      </c>
      <c r="K506" s="2" t="s">
        <v>38</v>
      </c>
      <c r="L506" s="2" t="s">
        <v>38</v>
      </c>
      <c r="M506" s="2" t="s">
        <v>39</v>
      </c>
      <c r="N506" s="2" t="s">
        <v>38</v>
      </c>
      <c r="O506" s="2" t="s">
        <v>38</v>
      </c>
      <c r="P506" s="2" t="s">
        <v>984</v>
      </c>
      <c r="Q506" s="2" t="s">
        <v>38</v>
      </c>
      <c r="R506" s="2" t="s">
        <v>41</v>
      </c>
      <c r="S506" s="2" t="s">
        <v>1242</v>
      </c>
      <c r="T506" s="2" t="s">
        <v>345</v>
      </c>
      <c r="U506" s="2" t="s">
        <v>1107</v>
      </c>
      <c r="V506" s="2" t="s">
        <v>272</v>
      </c>
      <c r="W506" s="2" t="s">
        <v>38</v>
      </c>
      <c r="X506" s="3">
        <v>41047</v>
      </c>
      <c r="Y506" s="2" t="s">
        <v>1243</v>
      </c>
      <c r="Z506" s="4"/>
      <c r="AA506" s="2" t="s">
        <v>672</v>
      </c>
      <c r="AB506" s="2" t="s">
        <v>1131</v>
      </c>
      <c r="AC506" s="12">
        <f t="shared" si="42"/>
        <v>2012</v>
      </c>
      <c r="AD506" s="12">
        <f t="shared" si="43"/>
        <v>5</v>
      </c>
      <c r="AE506" s="12">
        <f t="shared" si="44"/>
        <v>18</v>
      </c>
      <c r="AF506" s="16">
        <f t="shared" si="45"/>
        <v>11.2</v>
      </c>
      <c r="AG506" s="16">
        <f t="shared" si="46"/>
        <v>37.700000000000003</v>
      </c>
      <c r="AH506" s="16" t="str">
        <f t="shared" si="47"/>
        <v/>
      </c>
    </row>
    <row r="507" spans="1:34" x14ac:dyDescent="0.35">
      <c r="A507" s="2" t="s">
        <v>1246</v>
      </c>
      <c r="B507" s="2" t="s">
        <v>29</v>
      </c>
      <c r="C507" s="2" t="s">
        <v>30</v>
      </c>
      <c r="D507" s="2" t="s">
        <v>608</v>
      </c>
      <c r="E507" s="2" t="s">
        <v>165</v>
      </c>
      <c r="F507" s="2" t="s">
        <v>733</v>
      </c>
      <c r="G507" s="2" t="s">
        <v>34</v>
      </c>
      <c r="H507" s="2" t="s">
        <v>69</v>
      </c>
      <c r="I507" s="2" t="s">
        <v>791</v>
      </c>
      <c r="J507" s="2" t="s">
        <v>37</v>
      </c>
      <c r="K507" s="2" t="s">
        <v>38</v>
      </c>
      <c r="L507" s="2" t="s">
        <v>38</v>
      </c>
      <c r="M507" s="2" t="s">
        <v>39</v>
      </c>
      <c r="N507" s="2" t="s">
        <v>38</v>
      </c>
      <c r="O507" s="2" t="s">
        <v>38</v>
      </c>
      <c r="P507" s="2" t="s">
        <v>819</v>
      </c>
      <c r="Q507" s="2" t="s">
        <v>38</v>
      </c>
      <c r="R507" s="2" t="s">
        <v>98</v>
      </c>
      <c r="S507" s="2" t="s">
        <v>1090</v>
      </c>
      <c r="T507" s="2" t="s">
        <v>73</v>
      </c>
      <c r="U507" s="2" t="s">
        <v>820</v>
      </c>
      <c r="V507" s="2" t="s">
        <v>322</v>
      </c>
      <c r="W507" s="2" t="s">
        <v>38</v>
      </c>
      <c r="X507" s="3">
        <v>41048</v>
      </c>
      <c r="Y507" s="2" t="s">
        <v>1247</v>
      </c>
      <c r="Z507" s="34"/>
      <c r="AA507" s="2" t="s">
        <v>672</v>
      </c>
      <c r="AB507" s="2" t="s">
        <v>1131</v>
      </c>
      <c r="AC507" s="12">
        <f t="shared" si="42"/>
        <v>2012</v>
      </c>
      <c r="AD507" s="12">
        <f t="shared" si="43"/>
        <v>5</v>
      </c>
      <c r="AE507" s="12">
        <f t="shared" si="44"/>
        <v>19</v>
      </c>
      <c r="AF507" s="16">
        <f t="shared" si="45"/>
        <v>9.1999999999999993</v>
      </c>
      <c r="AG507" s="16">
        <f t="shared" si="46"/>
        <v>38.4</v>
      </c>
      <c r="AH507" s="16" t="str">
        <f t="shared" si="47"/>
        <v/>
      </c>
    </row>
    <row r="508" spans="1:34" x14ac:dyDescent="0.35">
      <c r="A508" s="2" t="s">
        <v>1251</v>
      </c>
      <c r="B508" s="2" t="s">
        <v>29</v>
      </c>
      <c r="C508" s="2" t="s">
        <v>30</v>
      </c>
      <c r="D508" s="2" t="s">
        <v>652</v>
      </c>
      <c r="E508" s="2" t="s">
        <v>104</v>
      </c>
      <c r="F508" s="2" t="s">
        <v>1149</v>
      </c>
      <c r="G508" s="2" t="s">
        <v>34</v>
      </c>
      <c r="H508" s="2" t="s">
        <v>54</v>
      </c>
      <c r="I508" s="2" t="s">
        <v>813</v>
      </c>
      <c r="J508" s="2" t="s">
        <v>37</v>
      </c>
      <c r="K508" s="2" t="s">
        <v>38</v>
      </c>
      <c r="L508" s="2" t="s">
        <v>38</v>
      </c>
      <c r="M508" s="2" t="s">
        <v>39</v>
      </c>
      <c r="N508" s="2" t="s">
        <v>38</v>
      </c>
      <c r="O508" s="2" t="s">
        <v>38</v>
      </c>
      <c r="P508" s="2" t="s">
        <v>862</v>
      </c>
      <c r="Q508" s="2" t="s">
        <v>38</v>
      </c>
      <c r="R508" s="2" t="s">
        <v>98</v>
      </c>
      <c r="S508" s="2" t="s">
        <v>1015</v>
      </c>
      <c r="T508" s="2" t="s">
        <v>73</v>
      </c>
      <c r="U508" s="2" t="s">
        <v>829</v>
      </c>
      <c r="V508" s="2" t="s">
        <v>376</v>
      </c>
      <c r="W508" s="2" t="s">
        <v>38</v>
      </c>
      <c r="X508" s="3">
        <v>41049</v>
      </c>
      <c r="Y508" s="2" t="s">
        <v>1252</v>
      </c>
      <c r="Z508" s="4"/>
      <c r="AA508" s="2" t="s">
        <v>672</v>
      </c>
      <c r="AB508" s="2" t="s">
        <v>1131</v>
      </c>
      <c r="AC508" s="12">
        <f t="shared" si="42"/>
        <v>2012</v>
      </c>
      <c r="AD508" s="12">
        <f t="shared" si="43"/>
        <v>5</v>
      </c>
      <c r="AE508" s="12">
        <f t="shared" si="44"/>
        <v>20</v>
      </c>
      <c r="AF508" s="16">
        <f t="shared" si="45"/>
        <v>12.5</v>
      </c>
      <c r="AG508" s="16">
        <f t="shared" si="46"/>
        <v>38.6</v>
      </c>
      <c r="AH508" s="16" t="str">
        <f t="shared" si="47"/>
        <v/>
      </c>
    </row>
    <row r="509" spans="1:34" x14ac:dyDescent="0.35">
      <c r="A509" s="2" t="s">
        <v>1255</v>
      </c>
      <c r="B509" s="2" t="s">
        <v>29</v>
      </c>
      <c r="C509" s="2" t="s">
        <v>30</v>
      </c>
      <c r="D509" s="2" t="s">
        <v>583</v>
      </c>
      <c r="E509" s="2" t="s">
        <v>104</v>
      </c>
      <c r="F509" s="2" t="s">
        <v>1106</v>
      </c>
      <c r="G509" s="2" t="s">
        <v>34</v>
      </c>
      <c r="H509" s="2" t="s">
        <v>96</v>
      </c>
      <c r="I509" s="2" t="s">
        <v>652</v>
      </c>
      <c r="J509" s="2" t="s">
        <v>37</v>
      </c>
      <c r="K509" s="2" t="s">
        <v>38</v>
      </c>
      <c r="L509" s="2" t="s">
        <v>38</v>
      </c>
      <c r="M509" s="2" t="s">
        <v>39</v>
      </c>
      <c r="N509" s="2" t="s">
        <v>38</v>
      </c>
      <c r="O509" s="2" t="s">
        <v>38</v>
      </c>
      <c r="P509" s="2" t="s">
        <v>1138</v>
      </c>
      <c r="Q509" s="2" t="s">
        <v>38</v>
      </c>
      <c r="R509" s="2" t="s">
        <v>98</v>
      </c>
      <c r="S509" s="2" t="s">
        <v>1256</v>
      </c>
      <c r="T509" s="2" t="s">
        <v>73</v>
      </c>
      <c r="U509" s="2" t="s">
        <v>1257</v>
      </c>
      <c r="V509" s="2" t="s">
        <v>124</v>
      </c>
      <c r="W509" s="2" t="s">
        <v>38</v>
      </c>
      <c r="X509" s="3">
        <v>41050</v>
      </c>
      <c r="Y509" s="2" t="s">
        <v>1258</v>
      </c>
      <c r="Z509" s="34"/>
      <c r="AA509" s="2" t="s">
        <v>672</v>
      </c>
      <c r="AB509" s="2" t="s">
        <v>1131</v>
      </c>
      <c r="AC509" s="12">
        <f t="shared" si="42"/>
        <v>2012</v>
      </c>
      <c r="AD509" s="12">
        <f t="shared" si="43"/>
        <v>5</v>
      </c>
      <c r="AE509" s="12">
        <f t="shared" si="44"/>
        <v>21</v>
      </c>
      <c r="AF509" s="16">
        <f t="shared" si="45"/>
        <v>13.5</v>
      </c>
      <c r="AG509" s="16">
        <f t="shared" si="46"/>
        <v>37.5</v>
      </c>
      <c r="AH509" s="16" t="str">
        <f t="shared" si="47"/>
        <v/>
      </c>
    </row>
    <row r="510" spans="1:34" x14ac:dyDescent="0.35">
      <c r="A510" s="2" t="s">
        <v>1261</v>
      </c>
      <c r="B510" s="2" t="s">
        <v>29</v>
      </c>
      <c r="C510" s="2" t="s">
        <v>30</v>
      </c>
      <c r="D510" s="2" t="s">
        <v>583</v>
      </c>
      <c r="E510" s="2" t="s">
        <v>32</v>
      </c>
      <c r="F510" s="2" t="s">
        <v>1074</v>
      </c>
      <c r="G510" s="2" t="s">
        <v>34</v>
      </c>
      <c r="H510" s="2" t="s">
        <v>202</v>
      </c>
      <c r="I510" s="2" t="s">
        <v>791</v>
      </c>
      <c r="J510" s="2" t="s">
        <v>37</v>
      </c>
      <c r="K510" s="2" t="s">
        <v>38</v>
      </c>
      <c r="L510" s="2" t="s">
        <v>38</v>
      </c>
      <c r="M510" s="2" t="s">
        <v>39</v>
      </c>
      <c r="N510" s="2" t="s">
        <v>38</v>
      </c>
      <c r="O510" s="2" t="s">
        <v>38</v>
      </c>
      <c r="P510" s="2" t="s">
        <v>984</v>
      </c>
      <c r="Q510" s="2" t="s">
        <v>38</v>
      </c>
      <c r="R510" s="2" t="s">
        <v>98</v>
      </c>
      <c r="S510" s="2" t="s">
        <v>1264</v>
      </c>
      <c r="T510" s="2" t="s">
        <v>73</v>
      </c>
      <c r="U510" s="2" t="s">
        <v>804</v>
      </c>
      <c r="V510" s="2" t="s">
        <v>92</v>
      </c>
      <c r="W510" s="2" t="s">
        <v>38</v>
      </c>
      <c r="X510" s="3">
        <v>41051</v>
      </c>
      <c r="Y510" s="2" t="s">
        <v>1265</v>
      </c>
      <c r="Z510" s="34"/>
      <c r="AA510" s="2" t="s">
        <v>672</v>
      </c>
      <c r="AB510" s="2" t="s">
        <v>1131</v>
      </c>
      <c r="AC510" s="12">
        <f t="shared" si="42"/>
        <v>2012</v>
      </c>
      <c r="AD510" s="12">
        <f t="shared" si="43"/>
        <v>5</v>
      </c>
      <c r="AE510" s="12">
        <f t="shared" si="44"/>
        <v>22</v>
      </c>
      <c r="AF510" s="16">
        <f t="shared" si="45"/>
        <v>15.8</v>
      </c>
      <c r="AG510" s="16">
        <f t="shared" si="46"/>
        <v>37.700000000000003</v>
      </c>
      <c r="AH510" s="16" t="str">
        <f t="shared" si="47"/>
        <v/>
      </c>
    </row>
    <row r="511" spans="1:34" x14ac:dyDescent="0.35">
      <c r="A511" s="2" t="s">
        <v>1266</v>
      </c>
      <c r="B511" s="2" t="s">
        <v>29</v>
      </c>
      <c r="C511" s="2" t="s">
        <v>30</v>
      </c>
      <c r="D511" s="2" t="s">
        <v>608</v>
      </c>
      <c r="E511" s="2" t="s">
        <v>32</v>
      </c>
      <c r="F511" s="2" t="s">
        <v>1074</v>
      </c>
      <c r="G511" s="2" t="s">
        <v>34</v>
      </c>
      <c r="H511" s="2" t="s">
        <v>371</v>
      </c>
      <c r="I511" s="2" t="s">
        <v>791</v>
      </c>
      <c r="J511" s="2" t="s">
        <v>37</v>
      </c>
      <c r="K511" s="2" t="s">
        <v>38</v>
      </c>
      <c r="L511" s="2" t="s">
        <v>38</v>
      </c>
      <c r="M511" s="2" t="s">
        <v>39</v>
      </c>
      <c r="N511" s="2" t="s">
        <v>38</v>
      </c>
      <c r="O511" s="2" t="s">
        <v>38</v>
      </c>
      <c r="P511" s="2" t="s">
        <v>902</v>
      </c>
      <c r="Q511" s="2" t="s">
        <v>38</v>
      </c>
      <c r="R511" s="2" t="s">
        <v>41</v>
      </c>
      <c r="S511" s="2" t="s">
        <v>310</v>
      </c>
      <c r="T511" s="2" t="s">
        <v>372</v>
      </c>
      <c r="U511" s="2" t="s">
        <v>815</v>
      </c>
      <c r="V511" s="2" t="s">
        <v>45</v>
      </c>
      <c r="W511" s="2" t="s">
        <v>38</v>
      </c>
      <c r="X511" s="3">
        <v>41052</v>
      </c>
      <c r="Y511" s="2" t="s">
        <v>1271</v>
      </c>
      <c r="Z511" s="4"/>
      <c r="AA511" s="2" t="s">
        <v>672</v>
      </c>
      <c r="AB511" s="2" t="s">
        <v>1131</v>
      </c>
      <c r="AC511" s="12">
        <f t="shared" si="42"/>
        <v>2012</v>
      </c>
      <c r="AD511" s="12">
        <f t="shared" si="43"/>
        <v>5</v>
      </c>
      <c r="AE511" s="12">
        <f t="shared" si="44"/>
        <v>23</v>
      </c>
      <c r="AF511" s="16">
        <f t="shared" si="45"/>
        <v>16.399999999999999</v>
      </c>
      <c r="AG511" s="16">
        <f t="shared" si="46"/>
        <v>37.9</v>
      </c>
      <c r="AH511" s="16" t="str">
        <f t="shared" si="47"/>
        <v/>
      </c>
    </row>
    <row r="512" spans="1:34" x14ac:dyDescent="0.35">
      <c r="A512" s="2" t="s">
        <v>1272</v>
      </c>
      <c r="B512" s="2" t="s">
        <v>29</v>
      </c>
      <c r="C512" s="2" t="s">
        <v>30</v>
      </c>
      <c r="D512" s="2" t="s">
        <v>583</v>
      </c>
      <c r="E512" s="2" t="s">
        <v>51</v>
      </c>
      <c r="F512" s="2" t="s">
        <v>1273</v>
      </c>
      <c r="G512" s="2" t="s">
        <v>34</v>
      </c>
      <c r="H512" s="2" t="s">
        <v>475</v>
      </c>
      <c r="I512" s="2" t="s">
        <v>652</v>
      </c>
      <c r="J512" s="2" t="s">
        <v>37</v>
      </c>
      <c r="K512" s="2" t="s">
        <v>38</v>
      </c>
      <c r="L512" s="2" t="s">
        <v>38</v>
      </c>
      <c r="M512" s="2" t="s">
        <v>39</v>
      </c>
      <c r="N512" s="2" t="s">
        <v>38</v>
      </c>
      <c r="O512" s="2" t="s">
        <v>38</v>
      </c>
      <c r="P512" s="2" t="s">
        <v>1274</v>
      </c>
      <c r="Q512" s="2" t="s">
        <v>38</v>
      </c>
      <c r="R512" s="2" t="s">
        <v>98</v>
      </c>
      <c r="S512" s="2" t="s">
        <v>1275</v>
      </c>
      <c r="T512" s="2" t="s">
        <v>73</v>
      </c>
      <c r="U512" s="2" t="s">
        <v>707</v>
      </c>
      <c r="V512" s="2" t="s">
        <v>933</v>
      </c>
      <c r="W512" s="2" t="s">
        <v>38</v>
      </c>
      <c r="X512" s="3">
        <v>41053</v>
      </c>
      <c r="Y512" s="2" t="s">
        <v>1276</v>
      </c>
      <c r="Z512" s="34"/>
      <c r="AA512" s="2" t="s">
        <v>672</v>
      </c>
      <c r="AB512" s="2" t="s">
        <v>1131</v>
      </c>
      <c r="AC512" s="12">
        <f t="shared" si="42"/>
        <v>2012</v>
      </c>
      <c r="AD512" s="12">
        <f t="shared" si="43"/>
        <v>5</v>
      </c>
      <c r="AE512" s="12">
        <f t="shared" si="44"/>
        <v>24</v>
      </c>
      <c r="AF512" s="16">
        <f t="shared" si="45"/>
        <v>16.899999999999999</v>
      </c>
      <c r="AG512" s="16">
        <f t="shared" si="46"/>
        <v>37.4</v>
      </c>
      <c r="AH512" s="16" t="str">
        <f t="shared" si="47"/>
        <v/>
      </c>
    </row>
    <row r="513" spans="1:34" x14ac:dyDescent="0.35">
      <c r="A513" s="2" t="s">
        <v>1279</v>
      </c>
      <c r="B513" s="2" t="s">
        <v>29</v>
      </c>
      <c r="C513" s="2" t="s">
        <v>30</v>
      </c>
      <c r="D513" s="2" t="s">
        <v>531</v>
      </c>
      <c r="E513" s="2" t="s">
        <v>51</v>
      </c>
      <c r="F513" s="2" t="s">
        <v>999</v>
      </c>
      <c r="G513" s="2" t="s">
        <v>34</v>
      </c>
      <c r="H513" s="2" t="s">
        <v>96</v>
      </c>
      <c r="I513" s="2" t="s">
        <v>652</v>
      </c>
      <c r="J513" s="2" t="s">
        <v>37</v>
      </c>
      <c r="K513" s="2" t="s">
        <v>38</v>
      </c>
      <c r="L513" s="2" t="s">
        <v>38</v>
      </c>
      <c r="M513" s="2" t="s">
        <v>39</v>
      </c>
      <c r="N513" s="2" t="s">
        <v>38</v>
      </c>
      <c r="O513" s="2" t="s">
        <v>38</v>
      </c>
      <c r="P513" s="2" t="s">
        <v>786</v>
      </c>
      <c r="Q513" s="2" t="s">
        <v>38</v>
      </c>
      <c r="R513" s="2" t="s">
        <v>98</v>
      </c>
      <c r="S513" s="2" t="s">
        <v>1242</v>
      </c>
      <c r="T513" s="2" t="s">
        <v>73</v>
      </c>
      <c r="U513" s="2" t="s">
        <v>654</v>
      </c>
      <c r="V513" s="2" t="s">
        <v>933</v>
      </c>
      <c r="W513" s="2" t="s">
        <v>38</v>
      </c>
      <c r="X513" s="3">
        <v>41054</v>
      </c>
      <c r="Y513" s="2" t="s">
        <v>1283</v>
      </c>
      <c r="Z513" s="4"/>
      <c r="AA513" s="2" t="s">
        <v>672</v>
      </c>
      <c r="AB513" s="2" t="s">
        <v>1131</v>
      </c>
      <c r="AC513" s="12">
        <f t="shared" si="42"/>
        <v>2012</v>
      </c>
      <c r="AD513" s="12">
        <f t="shared" si="43"/>
        <v>5</v>
      </c>
      <c r="AE513" s="12">
        <f t="shared" si="44"/>
        <v>25</v>
      </c>
      <c r="AF513" s="16">
        <f t="shared" si="45"/>
        <v>16.899999999999999</v>
      </c>
      <c r="AG513" s="16">
        <f t="shared" si="46"/>
        <v>37.200000000000003</v>
      </c>
      <c r="AH513" s="16" t="str">
        <f t="shared" si="47"/>
        <v/>
      </c>
    </row>
    <row r="514" spans="1:34" x14ac:dyDescent="0.35">
      <c r="A514" s="2" t="s">
        <v>1284</v>
      </c>
      <c r="B514" s="2" t="s">
        <v>29</v>
      </c>
      <c r="C514" s="2" t="s">
        <v>30</v>
      </c>
      <c r="D514" s="2" t="s">
        <v>583</v>
      </c>
      <c r="E514" s="2" t="s">
        <v>32</v>
      </c>
      <c r="F514" s="2" t="s">
        <v>1106</v>
      </c>
      <c r="G514" s="2" t="s">
        <v>34</v>
      </c>
      <c r="H514" s="2" t="s">
        <v>96</v>
      </c>
      <c r="I514" s="2" t="s">
        <v>652</v>
      </c>
      <c r="J514" s="2" t="s">
        <v>37</v>
      </c>
      <c r="K514" s="2" t="s">
        <v>38</v>
      </c>
      <c r="L514" s="2" t="s">
        <v>38</v>
      </c>
      <c r="M514" s="2" t="s">
        <v>39</v>
      </c>
      <c r="N514" s="2" t="s">
        <v>38</v>
      </c>
      <c r="O514" s="2" t="s">
        <v>38</v>
      </c>
      <c r="P514" s="2" t="s">
        <v>786</v>
      </c>
      <c r="Q514" s="2" t="s">
        <v>38</v>
      </c>
      <c r="R514" s="2" t="s">
        <v>1285</v>
      </c>
      <c r="S514" s="2" t="s">
        <v>1286</v>
      </c>
      <c r="T514" s="2" t="s">
        <v>1287</v>
      </c>
      <c r="U514" s="2" t="s">
        <v>707</v>
      </c>
      <c r="V514" s="2" t="s">
        <v>1008</v>
      </c>
      <c r="W514" s="2" t="s">
        <v>38</v>
      </c>
      <c r="X514" s="3">
        <v>41055</v>
      </c>
      <c r="Y514" s="2" t="s">
        <v>1288</v>
      </c>
      <c r="Z514" s="34"/>
      <c r="AA514" s="2" t="s">
        <v>672</v>
      </c>
      <c r="AB514" s="2" t="s">
        <v>1131</v>
      </c>
      <c r="AC514" s="12">
        <f t="shared" ref="AC514:AC577" si="48">YEAR(X514)</f>
        <v>2012</v>
      </c>
      <c r="AD514" s="12">
        <f t="shared" ref="AD514:AD577" si="49">MONTH(X514)</f>
        <v>5</v>
      </c>
      <c r="AE514" s="12">
        <f t="shared" ref="AE514:AE577" si="50">DAY(X514)</f>
        <v>26</v>
      </c>
      <c r="AF514" s="16">
        <f t="shared" ref="AF514:AF577" si="51">IF(LEN(V514)&gt;0,V514/10,"")</f>
        <v>15.7</v>
      </c>
      <c r="AG514" s="16">
        <f t="shared" ref="AG514:AG577" si="52">IF(LEN(P514)&gt;0,P514/10,"")</f>
        <v>37.200000000000003</v>
      </c>
      <c r="AH514" s="16" t="str">
        <f t="shared" ref="AH514:AH577" si="53">IF(LEN(Q514)&gt;0,Q514/10,"")</f>
        <v/>
      </c>
    </row>
    <row r="515" spans="1:34" x14ac:dyDescent="0.35">
      <c r="A515" s="2" t="s">
        <v>1293</v>
      </c>
      <c r="B515" s="2" t="s">
        <v>29</v>
      </c>
      <c r="C515" s="2" t="s">
        <v>30</v>
      </c>
      <c r="D515" s="2" t="s">
        <v>114</v>
      </c>
      <c r="E515" s="2" t="s">
        <v>66</v>
      </c>
      <c r="F515" s="2" t="s">
        <v>959</v>
      </c>
      <c r="G515" s="2" t="s">
        <v>34</v>
      </c>
      <c r="H515" s="2" t="s">
        <v>233</v>
      </c>
      <c r="I515" s="2" t="s">
        <v>583</v>
      </c>
      <c r="J515" s="2" t="s">
        <v>37</v>
      </c>
      <c r="K515" s="2" t="s">
        <v>38</v>
      </c>
      <c r="L515" s="2" t="s">
        <v>38</v>
      </c>
      <c r="M515" s="2" t="s">
        <v>39</v>
      </c>
      <c r="N515" s="2" t="s">
        <v>38</v>
      </c>
      <c r="O515" s="2" t="s">
        <v>38</v>
      </c>
      <c r="P515" s="2" t="s">
        <v>1155</v>
      </c>
      <c r="Q515" s="2" t="s">
        <v>38</v>
      </c>
      <c r="R515" s="2" t="s">
        <v>1285</v>
      </c>
      <c r="S515" s="2" t="s">
        <v>1294</v>
      </c>
      <c r="T515" s="2" t="s">
        <v>1190</v>
      </c>
      <c r="U515" s="2" t="s">
        <v>593</v>
      </c>
      <c r="V515" s="2" t="s">
        <v>924</v>
      </c>
      <c r="W515" s="2" t="s">
        <v>38</v>
      </c>
      <c r="X515" s="3">
        <v>41056</v>
      </c>
      <c r="Y515" s="2" t="s">
        <v>1295</v>
      </c>
      <c r="Z515" s="4"/>
      <c r="AA515" s="2" t="s">
        <v>672</v>
      </c>
      <c r="AB515" s="2" t="s">
        <v>1131</v>
      </c>
      <c r="AC515" s="12">
        <f t="shared" si="48"/>
        <v>2012</v>
      </c>
      <c r="AD515" s="12">
        <f t="shared" si="49"/>
        <v>5</v>
      </c>
      <c r="AE515" s="12">
        <f t="shared" si="50"/>
        <v>27</v>
      </c>
      <c r="AF515" s="16">
        <f t="shared" si="51"/>
        <v>15.1</v>
      </c>
      <c r="AG515" s="16">
        <f t="shared" si="52"/>
        <v>35.299999999999997</v>
      </c>
      <c r="AH515" s="16" t="str">
        <f t="shared" si="53"/>
        <v/>
      </c>
    </row>
    <row r="516" spans="1:34" x14ac:dyDescent="0.35">
      <c r="A516" s="2" t="s">
        <v>1298</v>
      </c>
      <c r="B516" s="2" t="s">
        <v>29</v>
      </c>
      <c r="C516" s="2" t="s">
        <v>30</v>
      </c>
      <c r="D516" s="2" t="s">
        <v>128</v>
      </c>
      <c r="E516" s="2" t="s">
        <v>579</v>
      </c>
      <c r="F516" s="2" t="s">
        <v>658</v>
      </c>
      <c r="G516" s="2" t="s">
        <v>34</v>
      </c>
      <c r="H516" s="2" t="s">
        <v>331</v>
      </c>
      <c r="I516" s="2" t="s">
        <v>583</v>
      </c>
      <c r="J516" s="2" t="s">
        <v>37</v>
      </c>
      <c r="K516" s="2" t="s">
        <v>38</v>
      </c>
      <c r="L516" s="2" t="s">
        <v>38</v>
      </c>
      <c r="M516" s="2" t="s">
        <v>39</v>
      </c>
      <c r="N516" s="2" t="s">
        <v>38</v>
      </c>
      <c r="O516" s="2" t="s">
        <v>38</v>
      </c>
      <c r="P516" s="2" t="s">
        <v>1299</v>
      </c>
      <c r="Q516" s="2" t="s">
        <v>38</v>
      </c>
      <c r="R516" s="2" t="s">
        <v>41</v>
      </c>
      <c r="S516" s="2" t="s">
        <v>1300</v>
      </c>
      <c r="T516" s="2" t="s">
        <v>916</v>
      </c>
      <c r="U516" s="2" t="s">
        <v>660</v>
      </c>
      <c r="V516" s="2" t="s">
        <v>1301</v>
      </c>
      <c r="W516" s="2" t="s">
        <v>38</v>
      </c>
      <c r="X516" s="3">
        <v>41057</v>
      </c>
      <c r="Y516" s="2" t="s">
        <v>1302</v>
      </c>
      <c r="Z516" s="34"/>
      <c r="AA516" s="2" t="s">
        <v>672</v>
      </c>
      <c r="AB516" s="2" t="s">
        <v>1131</v>
      </c>
      <c r="AC516" s="12">
        <f t="shared" si="48"/>
        <v>2012</v>
      </c>
      <c r="AD516" s="12">
        <f t="shared" si="49"/>
        <v>5</v>
      </c>
      <c r="AE516" s="12">
        <f t="shared" si="50"/>
        <v>28</v>
      </c>
      <c r="AF516" s="16">
        <f t="shared" si="51"/>
        <v>20.2</v>
      </c>
      <c r="AG516" s="16">
        <f t="shared" si="52"/>
        <v>34.799999999999997</v>
      </c>
      <c r="AH516" s="16" t="str">
        <f t="shared" si="53"/>
        <v/>
      </c>
    </row>
    <row r="517" spans="1:34" x14ac:dyDescent="0.35">
      <c r="A517" s="2" t="s">
        <v>1307</v>
      </c>
      <c r="B517" s="2" t="s">
        <v>29</v>
      </c>
      <c r="C517" s="2" t="s">
        <v>30</v>
      </c>
      <c r="D517" s="2" t="s">
        <v>531</v>
      </c>
      <c r="E517" s="2" t="s">
        <v>55</v>
      </c>
      <c r="F517" s="2" t="s">
        <v>959</v>
      </c>
      <c r="G517" s="2" t="s">
        <v>34</v>
      </c>
      <c r="H517" s="2" t="s">
        <v>96</v>
      </c>
      <c r="I517" s="2" t="s">
        <v>608</v>
      </c>
      <c r="J517" s="2" t="s">
        <v>37</v>
      </c>
      <c r="K517" s="2" t="s">
        <v>38</v>
      </c>
      <c r="L517" s="2" t="s">
        <v>38</v>
      </c>
      <c r="M517" s="2" t="s">
        <v>39</v>
      </c>
      <c r="N517" s="2" t="s">
        <v>38</v>
      </c>
      <c r="O517" s="2" t="s">
        <v>38</v>
      </c>
      <c r="P517" s="2" t="s">
        <v>1308</v>
      </c>
      <c r="Q517" s="2" t="s">
        <v>38</v>
      </c>
      <c r="R517" s="2" t="s">
        <v>98</v>
      </c>
      <c r="S517" s="2" t="s">
        <v>146</v>
      </c>
      <c r="T517" s="2" t="s">
        <v>90</v>
      </c>
      <c r="U517" s="2" t="s">
        <v>1212</v>
      </c>
      <c r="V517" s="2" t="s">
        <v>1213</v>
      </c>
      <c r="W517" s="2" t="s">
        <v>38</v>
      </c>
      <c r="X517" s="3">
        <v>41058</v>
      </c>
      <c r="Y517" s="2" t="s">
        <v>1309</v>
      </c>
      <c r="Z517" s="4"/>
      <c r="AA517" s="2" t="s">
        <v>672</v>
      </c>
      <c r="AB517" s="2" t="s">
        <v>1131</v>
      </c>
      <c r="AC517" s="12">
        <f t="shared" si="48"/>
        <v>2012</v>
      </c>
      <c r="AD517" s="12">
        <f t="shared" si="49"/>
        <v>5</v>
      </c>
      <c r="AE517" s="12">
        <f t="shared" si="50"/>
        <v>29</v>
      </c>
      <c r="AF517" s="16">
        <f t="shared" si="51"/>
        <v>18.100000000000001</v>
      </c>
      <c r="AG517" s="16">
        <f t="shared" si="52"/>
        <v>36.1</v>
      </c>
      <c r="AH517" s="16" t="str">
        <f t="shared" si="53"/>
        <v/>
      </c>
    </row>
    <row r="518" spans="1:34" x14ac:dyDescent="0.35">
      <c r="A518" s="2" t="s">
        <v>1313</v>
      </c>
      <c r="B518" s="2" t="s">
        <v>29</v>
      </c>
      <c r="C518" s="2" t="s">
        <v>30</v>
      </c>
      <c r="D518" s="2" t="s">
        <v>114</v>
      </c>
      <c r="E518" s="2" t="s">
        <v>51</v>
      </c>
      <c r="F518" s="2" t="s">
        <v>1149</v>
      </c>
      <c r="G518" s="2" t="s">
        <v>34</v>
      </c>
      <c r="H518" s="2" t="s">
        <v>734</v>
      </c>
      <c r="I518" s="2" t="s">
        <v>608</v>
      </c>
      <c r="J518" s="2" t="s">
        <v>37</v>
      </c>
      <c r="K518" s="2" t="s">
        <v>38</v>
      </c>
      <c r="L518" s="2" t="s">
        <v>38</v>
      </c>
      <c r="M518" s="2" t="s">
        <v>39</v>
      </c>
      <c r="N518" s="2" t="s">
        <v>38</v>
      </c>
      <c r="O518" s="2" t="s">
        <v>38</v>
      </c>
      <c r="P518" s="2" t="s">
        <v>1316</v>
      </c>
      <c r="Q518" s="2" t="s">
        <v>38</v>
      </c>
      <c r="R518" s="2" t="s">
        <v>98</v>
      </c>
      <c r="S518" s="2" t="s">
        <v>1317</v>
      </c>
      <c r="T518" s="2" t="s">
        <v>73</v>
      </c>
      <c r="U518" s="2" t="s">
        <v>585</v>
      </c>
      <c r="V518" s="2" t="s">
        <v>933</v>
      </c>
      <c r="W518" s="2" t="s">
        <v>38</v>
      </c>
      <c r="X518" s="3">
        <v>41059</v>
      </c>
      <c r="Y518" s="2" t="s">
        <v>1318</v>
      </c>
      <c r="Z518" s="34"/>
      <c r="AA518" s="2" t="s">
        <v>672</v>
      </c>
      <c r="AB518" s="2" t="s">
        <v>1131</v>
      </c>
      <c r="AC518" s="12">
        <f t="shared" si="48"/>
        <v>2012</v>
      </c>
      <c r="AD518" s="12">
        <f t="shared" si="49"/>
        <v>5</v>
      </c>
      <c r="AE518" s="12">
        <f t="shared" si="50"/>
        <v>30</v>
      </c>
      <c r="AF518" s="16">
        <f t="shared" si="51"/>
        <v>16.899999999999999</v>
      </c>
      <c r="AG518" s="16">
        <f t="shared" si="52"/>
        <v>35.6</v>
      </c>
      <c r="AH518" s="16" t="str">
        <f t="shared" si="53"/>
        <v/>
      </c>
    </row>
    <row r="519" spans="1:34" x14ac:dyDescent="0.35">
      <c r="A519" s="2" t="s">
        <v>1319</v>
      </c>
      <c r="B519" s="2" t="s">
        <v>29</v>
      </c>
      <c r="C519" s="2" t="s">
        <v>30</v>
      </c>
      <c r="D519" s="2" t="s">
        <v>531</v>
      </c>
      <c r="E519" s="2" t="s">
        <v>104</v>
      </c>
      <c r="F519" s="2" t="s">
        <v>1320</v>
      </c>
      <c r="G519" s="2" t="s">
        <v>34</v>
      </c>
      <c r="H519" s="2" t="s">
        <v>386</v>
      </c>
      <c r="I519" s="2" t="s">
        <v>608</v>
      </c>
      <c r="J519" s="2" t="s">
        <v>37</v>
      </c>
      <c r="K519" s="2" t="s">
        <v>38</v>
      </c>
      <c r="L519" s="2" t="s">
        <v>38</v>
      </c>
      <c r="M519" s="2" t="s">
        <v>39</v>
      </c>
      <c r="N519" s="2" t="s">
        <v>38</v>
      </c>
      <c r="O519" s="2" t="s">
        <v>38</v>
      </c>
      <c r="P519" s="2" t="s">
        <v>1150</v>
      </c>
      <c r="Q519" s="2" t="s">
        <v>38</v>
      </c>
      <c r="R519" s="2" t="s">
        <v>98</v>
      </c>
      <c r="S519" s="2" t="s">
        <v>1321</v>
      </c>
      <c r="T519" s="2" t="s">
        <v>90</v>
      </c>
      <c r="U519" s="2" t="s">
        <v>654</v>
      </c>
      <c r="V519" s="2" t="s">
        <v>168</v>
      </c>
      <c r="W519" s="2" t="s">
        <v>38</v>
      </c>
      <c r="X519" s="3">
        <v>41060</v>
      </c>
      <c r="Y519" s="2" t="s">
        <v>1322</v>
      </c>
      <c r="Z519" s="4"/>
      <c r="AA519" s="2" t="s">
        <v>1323</v>
      </c>
      <c r="AB519" s="2" t="s">
        <v>1324</v>
      </c>
      <c r="AC519" s="12">
        <f t="shared" si="48"/>
        <v>2012</v>
      </c>
      <c r="AD519" s="12">
        <f t="shared" si="49"/>
        <v>5</v>
      </c>
      <c r="AE519" s="12">
        <f t="shared" si="50"/>
        <v>31</v>
      </c>
      <c r="AF519" s="16">
        <f t="shared" si="51"/>
        <v>13</v>
      </c>
      <c r="AG519" s="16">
        <f t="shared" si="52"/>
        <v>36.4</v>
      </c>
      <c r="AH519" s="16" t="str">
        <f t="shared" si="53"/>
        <v/>
      </c>
    </row>
    <row r="520" spans="1:34" x14ac:dyDescent="0.35">
      <c r="A520" s="2" t="s">
        <v>1327</v>
      </c>
      <c r="B520" s="2" t="s">
        <v>29</v>
      </c>
      <c r="C520" s="2" t="s">
        <v>30</v>
      </c>
      <c r="D520" s="2" t="s">
        <v>531</v>
      </c>
      <c r="E520" s="2" t="s">
        <v>66</v>
      </c>
      <c r="F520" s="2" t="s">
        <v>1038</v>
      </c>
      <c r="G520" s="2" t="s">
        <v>34</v>
      </c>
      <c r="H520" s="2" t="s">
        <v>69</v>
      </c>
      <c r="I520" s="2" t="s">
        <v>608</v>
      </c>
      <c r="J520" s="2" t="s">
        <v>37</v>
      </c>
      <c r="K520" s="2" t="s">
        <v>38</v>
      </c>
      <c r="L520" s="2" t="s">
        <v>38</v>
      </c>
      <c r="M520" s="2" t="s">
        <v>39</v>
      </c>
      <c r="N520" s="2" t="s">
        <v>38</v>
      </c>
      <c r="O520" s="2" t="s">
        <v>38</v>
      </c>
      <c r="P520" s="2" t="s">
        <v>1332</v>
      </c>
      <c r="Q520" s="2" t="s">
        <v>38</v>
      </c>
      <c r="R520" s="2" t="s">
        <v>98</v>
      </c>
      <c r="S520" s="2" t="s">
        <v>1321</v>
      </c>
      <c r="T520" s="2" t="s">
        <v>90</v>
      </c>
      <c r="U520" s="2" t="s">
        <v>611</v>
      </c>
      <c r="V520" s="2" t="s">
        <v>140</v>
      </c>
      <c r="W520" s="2" t="s">
        <v>38</v>
      </c>
      <c r="X520" s="3">
        <v>41061</v>
      </c>
      <c r="Y520" s="2" t="s">
        <v>1333</v>
      </c>
      <c r="Z520" s="34"/>
      <c r="AA520" s="2" t="s">
        <v>1323</v>
      </c>
      <c r="AB520" s="2" t="s">
        <v>1331</v>
      </c>
      <c r="AC520" s="12">
        <f t="shared" si="48"/>
        <v>2012</v>
      </c>
      <c r="AD520" s="12">
        <f t="shared" si="49"/>
        <v>6</v>
      </c>
      <c r="AE520" s="12">
        <f t="shared" si="50"/>
        <v>1</v>
      </c>
      <c r="AF520" s="16">
        <f t="shared" si="51"/>
        <v>14.7</v>
      </c>
      <c r="AG520" s="16">
        <f t="shared" si="52"/>
        <v>35.700000000000003</v>
      </c>
      <c r="AH520" s="16" t="str">
        <f t="shared" si="53"/>
        <v/>
      </c>
    </row>
    <row r="521" spans="1:34" x14ac:dyDescent="0.35">
      <c r="A521" s="2" t="s">
        <v>1334</v>
      </c>
      <c r="B521" s="2" t="s">
        <v>29</v>
      </c>
      <c r="C521" s="2" t="s">
        <v>30</v>
      </c>
      <c r="D521" s="2" t="s">
        <v>114</v>
      </c>
      <c r="E521" s="2" t="s">
        <v>32</v>
      </c>
      <c r="F521" s="2" t="s">
        <v>1335</v>
      </c>
      <c r="G521" s="2" t="s">
        <v>34</v>
      </c>
      <c r="H521" s="2" t="s">
        <v>331</v>
      </c>
      <c r="I521" s="2" t="s">
        <v>583</v>
      </c>
      <c r="J521" s="2" t="s">
        <v>37</v>
      </c>
      <c r="K521" s="2" t="s">
        <v>38</v>
      </c>
      <c r="L521" s="2" t="s">
        <v>38</v>
      </c>
      <c r="M521" s="2" t="s">
        <v>39</v>
      </c>
      <c r="N521" s="2" t="s">
        <v>38</v>
      </c>
      <c r="O521" s="2" t="s">
        <v>38</v>
      </c>
      <c r="P521" s="2" t="s">
        <v>584</v>
      </c>
      <c r="Q521" s="2" t="s">
        <v>38</v>
      </c>
      <c r="R521" s="2" t="s">
        <v>41</v>
      </c>
      <c r="S521" s="2" t="s">
        <v>1336</v>
      </c>
      <c r="T521" s="2" t="s">
        <v>372</v>
      </c>
      <c r="U521" s="2" t="s">
        <v>593</v>
      </c>
      <c r="V521" s="2" t="s">
        <v>1161</v>
      </c>
      <c r="W521" s="2" t="s">
        <v>38</v>
      </c>
      <c r="X521" s="3">
        <v>41062</v>
      </c>
      <c r="Y521" s="2" t="s">
        <v>1337</v>
      </c>
      <c r="Z521" s="4"/>
      <c r="AA521" s="2" t="s">
        <v>1323</v>
      </c>
      <c r="AB521" s="2" t="s">
        <v>1331</v>
      </c>
      <c r="AC521" s="12">
        <f t="shared" si="48"/>
        <v>2012</v>
      </c>
      <c r="AD521" s="12">
        <f t="shared" si="49"/>
        <v>6</v>
      </c>
      <c r="AE521" s="12">
        <f t="shared" si="50"/>
        <v>2</v>
      </c>
      <c r="AF521" s="16">
        <f t="shared" si="51"/>
        <v>15.9</v>
      </c>
      <c r="AG521" s="16">
        <f t="shared" si="52"/>
        <v>35.1</v>
      </c>
      <c r="AH521" s="16" t="str">
        <f t="shared" si="53"/>
        <v/>
      </c>
    </row>
    <row r="522" spans="1:34" x14ac:dyDescent="0.35">
      <c r="A522" s="2" t="s">
        <v>1340</v>
      </c>
      <c r="B522" s="2" t="s">
        <v>29</v>
      </c>
      <c r="C522" s="2" t="s">
        <v>30</v>
      </c>
      <c r="D522" s="2" t="s">
        <v>114</v>
      </c>
      <c r="E522" s="2" t="s">
        <v>55</v>
      </c>
      <c r="F522" s="2" t="s">
        <v>1345</v>
      </c>
      <c r="G522" s="2" t="s">
        <v>34</v>
      </c>
      <c r="H522" s="2" t="s">
        <v>173</v>
      </c>
      <c r="I522" s="2" t="s">
        <v>608</v>
      </c>
      <c r="J522" s="2" t="s">
        <v>37</v>
      </c>
      <c r="K522" s="2" t="s">
        <v>38</v>
      </c>
      <c r="L522" s="2" t="s">
        <v>38</v>
      </c>
      <c r="M522" s="2" t="s">
        <v>39</v>
      </c>
      <c r="N522" s="2" t="s">
        <v>38</v>
      </c>
      <c r="O522" s="2" t="s">
        <v>38</v>
      </c>
      <c r="P522" s="2" t="s">
        <v>1308</v>
      </c>
      <c r="Q522" s="2" t="s">
        <v>38</v>
      </c>
      <c r="R522" s="2" t="s">
        <v>41</v>
      </c>
      <c r="S522" s="2" t="s">
        <v>730</v>
      </c>
      <c r="T522" s="2" t="s">
        <v>480</v>
      </c>
      <c r="U522" s="2" t="s">
        <v>622</v>
      </c>
      <c r="V522" s="2" t="s">
        <v>1346</v>
      </c>
      <c r="W522" s="2" t="s">
        <v>38</v>
      </c>
      <c r="X522" s="3">
        <v>41063</v>
      </c>
      <c r="Y522" s="2" t="s">
        <v>1347</v>
      </c>
      <c r="Z522" s="4"/>
      <c r="AA522" s="2" t="s">
        <v>1323</v>
      </c>
      <c r="AB522" s="2" t="s">
        <v>1331</v>
      </c>
      <c r="AC522" s="12">
        <f t="shared" si="48"/>
        <v>2012</v>
      </c>
      <c r="AD522" s="12">
        <f t="shared" si="49"/>
        <v>6</v>
      </c>
      <c r="AE522" s="12">
        <f t="shared" si="50"/>
        <v>3</v>
      </c>
      <c r="AF522" s="16">
        <f t="shared" si="51"/>
        <v>17.899999999999999</v>
      </c>
      <c r="AG522" s="16">
        <f t="shared" si="52"/>
        <v>36.1</v>
      </c>
      <c r="AH522" s="16" t="str">
        <f t="shared" si="53"/>
        <v/>
      </c>
    </row>
    <row r="523" spans="1:34" x14ac:dyDescent="0.35">
      <c r="A523" s="2" t="s">
        <v>1348</v>
      </c>
      <c r="B523" s="2" t="s">
        <v>29</v>
      </c>
      <c r="C523" s="2" t="s">
        <v>30</v>
      </c>
      <c r="D523" s="2" t="s">
        <v>531</v>
      </c>
      <c r="E523" s="2" t="s">
        <v>596</v>
      </c>
      <c r="F523" s="2" t="s">
        <v>1349</v>
      </c>
      <c r="G523" s="2" t="s">
        <v>34</v>
      </c>
      <c r="H523" s="2" t="s">
        <v>457</v>
      </c>
      <c r="I523" s="2" t="s">
        <v>791</v>
      </c>
      <c r="J523" s="2" t="s">
        <v>37</v>
      </c>
      <c r="K523" s="2" t="s">
        <v>38</v>
      </c>
      <c r="L523" s="2" t="s">
        <v>38</v>
      </c>
      <c r="M523" s="2" t="s">
        <v>39</v>
      </c>
      <c r="N523" s="2" t="s">
        <v>38</v>
      </c>
      <c r="O523" s="2" t="s">
        <v>38</v>
      </c>
      <c r="P523" s="2" t="s">
        <v>801</v>
      </c>
      <c r="Q523" s="2" t="s">
        <v>38</v>
      </c>
      <c r="R523" s="2" t="s">
        <v>41</v>
      </c>
      <c r="S523" s="2" t="s">
        <v>496</v>
      </c>
      <c r="T523" s="2" t="s">
        <v>916</v>
      </c>
      <c r="U523" s="2" t="s">
        <v>611</v>
      </c>
      <c r="V523" s="2" t="s">
        <v>1203</v>
      </c>
      <c r="W523" s="2" t="s">
        <v>38</v>
      </c>
      <c r="X523" s="3">
        <v>41064</v>
      </c>
      <c r="Y523" s="2" t="s">
        <v>1350</v>
      </c>
      <c r="Z523" s="34"/>
      <c r="AA523" s="2" t="s">
        <v>1323</v>
      </c>
      <c r="AB523" s="2" t="s">
        <v>1331</v>
      </c>
      <c r="AC523" s="12">
        <f t="shared" si="48"/>
        <v>2012</v>
      </c>
      <c r="AD523" s="12">
        <f t="shared" si="49"/>
        <v>6</v>
      </c>
      <c r="AE523" s="12">
        <f t="shared" si="50"/>
        <v>4</v>
      </c>
      <c r="AF523" s="16">
        <f t="shared" si="51"/>
        <v>19.3</v>
      </c>
      <c r="AG523" s="16">
        <f t="shared" si="52"/>
        <v>37.799999999999997</v>
      </c>
      <c r="AH523" s="16" t="str">
        <f t="shared" si="53"/>
        <v/>
      </c>
    </row>
    <row r="524" spans="1:34" x14ac:dyDescent="0.35">
      <c r="A524" s="2" t="s">
        <v>1354</v>
      </c>
      <c r="B524" s="2" t="s">
        <v>29</v>
      </c>
      <c r="C524" s="2" t="s">
        <v>30</v>
      </c>
      <c r="D524" s="2" t="s">
        <v>36</v>
      </c>
      <c r="E524" s="2" t="s">
        <v>50</v>
      </c>
      <c r="F524" s="2" t="s">
        <v>1360</v>
      </c>
      <c r="G524" s="2" t="s">
        <v>34</v>
      </c>
      <c r="H524" s="2" t="s">
        <v>276</v>
      </c>
      <c r="I524" s="2" t="s">
        <v>583</v>
      </c>
      <c r="J524" s="2" t="s">
        <v>37</v>
      </c>
      <c r="K524" s="2" t="s">
        <v>38</v>
      </c>
      <c r="L524" s="2" t="s">
        <v>38</v>
      </c>
      <c r="M524" s="2" t="s">
        <v>39</v>
      </c>
      <c r="N524" s="2" t="s">
        <v>38</v>
      </c>
      <c r="O524" s="2" t="s">
        <v>38</v>
      </c>
      <c r="P524" s="2" t="s">
        <v>1361</v>
      </c>
      <c r="Q524" s="2" t="s">
        <v>38</v>
      </c>
      <c r="R524" s="2" t="s">
        <v>41</v>
      </c>
      <c r="S524" s="2" t="s">
        <v>1058</v>
      </c>
      <c r="T524" s="2" t="s">
        <v>1362</v>
      </c>
      <c r="U524" s="2" t="s">
        <v>1363</v>
      </c>
      <c r="V524" s="2" t="s">
        <v>1364</v>
      </c>
      <c r="W524" s="2" t="s">
        <v>38</v>
      </c>
      <c r="X524" s="3">
        <v>41065</v>
      </c>
      <c r="Y524" s="2" t="s">
        <v>1365</v>
      </c>
      <c r="Z524" s="34"/>
      <c r="AA524" s="2" t="s">
        <v>1323</v>
      </c>
      <c r="AB524" s="2" t="s">
        <v>1331</v>
      </c>
      <c r="AC524" s="12">
        <f t="shared" si="48"/>
        <v>2012</v>
      </c>
      <c r="AD524" s="12">
        <f t="shared" si="49"/>
        <v>6</v>
      </c>
      <c r="AE524" s="12">
        <f t="shared" si="50"/>
        <v>5</v>
      </c>
      <c r="AF524" s="16">
        <f t="shared" si="51"/>
        <v>20.7</v>
      </c>
      <c r="AG524" s="16">
        <f t="shared" si="52"/>
        <v>35.5</v>
      </c>
      <c r="AH524" s="16" t="str">
        <f t="shared" si="53"/>
        <v/>
      </c>
    </row>
    <row r="525" spans="1:34" x14ac:dyDescent="0.35">
      <c r="A525" s="2" t="s">
        <v>1366</v>
      </c>
      <c r="B525" s="2" t="s">
        <v>29</v>
      </c>
      <c r="C525" s="2" t="s">
        <v>30</v>
      </c>
      <c r="D525" s="2" t="s">
        <v>200</v>
      </c>
      <c r="E525" s="2" t="s">
        <v>50</v>
      </c>
      <c r="F525" s="2" t="s">
        <v>1043</v>
      </c>
      <c r="G525" s="2" t="s">
        <v>1372</v>
      </c>
      <c r="H525" s="2" t="s">
        <v>308</v>
      </c>
      <c r="I525" s="2" t="s">
        <v>77</v>
      </c>
      <c r="J525" s="2" t="s">
        <v>37</v>
      </c>
      <c r="K525" s="2" t="s">
        <v>38</v>
      </c>
      <c r="L525" s="2" t="s">
        <v>38</v>
      </c>
      <c r="M525" s="2" t="s">
        <v>39</v>
      </c>
      <c r="N525" s="2" t="s">
        <v>38</v>
      </c>
      <c r="O525" s="2" t="s">
        <v>38</v>
      </c>
      <c r="P525" s="2" t="s">
        <v>1373</v>
      </c>
      <c r="Q525" s="2" t="s">
        <v>38</v>
      </c>
      <c r="R525" s="2" t="s">
        <v>1029</v>
      </c>
      <c r="S525" s="2" t="s">
        <v>1368</v>
      </c>
      <c r="T525" s="2" t="s">
        <v>1357</v>
      </c>
      <c r="U525" s="2" t="s">
        <v>205</v>
      </c>
      <c r="V525" s="2" t="s">
        <v>1370</v>
      </c>
      <c r="W525" s="2" t="s">
        <v>38</v>
      </c>
      <c r="X525" s="3">
        <v>41066</v>
      </c>
      <c r="Y525" s="2" t="s">
        <v>1374</v>
      </c>
      <c r="Z525" s="4"/>
      <c r="AA525" s="2" t="s">
        <v>1323</v>
      </c>
      <c r="AB525" s="2" t="s">
        <v>1331</v>
      </c>
      <c r="AC525" s="12">
        <f t="shared" si="48"/>
        <v>2012</v>
      </c>
      <c r="AD525" s="12">
        <f t="shared" si="49"/>
        <v>6</v>
      </c>
      <c r="AE525" s="12">
        <f t="shared" si="50"/>
        <v>6</v>
      </c>
      <c r="AF525" s="16">
        <f t="shared" si="51"/>
        <v>21.3</v>
      </c>
      <c r="AG525" s="16">
        <f t="shared" si="52"/>
        <v>28.8</v>
      </c>
      <c r="AH525" s="16" t="str">
        <f t="shared" si="53"/>
        <v/>
      </c>
    </row>
    <row r="526" spans="1:34" x14ac:dyDescent="0.35">
      <c r="A526" s="2" t="s">
        <v>1375</v>
      </c>
      <c r="B526" s="2" t="s">
        <v>29</v>
      </c>
      <c r="C526" s="2" t="s">
        <v>30</v>
      </c>
      <c r="D526" s="2" t="s">
        <v>31</v>
      </c>
      <c r="E526" s="2" t="s">
        <v>50</v>
      </c>
      <c r="F526" s="2" t="s">
        <v>1043</v>
      </c>
      <c r="G526" s="2" t="s">
        <v>1376</v>
      </c>
      <c r="H526" s="2" t="s">
        <v>96</v>
      </c>
      <c r="I526" s="2" t="s">
        <v>531</v>
      </c>
      <c r="J526" s="2" t="s">
        <v>37</v>
      </c>
      <c r="K526" s="2" t="s">
        <v>38</v>
      </c>
      <c r="L526" s="2" t="s">
        <v>38</v>
      </c>
      <c r="M526" s="2" t="s">
        <v>39</v>
      </c>
      <c r="N526" s="2" t="s">
        <v>38</v>
      </c>
      <c r="O526" s="2" t="s">
        <v>38</v>
      </c>
      <c r="P526" s="2" t="s">
        <v>1377</v>
      </c>
      <c r="Q526" s="2" t="s">
        <v>38</v>
      </c>
      <c r="R526" s="2" t="s">
        <v>1029</v>
      </c>
      <c r="S526" s="2" t="s">
        <v>1378</v>
      </c>
      <c r="T526" s="2" t="s">
        <v>1343</v>
      </c>
      <c r="U526" s="2" t="s">
        <v>418</v>
      </c>
      <c r="V526" s="2" t="s">
        <v>1370</v>
      </c>
      <c r="W526" s="2" t="s">
        <v>38</v>
      </c>
      <c r="X526" s="3">
        <v>41067</v>
      </c>
      <c r="Y526" s="2" t="s">
        <v>1379</v>
      </c>
      <c r="Z526" s="34"/>
      <c r="AA526" s="2" t="s">
        <v>1323</v>
      </c>
      <c r="AB526" s="2" t="s">
        <v>1331</v>
      </c>
      <c r="AC526" s="12">
        <f t="shared" si="48"/>
        <v>2012</v>
      </c>
      <c r="AD526" s="12">
        <f t="shared" si="49"/>
        <v>6</v>
      </c>
      <c r="AE526" s="12">
        <f t="shared" si="50"/>
        <v>7</v>
      </c>
      <c r="AF526" s="16">
        <f t="shared" si="51"/>
        <v>21.3</v>
      </c>
      <c r="AG526" s="16">
        <f t="shared" si="52"/>
        <v>33.700000000000003</v>
      </c>
      <c r="AH526" s="16" t="str">
        <f t="shared" si="53"/>
        <v/>
      </c>
    </row>
    <row r="527" spans="1:34" x14ac:dyDescent="0.35">
      <c r="A527" s="2" t="s">
        <v>1381</v>
      </c>
      <c r="B527" s="2" t="s">
        <v>29</v>
      </c>
      <c r="C527" s="2" t="s">
        <v>30</v>
      </c>
      <c r="D527" s="2" t="s">
        <v>111</v>
      </c>
      <c r="E527" s="2" t="s">
        <v>596</v>
      </c>
      <c r="F527" s="2" t="s">
        <v>1228</v>
      </c>
      <c r="G527" s="2" t="s">
        <v>1376</v>
      </c>
      <c r="H527" s="2" t="s">
        <v>428</v>
      </c>
      <c r="I527" s="2" t="s">
        <v>114</v>
      </c>
      <c r="J527" s="2" t="s">
        <v>37</v>
      </c>
      <c r="K527" s="2" t="s">
        <v>38</v>
      </c>
      <c r="L527" s="2" t="s">
        <v>38</v>
      </c>
      <c r="M527" s="2" t="s">
        <v>39</v>
      </c>
      <c r="N527" s="2" t="s">
        <v>38</v>
      </c>
      <c r="O527" s="2" t="s">
        <v>38</v>
      </c>
      <c r="P527" s="2" t="s">
        <v>478</v>
      </c>
      <c r="Q527" s="2" t="s">
        <v>38</v>
      </c>
      <c r="R527" s="2" t="s">
        <v>1029</v>
      </c>
      <c r="S527" s="2" t="s">
        <v>1385</v>
      </c>
      <c r="T527" s="2" t="s">
        <v>1386</v>
      </c>
      <c r="U527" s="2" t="s">
        <v>465</v>
      </c>
      <c r="V527" s="2" t="s">
        <v>1269</v>
      </c>
      <c r="W527" s="2" t="s">
        <v>38</v>
      </c>
      <c r="X527" s="3">
        <v>41068</v>
      </c>
      <c r="Y527" s="2" t="s">
        <v>1387</v>
      </c>
      <c r="Z527" s="4"/>
      <c r="AA527" s="2" t="s">
        <v>1323</v>
      </c>
      <c r="AB527" s="2" t="s">
        <v>1331</v>
      </c>
      <c r="AC527" s="12">
        <f t="shared" si="48"/>
        <v>2012</v>
      </c>
      <c r="AD527" s="12">
        <f t="shared" si="49"/>
        <v>6</v>
      </c>
      <c r="AE527" s="12">
        <f t="shared" si="50"/>
        <v>8</v>
      </c>
      <c r="AF527" s="16">
        <f t="shared" si="51"/>
        <v>19.5</v>
      </c>
      <c r="AG527" s="16">
        <f t="shared" si="52"/>
        <v>32.799999999999997</v>
      </c>
      <c r="AH527" s="16" t="str">
        <f t="shared" si="53"/>
        <v/>
      </c>
    </row>
    <row r="528" spans="1:34" x14ac:dyDescent="0.35">
      <c r="A528" s="2" t="s">
        <v>1388</v>
      </c>
      <c r="B528" s="2" t="s">
        <v>29</v>
      </c>
      <c r="C528" s="2" t="s">
        <v>30</v>
      </c>
      <c r="D528" s="2" t="s">
        <v>77</v>
      </c>
      <c r="E528" s="2" t="s">
        <v>579</v>
      </c>
      <c r="F528" s="2" t="s">
        <v>818</v>
      </c>
      <c r="G528" s="2" t="s">
        <v>34</v>
      </c>
      <c r="H528" s="2" t="s">
        <v>69</v>
      </c>
      <c r="I528" s="2" t="s">
        <v>114</v>
      </c>
      <c r="J528" s="2" t="s">
        <v>37</v>
      </c>
      <c r="K528" s="2" t="s">
        <v>38</v>
      </c>
      <c r="L528" s="2" t="s">
        <v>38</v>
      </c>
      <c r="M528" s="2" t="s">
        <v>39</v>
      </c>
      <c r="N528" s="2" t="s">
        <v>38</v>
      </c>
      <c r="O528" s="2" t="s">
        <v>38</v>
      </c>
      <c r="P528" s="2" t="s">
        <v>1392</v>
      </c>
      <c r="Q528" s="2" t="s">
        <v>38</v>
      </c>
      <c r="R528" s="2" t="s">
        <v>41</v>
      </c>
      <c r="S528" s="2" t="s">
        <v>1393</v>
      </c>
      <c r="T528" s="2" t="s">
        <v>1386</v>
      </c>
      <c r="U528" s="2" t="s">
        <v>1124</v>
      </c>
      <c r="V528" s="2" t="s">
        <v>1053</v>
      </c>
      <c r="W528" s="2" t="s">
        <v>38</v>
      </c>
      <c r="X528" s="3">
        <v>41069</v>
      </c>
      <c r="Y528" s="2" t="s">
        <v>1394</v>
      </c>
      <c r="Z528" s="34"/>
      <c r="AA528" s="2" t="s">
        <v>1323</v>
      </c>
      <c r="AB528" s="2" t="s">
        <v>1331</v>
      </c>
      <c r="AC528" s="12">
        <f t="shared" si="48"/>
        <v>2012</v>
      </c>
      <c r="AD528" s="12">
        <f t="shared" si="49"/>
        <v>6</v>
      </c>
      <c r="AE528" s="12">
        <f t="shared" si="50"/>
        <v>9</v>
      </c>
      <c r="AF528" s="16">
        <f t="shared" si="51"/>
        <v>20.100000000000001</v>
      </c>
      <c r="AG528" s="16">
        <f t="shared" si="52"/>
        <v>33</v>
      </c>
      <c r="AH528" s="16" t="str">
        <f t="shared" si="53"/>
        <v/>
      </c>
    </row>
    <row r="529" spans="1:34" x14ac:dyDescent="0.35">
      <c r="A529" s="2" t="s">
        <v>1395</v>
      </c>
      <c r="B529" s="2" t="s">
        <v>29</v>
      </c>
      <c r="C529" s="2" t="s">
        <v>30</v>
      </c>
      <c r="D529" s="2" t="s">
        <v>171</v>
      </c>
      <c r="E529" s="2" t="s">
        <v>50</v>
      </c>
      <c r="F529" s="2" t="s">
        <v>1396</v>
      </c>
      <c r="G529" s="2" t="s">
        <v>1372</v>
      </c>
      <c r="H529" s="2" t="s">
        <v>153</v>
      </c>
      <c r="I529" s="2" t="s">
        <v>36</v>
      </c>
      <c r="J529" s="2" t="s">
        <v>37</v>
      </c>
      <c r="K529" s="2" t="s">
        <v>38</v>
      </c>
      <c r="L529" s="2" t="s">
        <v>38</v>
      </c>
      <c r="M529" s="2" t="s">
        <v>39</v>
      </c>
      <c r="N529" s="2" t="s">
        <v>38</v>
      </c>
      <c r="O529" s="2" t="s">
        <v>38</v>
      </c>
      <c r="P529" s="2" t="s">
        <v>277</v>
      </c>
      <c r="Q529" s="2" t="s">
        <v>38</v>
      </c>
      <c r="R529" s="2" t="s">
        <v>1029</v>
      </c>
      <c r="S529" s="2" t="s">
        <v>58</v>
      </c>
      <c r="T529" s="2" t="s">
        <v>1397</v>
      </c>
      <c r="U529" s="2" t="s">
        <v>407</v>
      </c>
      <c r="V529" s="2" t="s">
        <v>1398</v>
      </c>
      <c r="W529" s="2" t="s">
        <v>38</v>
      </c>
      <c r="X529" s="3">
        <v>41070</v>
      </c>
      <c r="Y529" s="2" t="s">
        <v>1399</v>
      </c>
      <c r="Z529" s="4"/>
      <c r="AA529" s="2" t="s">
        <v>1323</v>
      </c>
      <c r="AB529" s="2" t="s">
        <v>1331</v>
      </c>
      <c r="AC529" s="12">
        <f t="shared" si="48"/>
        <v>2012</v>
      </c>
      <c r="AD529" s="12">
        <f t="shared" si="49"/>
        <v>6</v>
      </c>
      <c r="AE529" s="12">
        <f t="shared" si="50"/>
        <v>10</v>
      </c>
      <c r="AF529" s="16">
        <f t="shared" si="51"/>
        <v>21.5</v>
      </c>
      <c r="AG529" s="16">
        <f t="shared" si="52"/>
        <v>31.1</v>
      </c>
      <c r="AH529" s="16" t="str">
        <f t="shared" si="53"/>
        <v/>
      </c>
    </row>
    <row r="530" spans="1:34" x14ac:dyDescent="0.35">
      <c r="A530" s="2" t="s">
        <v>1404</v>
      </c>
      <c r="B530" s="2" t="s">
        <v>29</v>
      </c>
      <c r="C530" s="2" t="s">
        <v>30</v>
      </c>
      <c r="D530" s="2" t="s">
        <v>36</v>
      </c>
      <c r="E530" s="2" t="s">
        <v>596</v>
      </c>
      <c r="F530" s="2" t="s">
        <v>1408</v>
      </c>
      <c r="G530" s="2" t="s">
        <v>34</v>
      </c>
      <c r="H530" s="2" t="s">
        <v>1409</v>
      </c>
      <c r="I530" s="2" t="s">
        <v>128</v>
      </c>
      <c r="J530" s="2" t="s">
        <v>37</v>
      </c>
      <c r="K530" s="2" t="s">
        <v>38</v>
      </c>
      <c r="L530" s="2" t="s">
        <v>38</v>
      </c>
      <c r="M530" s="2" t="s">
        <v>39</v>
      </c>
      <c r="N530" s="2" t="s">
        <v>38</v>
      </c>
      <c r="O530" s="2" t="s">
        <v>38</v>
      </c>
      <c r="P530" s="2" t="s">
        <v>129</v>
      </c>
      <c r="Q530" s="2" t="s">
        <v>38</v>
      </c>
      <c r="R530" s="2" t="s">
        <v>41</v>
      </c>
      <c r="S530" s="2" t="s">
        <v>1410</v>
      </c>
      <c r="T530" s="2" t="s">
        <v>1383</v>
      </c>
      <c r="U530" s="2" t="s">
        <v>534</v>
      </c>
      <c r="V530" s="2" t="s">
        <v>617</v>
      </c>
      <c r="W530" s="2" t="s">
        <v>38</v>
      </c>
      <c r="X530" s="3">
        <v>41071</v>
      </c>
      <c r="Y530" s="2" t="s">
        <v>1411</v>
      </c>
      <c r="Z530" s="4"/>
      <c r="AA530" s="2" t="s">
        <v>1323</v>
      </c>
      <c r="AB530" s="2" t="s">
        <v>1331</v>
      </c>
      <c r="AC530" s="12">
        <f t="shared" si="48"/>
        <v>2012</v>
      </c>
      <c r="AD530" s="12">
        <f t="shared" si="49"/>
        <v>6</v>
      </c>
      <c r="AE530" s="12">
        <f t="shared" si="50"/>
        <v>11</v>
      </c>
      <c r="AF530" s="16">
        <f t="shared" si="51"/>
        <v>18.8</v>
      </c>
      <c r="AG530" s="16">
        <f t="shared" si="52"/>
        <v>32.299999999999997</v>
      </c>
      <c r="AH530" s="16" t="str">
        <f t="shared" si="53"/>
        <v/>
      </c>
    </row>
    <row r="531" spans="1:34" x14ac:dyDescent="0.35">
      <c r="A531" s="2" t="s">
        <v>1412</v>
      </c>
      <c r="B531" s="2" t="s">
        <v>29</v>
      </c>
      <c r="C531" s="2" t="s">
        <v>30</v>
      </c>
      <c r="D531" s="2" t="s">
        <v>36</v>
      </c>
      <c r="E531" s="2" t="s">
        <v>579</v>
      </c>
      <c r="F531" s="2" t="s">
        <v>1418</v>
      </c>
      <c r="G531" s="2" t="s">
        <v>34</v>
      </c>
      <c r="H531" s="2" t="s">
        <v>270</v>
      </c>
      <c r="I531" s="2" t="s">
        <v>531</v>
      </c>
      <c r="J531" s="2" t="s">
        <v>37</v>
      </c>
      <c r="K531" s="2" t="s">
        <v>38</v>
      </c>
      <c r="L531" s="2" t="s">
        <v>38</v>
      </c>
      <c r="M531" s="2" t="s">
        <v>39</v>
      </c>
      <c r="N531" s="2" t="s">
        <v>38</v>
      </c>
      <c r="O531" s="2" t="s">
        <v>38</v>
      </c>
      <c r="P531" s="2" t="s">
        <v>765</v>
      </c>
      <c r="Q531" s="2" t="s">
        <v>38</v>
      </c>
      <c r="R531" s="2" t="s">
        <v>41</v>
      </c>
      <c r="S531" s="2" t="s">
        <v>488</v>
      </c>
      <c r="T531" s="2" t="s">
        <v>1406</v>
      </c>
      <c r="U531" s="2" t="s">
        <v>542</v>
      </c>
      <c r="V531" s="2" t="s">
        <v>1053</v>
      </c>
      <c r="W531" s="2" t="s">
        <v>38</v>
      </c>
      <c r="X531" s="3">
        <v>41072</v>
      </c>
      <c r="Y531" s="2" t="s">
        <v>1419</v>
      </c>
      <c r="Z531" s="34"/>
      <c r="AA531" s="2" t="s">
        <v>1323</v>
      </c>
      <c r="AB531" s="2" t="s">
        <v>1331</v>
      </c>
      <c r="AC531" s="12">
        <f t="shared" si="48"/>
        <v>2012</v>
      </c>
      <c r="AD531" s="12">
        <f t="shared" si="49"/>
        <v>6</v>
      </c>
      <c r="AE531" s="12">
        <f t="shared" si="50"/>
        <v>12</v>
      </c>
      <c r="AF531" s="16">
        <f t="shared" si="51"/>
        <v>20.100000000000001</v>
      </c>
      <c r="AG531" s="16">
        <f t="shared" si="52"/>
        <v>34.1</v>
      </c>
      <c r="AH531" s="16" t="str">
        <f t="shared" si="53"/>
        <v/>
      </c>
    </row>
    <row r="532" spans="1:34" x14ac:dyDescent="0.35">
      <c r="A532" s="2" t="s">
        <v>1420</v>
      </c>
      <c r="B532" s="2" t="s">
        <v>29</v>
      </c>
      <c r="C532" s="2" t="s">
        <v>30</v>
      </c>
      <c r="D532" s="2" t="s">
        <v>128</v>
      </c>
      <c r="E532" s="2" t="s">
        <v>596</v>
      </c>
      <c r="F532" s="2" t="s">
        <v>1421</v>
      </c>
      <c r="G532" s="2" t="s">
        <v>34</v>
      </c>
      <c r="H532" s="2" t="s">
        <v>121</v>
      </c>
      <c r="I532" s="2" t="s">
        <v>583</v>
      </c>
      <c r="J532" s="2" t="s">
        <v>37</v>
      </c>
      <c r="K532" s="2" t="s">
        <v>38</v>
      </c>
      <c r="L532" s="2" t="s">
        <v>38</v>
      </c>
      <c r="M532" s="2" t="s">
        <v>39</v>
      </c>
      <c r="N532" s="2" t="s">
        <v>38</v>
      </c>
      <c r="O532" s="2" t="s">
        <v>38</v>
      </c>
      <c r="P532" s="2" t="s">
        <v>621</v>
      </c>
      <c r="Q532" s="2" t="s">
        <v>38</v>
      </c>
      <c r="R532" s="2" t="s">
        <v>41</v>
      </c>
      <c r="S532" s="2" t="s">
        <v>1422</v>
      </c>
      <c r="T532" s="2" t="s">
        <v>1402</v>
      </c>
      <c r="U532" s="2" t="s">
        <v>1423</v>
      </c>
      <c r="V532" s="2" t="s">
        <v>639</v>
      </c>
      <c r="W532" s="2" t="s">
        <v>38</v>
      </c>
      <c r="X532" s="3">
        <v>41073</v>
      </c>
      <c r="Y532" s="2" t="s">
        <v>1424</v>
      </c>
      <c r="Z532" s="4"/>
      <c r="AA532" s="2" t="s">
        <v>1323</v>
      </c>
      <c r="AB532" s="2" t="s">
        <v>1331</v>
      </c>
      <c r="AC532" s="12">
        <f t="shared" si="48"/>
        <v>2012</v>
      </c>
      <c r="AD532" s="12">
        <f t="shared" si="49"/>
        <v>6</v>
      </c>
      <c r="AE532" s="12">
        <f t="shared" si="50"/>
        <v>13</v>
      </c>
      <c r="AF532" s="16">
        <f t="shared" si="51"/>
        <v>19.2</v>
      </c>
      <c r="AG532" s="16">
        <f t="shared" si="52"/>
        <v>35</v>
      </c>
      <c r="AH532" s="16" t="str">
        <f t="shared" si="53"/>
        <v/>
      </c>
    </row>
    <row r="533" spans="1:34" x14ac:dyDescent="0.35">
      <c r="A533" s="2" t="s">
        <v>1427</v>
      </c>
      <c r="B533" s="2" t="s">
        <v>29</v>
      </c>
      <c r="C533" s="2" t="s">
        <v>30</v>
      </c>
      <c r="D533" s="2" t="s">
        <v>114</v>
      </c>
      <c r="E533" s="2" t="s">
        <v>50</v>
      </c>
      <c r="F533" s="2" t="s">
        <v>1430</v>
      </c>
      <c r="G533" s="2" t="s">
        <v>34</v>
      </c>
      <c r="H533" s="2" t="s">
        <v>144</v>
      </c>
      <c r="I533" s="2" t="s">
        <v>608</v>
      </c>
      <c r="J533" s="2" t="s">
        <v>37</v>
      </c>
      <c r="K533" s="2" t="s">
        <v>38</v>
      </c>
      <c r="L533" s="2" t="s">
        <v>38</v>
      </c>
      <c r="M533" s="2" t="s">
        <v>39</v>
      </c>
      <c r="N533" s="2" t="s">
        <v>38</v>
      </c>
      <c r="O533" s="2" t="s">
        <v>38</v>
      </c>
      <c r="P533" s="2" t="s">
        <v>609</v>
      </c>
      <c r="Q533" s="2" t="s">
        <v>38</v>
      </c>
      <c r="R533" s="2" t="s">
        <v>41</v>
      </c>
      <c r="S533" s="2" t="s">
        <v>1431</v>
      </c>
      <c r="T533" s="2" t="s">
        <v>353</v>
      </c>
      <c r="U533" s="2" t="s">
        <v>691</v>
      </c>
      <c r="V533" s="2" t="s">
        <v>1432</v>
      </c>
      <c r="W533" s="2" t="s">
        <v>38</v>
      </c>
      <c r="X533" s="3">
        <v>41074</v>
      </c>
      <c r="Y533" s="2" t="s">
        <v>1433</v>
      </c>
      <c r="Z533" s="34"/>
      <c r="AA533" s="2" t="s">
        <v>1323</v>
      </c>
      <c r="AB533" s="2" t="s">
        <v>1331</v>
      </c>
      <c r="AC533" s="12">
        <f t="shared" si="48"/>
        <v>2012</v>
      </c>
      <c r="AD533" s="12">
        <f t="shared" si="49"/>
        <v>6</v>
      </c>
      <c r="AE533" s="12">
        <f t="shared" si="50"/>
        <v>14</v>
      </c>
      <c r="AF533" s="16">
        <f t="shared" si="51"/>
        <v>20.8</v>
      </c>
      <c r="AG533" s="16">
        <f t="shared" si="52"/>
        <v>36</v>
      </c>
      <c r="AH533" s="16" t="str">
        <f t="shared" si="53"/>
        <v/>
      </c>
    </row>
    <row r="534" spans="1:34" x14ac:dyDescent="0.35">
      <c r="A534" s="2" t="s">
        <v>1434</v>
      </c>
      <c r="B534" s="2" t="s">
        <v>29</v>
      </c>
      <c r="C534" s="2" t="s">
        <v>30</v>
      </c>
      <c r="D534" s="2" t="s">
        <v>171</v>
      </c>
      <c r="E534" s="2" t="s">
        <v>579</v>
      </c>
      <c r="F534" s="2" t="s">
        <v>1439</v>
      </c>
      <c r="G534" s="2" t="s">
        <v>1440</v>
      </c>
      <c r="H534" s="2" t="s">
        <v>342</v>
      </c>
      <c r="I534" s="2" t="s">
        <v>114</v>
      </c>
      <c r="J534" s="2" t="s">
        <v>37</v>
      </c>
      <c r="K534" s="2" t="s">
        <v>38</v>
      </c>
      <c r="L534" s="2" t="s">
        <v>38</v>
      </c>
      <c r="M534" s="2" t="s">
        <v>39</v>
      </c>
      <c r="N534" s="2" t="s">
        <v>38</v>
      </c>
      <c r="O534" s="2" t="s">
        <v>38</v>
      </c>
      <c r="P534" s="2" t="s">
        <v>1441</v>
      </c>
      <c r="Q534" s="2" t="s">
        <v>38</v>
      </c>
      <c r="R534" s="2" t="s">
        <v>1029</v>
      </c>
      <c r="S534" s="2" t="s">
        <v>1442</v>
      </c>
      <c r="T534" s="2" t="s">
        <v>1443</v>
      </c>
      <c r="U534" s="2" t="s">
        <v>996</v>
      </c>
      <c r="V534" s="2" t="s">
        <v>1301</v>
      </c>
      <c r="W534" s="2" t="s">
        <v>38</v>
      </c>
      <c r="X534" s="3">
        <v>41075</v>
      </c>
      <c r="Y534" s="2" t="s">
        <v>1444</v>
      </c>
      <c r="Z534" s="4"/>
      <c r="AA534" s="2" t="s">
        <v>1323</v>
      </c>
      <c r="AB534" s="2" t="s">
        <v>1331</v>
      </c>
      <c r="AC534" s="12">
        <f t="shared" si="48"/>
        <v>2012</v>
      </c>
      <c r="AD534" s="12">
        <f t="shared" si="49"/>
        <v>6</v>
      </c>
      <c r="AE534" s="12">
        <f t="shared" si="50"/>
        <v>15</v>
      </c>
      <c r="AF534" s="16">
        <f t="shared" si="51"/>
        <v>20.2</v>
      </c>
      <c r="AG534" s="16">
        <f t="shared" si="52"/>
        <v>33.1</v>
      </c>
      <c r="AH534" s="16" t="str">
        <f t="shared" si="53"/>
        <v/>
      </c>
    </row>
    <row r="535" spans="1:34" x14ac:dyDescent="0.35">
      <c r="A535" s="2" t="s">
        <v>1445</v>
      </c>
      <c r="B535" s="2" t="s">
        <v>29</v>
      </c>
      <c r="C535" s="2" t="s">
        <v>30</v>
      </c>
      <c r="D535" s="2" t="s">
        <v>77</v>
      </c>
      <c r="E535" s="2" t="s">
        <v>579</v>
      </c>
      <c r="F535" s="2" t="s">
        <v>1038</v>
      </c>
      <c r="G535" s="2" t="s">
        <v>34</v>
      </c>
      <c r="H535" s="2" t="s">
        <v>54</v>
      </c>
      <c r="I535" s="2" t="s">
        <v>114</v>
      </c>
      <c r="J535" s="2" t="s">
        <v>37</v>
      </c>
      <c r="K535" s="2" t="s">
        <v>38</v>
      </c>
      <c r="L535" s="2" t="s">
        <v>38</v>
      </c>
      <c r="M535" s="2" t="s">
        <v>39</v>
      </c>
      <c r="N535" s="2" t="s">
        <v>38</v>
      </c>
      <c r="O535" s="2" t="s">
        <v>38</v>
      </c>
      <c r="P535" s="2" t="s">
        <v>1446</v>
      </c>
      <c r="Q535" s="2" t="s">
        <v>38</v>
      </c>
      <c r="R535" s="2" t="s">
        <v>41</v>
      </c>
      <c r="S535" s="2" t="s">
        <v>1447</v>
      </c>
      <c r="T535" s="2" t="s">
        <v>1448</v>
      </c>
      <c r="U535" s="2" t="s">
        <v>147</v>
      </c>
      <c r="V535" s="2" t="s">
        <v>1358</v>
      </c>
      <c r="W535" s="2" t="s">
        <v>38</v>
      </c>
      <c r="X535" s="3">
        <v>41076</v>
      </c>
      <c r="Y535" s="2" t="s">
        <v>1449</v>
      </c>
      <c r="Z535" s="34"/>
      <c r="AA535" s="2" t="s">
        <v>1323</v>
      </c>
      <c r="AB535" s="2" t="s">
        <v>1331</v>
      </c>
      <c r="AC535" s="12">
        <f t="shared" si="48"/>
        <v>2012</v>
      </c>
      <c r="AD535" s="12">
        <f t="shared" si="49"/>
        <v>6</v>
      </c>
      <c r="AE535" s="12">
        <f t="shared" si="50"/>
        <v>16</v>
      </c>
      <c r="AF535" s="16">
        <f t="shared" si="51"/>
        <v>20.399999999999999</v>
      </c>
      <c r="AG535" s="16">
        <f t="shared" si="52"/>
        <v>32.6</v>
      </c>
      <c r="AH535" s="16" t="str">
        <f t="shared" si="53"/>
        <v/>
      </c>
    </row>
    <row r="536" spans="1:34" x14ac:dyDescent="0.35">
      <c r="A536" s="2" t="s">
        <v>1453</v>
      </c>
      <c r="B536" s="2" t="s">
        <v>29</v>
      </c>
      <c r="C536" s="2" t="s">
        <v>30</v>
      </c>
      <c r="D536" s="2" t="s">
        <v>214</v>
      </c>
      <c r="E536" s="2" t="s">
        <v>306</v>
      </c>
      <c r="F536" s="2" t="s">
        <v>1273</v>
      </c>
      <c r="G536" s="2" t="s">
        <v>1454</v>
      </c>
      <c r="H536" s="2" t="s">
        <v>180</v>
      </c>
      <c r="I536" s="2" t="s">
        <v>31</v>
      </c>
      <c r="J536" s="2" t="s">
        <v>37</v>
      </c>
      <c r="K536" s="2" t="s">
        <v>38</v>
      </c>
      <c r="L536" s="2" t="s">
        <v>38</v>
      </c>
      <c r="M536" s="2" t="s">
        <v>39</v>
      </c>
      <c r="N536" s="2" t="s">
        <v>38</v>
      </c>
      <c r="O536" s="2" t="s">
        <v>38</v>
      </c>
      <c r="P536" s="2" t="s">
        <v>1455</v>
      </c>
      <c r="Q536" s="2" t="s">
        <v>38</v>
      </c>
      <c r="R536" s="2" t="s">
        <v>1456</v>
      </c>
      <c r="S536" s="2" t="s">
        <v>1368</v>
      </c>
      <c r="T536" s="2" t="s">
        <v>1457</v>
      </c>
      <c r="U536" s="2" t="s">
        <v>796</v>
      </c>
      <c r="V536" s="2" t="s">
        <v>1458</v>
      </c>
      <c r="W536" s="2" t="s">
        <v>38</v>
      </c>
      <c r="X536" s="3">
        <v>41077</v>
      </c>
      <c r="Y536" s="2" t="s">
        <v>1459</v>
      </c>
      <c r="Z536" s="4"/>
      <c r="AA536" s="2" t="s">
        <v>1323</v>
      </c>
      <c r="AB536" s="2" t="s">
        <v>1331</v>
      </c>
      <c r="AC536" s="12">
        <f t="shared" si="48"/>
        <v>2012</v>
      </c>
      <c r="AD536" s="12">
        <f t="shared" si="49"/>
        <v>6</v>
      </c>
      <c r="AE536" s="12">
        <f t="shared" si="50"/>
        <v>17</v>
      </c>
      <c r="AF536" s="16">
        <f t="shared" si="51"/>
        <v>22.6</v>
      </c>
      <c r="AG536" s="16">
        <f t="shared" si="52"/>
        <v>28.2</v>
      </c>
      <c r="AH536" s="16" t="str">
        <f t="shared" si="53"/>
        <v/>
      </c>
    </row>
    <row r="537" spans="1:34" x14ac:dyDescent="0.35">
      <c r="A537" s="2" t="s">
        <v>1464</v>
      </c>
      <c r="B537" s="2" t="s">
        <v>29</v>
      </c>
      <c r="C537" s="2" t="s">
        <v>30</v>
      </c>
      <c r="D537" s="2" t="s">
        <v>31</v>
      </c>
      <c r="E537" s="2" t="s">
        <v>50</v>
      </c>
      <c r="F537" s="2" t="s">
        <v>1038</v>
      </c>
      <c r="G537" s="2" t="s">
        <v>34</v>
      </c>
      <c r="H537" s="2" t="s">
        <v>240</v>
      </c>
      <c r="I537" s="2" t="s">
        <v>36</v>
      </c>
      <c r="J537" s="2" t="s">
        <v>37</v>
      </c>
      <c r="K537" s="2" t="s">
        <v>38</v>
      </c>
      <c r="L537" s="2" t="s">
        <v>38</v>
      </c>
      <c r="M537" s="2" t="s">
        <v>39</v>
      </c>
      <c r="N537" s="2" t="s">
        <v>38</v>
      </c>
      <c r="O537" s="2" t="s">
        <v>38</v>
      </c>
      <c r="P537" s="2" t="s">
        <v>97</v>
      </c>
      <c r="Q537" s="2" t="s">
        <v>38</v>
      </c>
      <c r="R537" s="2" t="s">
        <v>41</v>
      </c>
      <c r="S537" s="2" t="s">
        <v>1465</v>
      </c>
      <c r="T537" s="2" t="s">
        <v>1457</v>
      </c>
      <c r="U537" s="2" t="s">
        <v>100</v>
      </c>
      <c r="V537" s="2" t="s">
        <v>1432</v>
      </c>
      <c r="W537" s="2" t="s">
        <v>38</v>
      </c>
      <c r="X537" s="3">
        <v>41078</v>
      </c>
      <c r="Y537" s="2" t="s">
        <v>1466</v>
      </c>
      <c r="Z537" s="34"/>
      <c r="AA537" s="2" t="s">
        <v>1323</v>
      </c>
      <c r="AB537" s="2" t="s">
        <v>1331</v>
      </c>
      <c r="AC537" s="12">
        <f t="shared" si="48"/>
        <v>2012</v>
      </c>
      <c r="AD537" s="12">
        <f t="shared" si="49"/>
        <v>6</v>
      </c>
      <c r="AE537" s="12">
        <f t="shared" si="50"/>
        <v>18</v>
      </c>
      <c r="AF537" s="16">
        <f t="shared" si="51"/>
        <v>20.8</v>
      </c>
      <c r="AG537" s="16">
        <f t="shared" si="52"/>
        <v>31.4</v>
      </c>
      <c r="AH537" s="16" t="str">
        <f t="shared" si="53"/>
        <v/>
      </c>
    </row>
    <row r="538" spans="1:34" x14ac:dyDescent="0.35">
      <c r="A538" s="2" t="s">
        <v>1471</v>
      </c>
      <c r="B538" s="2" t="s">
        <v>29</v>
      </c>
      <c r="C538" s="2" t="s">
        <v>30</v>
      </c>
      <c r="D538" s="2" t="s">
        <v>77</v>
      </c>
      <c r="E538" s="2" t="s">
        <v>579</v>
      </c>
      <c r="F538" s="2" t="s">
        <v>966</v>
      </c>
      <c r="G538" s="2" t="s">
        <v>34</v>
      </c>
      <c r="H538" s="2" t="s">
        <v>127</v>
      </c>
      <c r="I538" s="2" t="s">
        <v>114</v>
      </c>
      <c r="J538" s="2" t="s">
        <v>37</v>
      </c>
      <c r="K538" s="2" t="s">
        <v>38</v>
      </c>
      <c r="L538" s="2" t="s">
        <v>38</v>
      </c>
      <c r="M538" s="2" t="s">
        <v>39</v>
      </c>
      <c r="N538" s="2" t="s">
        <v>38</v>
      </c>
      <c r="O538" s="2" t="s">
        <v>38</v>
      </c>
      <c r="P538" s="2" t="s">
        <v>115</v>
      </c>
      <c r="Q538" s="2" t="s">
        <v>38</v>
      </c>
      <c r="R538" s="2" t="s">
        <v>41</v>
      </c>
      <c r="S538" s="2" t="s">
        <v>1338</v>
      </c>
      <c r="T538" s="2" t="s">
        <v>1472</v>
      </c>
      <c r="U538" s="2" t="s">
        <v>132</v>
      </c>
      <c r="V538" s="2" t="s">
        <v>1473</v>
      </c>
      <c r="W538" s="2" t="s">
        <v>38</v>
      </c>
      <c r="X538" s="3">
        <v>41079</v>
      </c>
      <c r="Y538" s="2" t="s">
        <v>1474</v>
      </c>
      <c r="Z538" s="4"/>
      <c r="AA538" s="2" t="s">
        <v>1323</v>
      </c>
      <c r="AB538" s="2" t="s">
        <v>1331</v>
      </c>
      <c r="AC538" s="12">
        <f t="shared" si="48"/>
        <v>2012</v>
      </c>
      <c r="AD538" s="12">
        <f t="shared" si="49"/>
        <v>6</v>
      </c>
      <c r="AE538" s="12">
        <f t="shared" si="50"/>
        <v>19</v>
      </c>
      <c r="AF538" s="16">
        <f t="shared" si="51"/>
        <v>20</v>
      </c>
      <c r="AG538" s="16">
        <f t="shared" si="52"/>
        <v>32.5</v>
      </c>
      <c r="AH538" s="16" t="str">
        <f t="shared" si="53"/>
        <v/>
      </c>
    </row>
    <row r="539" spans="1:34" x14ac:dyDescent="0.35">
      <c r="A539" s="2" t="s">
        <v>1478</v>
      </c>
      <c r="B539" s="2" t="s">
        <v>29</v>
      </c>
      <c r="C539" s="2" t="s">
        <v>30</v>
      </c>
      <c r="D539" s="2" t="s">
        <v>77</v>
      </c>
      <c r="E539" s="2" t="s">
        <v>596</v>
      </c>
      <c r="F539" s="2" t="s">
        <v>1232</v>
      </c>
      <c r="G539" s="2" t="s">
        <v>34</v>
      </c>
      <c r="H539" s="2" t="s">
        <v>276</v>
      </c>
      <c r="I539" s="2" t="s">
        <v>114</v>
      </c>
      <c r="J539" s="2" t="s">
        <v>37</v>
      </c>
      <c r="K539" s="2" t="s">
        <v>38</v>
      </c>
      <c r="L539" s="2" t="s">
        <v>38</v>
      </c>
      <c r="M539" s="2" t="s">
        <v>39</v>
      </c>
      <c r="N539" s="2" t="s">
        <v>38</v>
      </c>
      <c r="O539" s="2" t="s">
        <v>38</v>
      </c>
      <c r="P539" s="2" t="s">
        <v>478</v>
      </c>
      <c r="Q539" s="2" t="s">
        <v>38</v>
      </c>
      <c r="R539" s="2" t="s">
        <v>41</v>
      </c>
      <c r="S539" s="2" t="s">
        <v>1482</v>
      </c>
      <c r="T539" s="2" t="s">
        <v>1483</v>
      </c>
      <c r="U539" s="2" t="s">
        <v>147</v>
      </c>
      <c r="V539" s="2" t="s">
        <v>1484</v>
      </c>
      <c r="W539" s="2" t="s">
        <v>38</v>
      </c>
      <c r="X539" s="3">
        <v>41080</v>
      </c>
      <c r="Y539" s="2" t="s">
        <v>1485</v>
      </c>
      <c r="Z539" s="34"/>
      <c r="AA539" s="2" t="s">
        <v>1323</v>
      </c>
      <c r="AB539" s="2" t="s">
        <v>1331</v>
      </c>
      <c r="AC539" s="12">
        <f t="shared" si="48"/>
        <v>2012</v>
      </c>
      <c r="AD539" s="12">
        <f t="shared" si="49"/>
        <v>6</v>
      </c>
      <c r="AE539" s="12">
        <f t="shared" si="50"/>
        <v>20</v>
      </c>
      <c r="AF539" s="16">
        <f t="shared" si="51"/>
        <v>19.399999999999999</v>
      </c>
      <c r="AG539" s="16">
        <f t="shared" si="52"/>
        <v>32.799999999999997</v>
      </c>
      <c r="AH539" s="16" t="str">
        <f t="shared" si="53"/>
        <v/>
      </c>
    </row>
    <row r="540" spans="1:34" x14ac:dyDescent="0.35">
      <c r="A540" s="2" t="s">
        <v>1486</v>
      </c>
      <c r="B540" s="2" t="s">
        <v>29</v>
      </c>
      <c r="C540" s="2" t="s">
        <v>30</v>
      </c>
      <c r="D540" s="2" t="s">
        <v>36</v>
      </c>
      <c r="E540" s="2" t="s">
        <v>55</v>
      </c>
      <c r="F540" s="2" t="s">
        <v>1149</v>
      </c>
      <c r="G540" s="2" t="s">
        <v>34</v>
      </c>
      <c r="H540" s="2" t="s">
        <v>79</v>
      </c>
      <c r="I540" s="2" t="s">
        <v>114</v>
      </c>
      <c r="J540" s="2" t="s">
        <v>37</v>
      </c>
      <c r="K540" s="2" t="s">
        <v>38</v>
      </c>
      <c r="L540" s="2" t="s">
        <v>38</v>
      </c>
      <c r="M540" s="2" t="s">
        <v>39</v>
      </c>
      <c r="N540" s="2" t="s">
        <v>38</v>
      </c>
      <c r="O540" s="2" t="s">
        <v>38</v>
      </c>
      <c r="P540" s="2" t="s">
        <v>1441</v>
      </c>
      <c r="Q540" s="2" t="s">
        <v>38</v>
      </c>
      <c r="R540" s="2" t="s">
        <v>41</v>
      </c>
      <c r="S540" s="2" t="s">
        <v>1491</v>
      </c>
      <c r="T540" s="2" t="s">
        <v>1181</v>
      </c>
      <c r="U540" s="2" t="s">
        <v>542</v>
      </c>
      <c r="V540" s="2" t="s">
        <v>663</v>
      </c>
      <c r="W540" s="2" t="s">
        <v>38</v>
      </c>
      <c r="X540" s="3">
        <v>41081</v>
      </c>
      <c r="Y540" s="2" t="s">
        <v>1492</v>
      </c>
      <c r="Z540" s="34"/>
      <c r="AA540" s="2" t="s">
        <v>1323</v>
      </c>
      <c r="AB540" s="2" t="s">
        <v>1331</v>
      </c>
      <c r="AC540" s="12">
        <f t="shared" si="48"/>
        <v>2012</v>
      </c>
      <c r="AD540" s="12">
        <f t="shared" si="49"/>
        <v>6</v>
      </c>
      <c r="AE540" s="12">
        <f t="shared" si="50"/>
        <v>21</v>
      </c>
      <c r="AF540" s="16">
        <f t="shared" si="51"/>
        <v>18</v>
      </c>
      <c r="AG540" s="16">
        <f t="shared" si="52"/>
        <v>33.1</v>
      </c>
      <c r="AH540" s="16" t="str">
        <f t="shared" si="53"/>
        <v/>
      </c>
    </row>
    <row r="541" spans="1:34" x14ac:dyDescent="0.35">
      <c r="A541" s="2" t="s">
        <v>1493</v>
      </c>
      <c r="B541" s="2" t="s">
        <v>29</v>
      </c>
      <c r="C541" s="2" t="s">
        <v>30</v>
      </c>
      <c r="D541" s="2" t="s">
        <v>36</v>
      </c>
      <c r="E541" s="2" t="s">
        <v>596</v>
      </c>
      <c r="F541" s="2" t="s">
        <v>1106</v>
      </c>
      <c r="G541" s="2" t="s">
        <v>34</v>
      </c>
      <c r="H541" s="2" t="s">
        <v>96</v>
      </c>
      <c r="I541" s="2" t="s">
        <v>114</v>
      </c>
      <c r="J541" s="2" t="s">
        <v>37</v>
      </c>
      <c r="K541" s="2" t="s">
        <v>38</v>
      </c>
      <c r="L541" s="2" t="s">
        <v>38</v>
      </c>
      <c r="M541" s="2" t="s">
        <v>39</v>
      </c>
      <c r="N541" s="2" t="s">
        <v>38</v>
      </c>
      <c r="O541" s="2" t="s">
        <v>38</v>
      </c>
      <c r="P541" s="2" t="s">
        <v>677</v>
      </c>
      <c r="Q541" s="2" t="s">
        <v>38</v>
      </c>
      <c r="R541" s="2" t="s">
        <v>41</v>
      </c>
      <c r="S541" s="2" t="s">
        <v>1496</v>
      </c>
      <c r="T541" s="2" t="s">
        <v>916</v>
      </c>
      <c r="U541" s="2" t="s">
        <v>1249</v>
      </c>
      <c r="V541" s="2" t="s">
        <v>992</v>
      </c>
      <c r="W541" s="2" t="s">
        <v>38</v>
      </c>
      <c r="X541" s="3">
        <v>41082</v>
      </c>
      <c r="Y541" s="2" t="s">
        <v>1497</v>
      </c>
      <c r="Z541" s="4"/>
      <c r="AA541" s="2" t="s">
        <v>1323</v>
      </c>
      <c r="AB541" s="2" t="s">
        <v>1331</v>
      </c>
      <c r="AC541" s="12">
        <f t="shared" si="48"/>
        <v>2012</v>
      </c>
      <c r="AD541" s="12">
        <f t="shared" si="49"/>
        <v>6</v>
      </c>
      <c r="AE541" s="12">
        <f t="shared" si="50"/>
        <v>22</v>
      </c>
      <c r="AF541" s="16">
        <f t="shared" si="51"/>
        <v>18.7</v>
      </c>
      <c r="AG541" s="16">
        <f t="shared" si="52"/>
        <v>32.700000000000003</v>
      </c>
      <c r="AH541" s="16" t="str">
        <f t="shared" si="53"/>
        <v/>
      </c>
    </row>
    <row r="542" spans="1:34" x14ac:dyDescent="0.35">
      <c r="A542" s="2" t="s">
        <v>1498</v>
      </c>
      <c r="B542" s="2" t="s">
        <v>29</v>
      </c>
      <c r="C542" s="2" t="s">
        <v>30</v>
      </c>
      <c r="D542" s="2" t="s">
        <v>111</v>
      </c>
      <c r="E542" s="2" t="s">
        <v>596</v>
      </c>
      <c r="F542" s="2" t="s">
        <v>1043</v>
      </c>
      <c r="G542" s="2" t="s">
        <v>34</v>
      </c>
      <c r="H542" s="2" t="s">
        <v>734</v>
      </c>
      <c r="I542" s="2" t="s">
        <v>114</v>
      </c>
      <c r="J542" s="2" t="s">
        <v>37</v>
      </c>
      <c r="K542" s="2" t="s">
        <v>38</v>
      </c>
      <c r="L542" s="2" t="s">
        <v>38</v>
      </c>
      <c r="M542" s="2" t="s">
        <v>39</v>
      </c>
      <c r="N542" s="2" t="s">
        <v>38</v>
      </c>
      <c r="O542" s="2" t="s">
        <v>38</v>
      </c>
      <c r="P542" s="2" t="s">
        <v>1441</v>
      </c>
      <c r="Q542" s="2" t="s">
        <v>38</v>
      </c>
      <c r="R542" s="2" t="s">
        <v>41</v>
      </c>
      <c r="S542" s="2" t="s">
        <v>1501</v>
      </c>
      <c r="T542" s="2" t="s">
        <v>1004</v>
      </c>
      <c r="U542" s="2" t="s">
        <v>1502</v>
      </c>
      <c r="V542" s="2" t="s">
        <v>1036</v>
      </c>
      <c r="W542" s="2" t="s">
        <v>38</v>
      </c>
      <c r="X542" s="3">
        <v>41083</v>
      </c>
      <c r="Y542" s="2" t="s">
        <v>1503</v>
      </c>
      <c r="Z542" s="4"/>
      <c r="AA542" s="2" t="s">
        <v>1323</v>
      </c>
      <c r="AB542" s="2" t="s">
        <v>1331</v>
      </c>
      <c r="AC542" s="12">
        <f t="shared" si="48"/>
        <v>2012</v>
      </c>
      <c r="AD542" s="12">
        <f t="shared" si="49"/>
        <v>6</v>
      </c>
      <c r="AE542" s="12">
        <f t="shared" si="50"/>
        <v>23</v>
      </c>
      <c r="AF542" s="16">
        <f t="shared" si="51"/>
        <v>19.100000000000001</v>
      </c>
      <c r="AG542" s="16">
        <f t="shared" si="52"/>
        <v>33.1</v>
      </c>
      <c r="AH542" s="16" t="str">
        <f t="shared" si="53"/>
        <v/>
      </c>
    </row>
    <row r="543" spans="1:34" x14ac:dyDescent="0.35">
      <c r="A543" s="2" t="s">
        <v>1504</v>
      </c>
      <c r="B543" s="2" t="s">
        <v>29</v>
      </c>
      <c r="C543" s="2" t="s">
        <v>30</v>
      </c>
      <c r="D543" s="2" t="s">
        <v>171</v>
      </c>
      <c r="E543" s="2" t="s">
        <v>714</v>
      </c>
      <c r="F543" s="2" t="s">
        <v>1172</v>
      </c>
      <c r="G543" s="2" t="s">
        <v>1460</v>
      </c>
      <c r="H543" s="2" t="s">
        <v>35</v>
      </c>
      <c r="I543" s="2" t="s">
        <v>128</v>
      </c>
      <c r="J543" s="2" t="s">
        <v>37</v>
      </c>
      <c r="K543" s="2" t="s">
        <v>38</v>
      </c>
      <c r="L543" s="2" t="s">
        <v>38</v>
      </c>
      <c r="M543" s="2" t="s">
        <v>39</v>
      </c>
      <c r="N543" s="2" t="s">
        <v>38</v>
      </c>
      <c r="O543" s="2" t="s">
        <v>38</v>
      </c>
      <c r="P543" s="2" t="s">
        <v>1505</v>
      </c>
      <c r="Q543" s="2" t="s">
        <v>38</v>
      </c>
      <c r="R543" s="2" t="s">
        <v>1029</v>
      </c>
      <c r="S543" s="2" t="s">
        <v>1506</v>
      </c>
      <c r="T543" s="2" t="s">
        <v>1457</v>
      </c>
      <c r="U543" s="2" t="s">
        <v>175</v>
      </c>
      <c r="V543" s="2" t="s">
        <v>1507</v>
      </c>
      <c r="W543" s="2" t="s">
        <v>38</v>
      </c>
      <c r="X543" s="3">
        <v>41084</v>
      </c>
      <c r="Y543" s="2" t="s">
        <v>1508</v>
      </c>
      <c r="Z543" s="34"/>
      <c r="AA543" s="2" t="s">
        <v>1323</v>
      </c>
      <c r="AB543" s="2" t="s">
        <v>1331</v>
      </c>
      <c r="AC543" s="12">
        <f t="shared" si="48"/>
        <v>2012</v>
      </c>
      <c r="AD543" s="12">
        <f t="shared" si="49"/>
        <v>6</v>
      </c>
      <c r="AE543" s="12">
        <f t="shared" si="50"/>
        <v>24</v>
      </c>
      <c r="AF543" s="16">
        <f t="shared" si="51"/>
        <v>22</v>
      </c>
      <c r="AG543" s="16">
        <f t="shared" si="52"/>
        <v>31.6</v>
      </c>
      <c r="AH543" s="16" t="str">
        <f t="shared" si="53"/>
        <v/>
      </c>
    </row>
    <row r="544" spans="1:34" x14ac:dyDescent="0.35">
      <c r="A544" s="2" t="s">
        <v>1512</v>
      </c>
      <c r="B544" s="2" t="s">
        <v>29</v>
      </c>
      <c r="C544" s="2" t="s">
        <v>30</v>
      </c>
      <c r="D544" s="2" t="s">
        <v>77</v>
      </c>
      <c r="E544" s="2" t="s">
        <v>50</v>
      </c>
      <c r="F544" s="2" t="s">
        <v>1010</v>
      </c>
      <c r="G544" s="2" t="s">
        <v>34</v>
      </c>
      <c r="H544" s="2" t="s">
        <v>1513</v>
      </c>
      <c r="I544" s="2" t="s">
        <v>128</v>
      </c>
      <c r="J544" s="2" t="s">
        <v>37</v>
      </c>
      <c r="K544" s="2" t="s">
        <v>38</v>
      </c>
      <c r="L544" s="2" t="s">
        <v>38</v>
      </c>
      <c r="M544" s="2" t="s">
        <v>39</v>
      </c>
      <c r="N544" s="2" t="s">
        <v>38</v>
      </c>
      <c r="O544" s="2" t="s">
        <v>38</v>
      </c>
      <c r="P544" s="2" t="s">
        <v>1505</v>
      </c>
      <c r="Q544" s="2" t="s">
        <v>38</v>
      </c>
      <c r="R544" s="2" t="s">
        <v>1367</v>
      </c>
      <c r="S544" s="2" t="s">
        <v>1514</v>
      </c>
      <c r="T544" s="2" t="s">
        <v>1406</v>
      </c>
      <c r="U544" s="2" t="s">
        <v>132</v>
      </c>
      <c r="V544" s="2" t="s">
        <v>1364</v>
      </c>
      <c r="W544" s="2" t="s">
        <v>38</v>
      </c>
      <c r="X544" s="3">
        <v>41085</v>
      </c>
      <c r="Y544" s="2" t="s">
        <v>1515</v>
      </c>
      <c r="Z544" s="4"/>
      <c r="AA544" s="2" t="s">
        <v>1323</v>
      </c>
      <c r="AB544" s="2" t="s">
        <v>1331</v>
      </c>
      <c r="AC544" s="12">
        <f t="shared" si="48"/>
        <v>2012</v>
      </c>
      <c r="AD544" s="12">
        <f t="shared" si="49"/>
        <v>6</v>
      </c>
      <c r="AE544" s="12">
        <f t="shared" si="50"/>
        <v>25</v>
      </c>
      <c r="AF544" s="16">
        <f t="shared" si="51"/>
        <v>20.7</v>
      </c>
      <c r="AG544" s="16">
        <f t="shared" si="52"/>
        <v>31.6</v>
      </c>
      <c r="AH544" s="16" t="str">
        <f t="shared" si="53"/>
        <v/>
      </c>
    </row>
    <row r="545" spans="1:34" x14ac:dyDescent="0.35">
      <c r="A545" s="2" t="s">
        <v>1519</v>
      </c>
      <c r="B545" s="2" t="s">
        <v>29</v>
      </c>
      <c r="C545" s="2" t="s">
        <v>30</v>
      </c>
      <c r="D545" s="2" t="s">
        <v>171</v>
      </c>
      <c r="E545" s="2" t="s">
        <v>579</v>
      </c>
      <c r="F545" s="2" t="s">
        <v>818</v>
      </c>
      <c r="G545" s="2" t="s">
        <v>34</v>
      </c>
      <c r="H545" s="2" t="s">
        <v>96</v>
      </c>
      <c r="I545" s="2" t="s">
        <v>128</v>
      </c>
      <c r="J545" s="2" t="s">
        <v>37</v>
      </c>
      <c r="K545" s="2" t="s">
        <v>38</v>
      </c>
      <c r="L545" s="2" t="s">
        <v>38</v>
      </c>
      <c r="M545" s="2" t="s">
        <v>39</v>
      </c>
      <c r="N545" s="2" t="s">
        <v>38</v>
      </c>
      <c r="O545" s="2" t="s">
        <v>38</v>
      </c>
      <c r="P545" s="2" t="s">
        <v>1520</v>
      </c>
      <c r="Q545" s="2" t="s">
        <v>38</v>
      </c>
      <c r="R545" s="2" t="s">
        <v>41</v>
      </c>
      <c r="S545" s="2" t="s">
        <v>1521</v>
      </c>
      <c r="T545" s="2" t="s">
        <v>1357</v>
      </c>
      <c r="U545" s="2" t="s">
        <v>265</v>
      </c>
      <c r="V545" s="2" t="s">
        <v>1291</v>
      </c>
      <c r="W545" s="2" t="s">
        <v>38</v>
      </c>
      <c r="X545" s="3">
        <v>41086</v>
      </c>
      <c r="Y545" s="2" t="s">
        <v>1522</v>
      </c>
      <c r="Z545" s="34"/>
      <c r="AA545" s="2" t="s">
        <v>1323</v>
      </c>
      <c r="AB545" s="2" t="s">
        <v>1331</v>
      </c>
      <c r="AC545" s="12">
        <f t="shared" si="48"/>
        <v>2012</v>
      </c>
      <c r="AD545" s="12">
        <f t="shared" si="49"/>
        <v>6</v>
      </c>
      <c r="AE545" s="12">
        <f t="shared" si="50"/>
        <v>26</v>
      </c>
      <c r="AF545" s="16">
        <f t="shared" si="51"/>
        <v>20.3</v>
      </c>
      <c r="AG545" s="16">
        <f t="shared" si="52"/>
        <v>32.1</v>
      </c>
      <c r="AH545" s="16" t="str">
        <f t="shared" si="53"/>
        <v/>
      </c>
    </row>
    <row r="546" spans="1:34" x14ac:dyDescent="0.35">
      <c r="A546" s="2" t="s">
        <v>1526</v>
      </c>
      <c r="B546" s="2" t="s">
        <v>29</v>
      </c>
      <c r="C546" s="2" t="s">
        <v>30</v>
      </c>
      <c r="D546" s="2" t="s">
        <v>31</v>
      </c>
      <c r="E546" s="2" t="s">
        <v>579</v>
      </c>
      <c r="F546" s="2" t="s">
        <v>1396</v>
      </c>
      <c r="G546" s="2" t="s">
        <v>34</v>
      </c>
      <c r="H546" s="2" t="s">
        <v>331</v>
      </c>
      <c r="I546" s="2" t="s">
        <v>36</v>
      </c>
      <c r="J546" s="2" t="s">
        <v>37</v>
      </c>
      <c r="K546" s="2" t="s">
        <v>38</v>
      </c>
      <c r="L546" s="2" t="s">
        <v>38</v>
      </c>
      <c r="M546" s="2" t="s">
        <v>39</v>
      </c>
      <c r="N546" s="2" t="s">
        <v>38</v>
      </c>
      <c r="O546" s="2" t="s">
        <v>38</v>
      </c>
      <c r="P546" s="2" t="s">
        <v>277</v>
      </c>
      <c r="Q546" s="2" t="s">
        <v>38</v>
      </c>
      <c r="R546" s="2" t="s">
        <v>1367</v>
      </c>
      <c r="S546" s="2" t="s">
        <v>1529</v>
      </c>
      <c r="T546" s="2" t="s">
        <v>43</v>
      </c>
      <c r="U546" s="2" t="s">
        <v>44</v>
      </c>
      <c r="V546" s="2" t="s">
        <v>1352</v>
      </c>
      <c r="W546" s="2" t="s">
        <v>38</v>
      </c>
      <c r="X546" s="3">
        <v>41087</v>
      </c>
      <c r="Y546" s="2" t="s">
        <v>1530</v>
      </c>
      <c r="Z546" s="34"/>
      <c r="AA546" s="2" t="s">
        <v>1323</v>
      </c>
      <c r="AB546" s="2" t="s">
        <v>1331</v>
      </c>
      <c r="AC546" s="12">
        <f t="shared" si="48"/>
        <v>2012</v>
      </c>
      <c r="AD546" s="12">
        <f t="shared" si="49"/>
        <v>6</v>
      </c>
      <c r="AE546" s="12">
        <f t="shared" si="50"/>
        <v>27</v>
      </c>
      <c r="AF546" s="16">
        <f t="shared" si="51"/>
        <v>19.899999999999999</v>
      </c>
      <c r="AG546" s="16">
        <f t="shared" si="52"/>
        <v>31.1</v>
      </c>
      <c r="AH546" s="16" t="str">
        <f t="shared" si="53"/>
        <v/>
      </c>
    </row>
    <row r="547" spans="1:34" x14ac:dyDescent="0.35">
      <c r="A547" s="2" t="s">
        <v>1531</v>
      </c>
      <c r="B547" s="2" t="s">
        <v>29</v>
      </c>
      <c r="C547" s="2" t="s">
        <v>30</v>
      </c>
      <c r="D547" s="2" t="s">
        <v>171</v>
      </c>
      <c r="E547" s="2" t="s">
        <v>579</v>
      </c>
      <c r="F547" s="2" t="s">
        <v>1439</v>
      </c>
      <c r="G547" s="2" t="s">
        <v>34</v>
      </c>
      <c r="H547" s="2" t="s">
        <v>153</v>
      </c>
      <c r="I547" s="2" t="s">
        <v>128</v>
      </c>
      <c r="J547" s="2" t="s">
        <v>37</v>
      </c>
      <c r="K547" s="2" t="s">
        <v>38</v>
      </c>
      <c r="L547" s="2" t="s">
        <v>38</v>
      </c>
      <c r="M547" s="2" t="s">
        <v>1532</v>
      </c>
      <c r="N547" s="2" t="s">
        <v>38</v>
      </c>
      <c r="O547" s="2" t="s">
        <v>38</v>
      </c>
      <c r="P547" s="2" t="s">
        <v>487</v>
      </c>
      <c r="Q547" s="2" t="s">
        <v>38</v>
      </c>
      <c r="R547" s="2" t="s">
        <v>41</v>
      </c>
      <c r="S547" s="2" t="s">
        <v>1393</v>
      </c>
      <c r="T547" s="2" t="s">
        <v>1533</v>
      </c>
      <c r="U547" s="2" t="s">
        <v>996</v>
      </c>
      <c r="V547" s="2" t="s">
        <v>1301</v>
      </c>
      <c r="W547" s="2" t="s">
        <v>38</v>
      </c>
      <c r="X547" s="3">
        <v>41088</v>
      </c>
      <c r="Y547" s="2" t="s">
        <v>1534</v>
      </c>
      <c r="Z547" s="4"/>
      <c r="AA547" s="2" t="s">
        <v>1323</v>
      </c>
      <c r="AB547" s="2" t="s">
        <v>1331</v>
      </c>
      <c r="AC547" s="12">
        <f t="shared" si="48"/>
        <v>2012</v>
      </c>
      <c r="AD547" s="12">
        <f t="shared" si="49"/>
        <v>6</v>
      </c>
      <c r="AE547" s="12">
        <f t="shared" si="50"/>
        <v>28</v>
      </c>
      <c r="AF547" s="16">
        <f t="shared" si="51"/>
        <v>20.2</v>
      </c>
      <c r="AG547" s="16">
        <f t="shared" si="52"/>
        <v>31.8</v>
      </c>
      <c r="AH547" s="16" t="str">
        <f t="shared" si="53"/>
        <v/>
      </c>
    </row>
    <row r="548" spans="1:34" x14ac:dyDescent="0.35">
      <c r="A548" s="2" t="s">
        <v>1538</v>
      </c>
      <c r="B548" s="2" t="s">
        <v>29</v>
      </c>
      <c r="C548" s="2" t="s">
        <v>30</v>
      </c>
      <c r="D548" s="2" t="s">
        <v>77</v>
      </c>
      <c r="E548" s="2" t="s">
        <v>579</v>
      </c>
      <c r="F548" s="2" t="s">
        <v>1118</v>
      </c>
      <c r="G548" s="2" t="s">
        <v>34</v>
      </c>
      <c r="H548" s="2" t="s">
        <v>947</v>
      </c>
      <c r="I548" s="2" t="s">
        <v>128</v>
      </c>
      <c r="J548" s="2" t="s">
        <v>37</v>
      </c>
      <c r="K548" s="2" t="s">
        <v>38</v>
      </c>
      <c r="L548" s="2" t="s">
        <v>38</v>
      </c>
      <c r="M548" s="2" t="s">
        <v>39</v>
      </c>
      <c r="N548" s="2" t="s">
        <v>38</v>
      </c>
      <c r="O548" s="2" t="s">
        <v>38</v>
      </c>
      <c r="P548" s="2" t="s">
        <v>1539</v>
      </c>
      <c r="Q548" s="2" t="s">
        <v>38</v>
      </c>
      <c r="R548" s="2" t="s">
        <v>41</v>
      </c>
      <c r="S548" s="2" t="s">
        <v>1540</v>
      </c>
      <c r="T548" s="2" t="s">
        <v>1386</v>
      </c>
      <c r="U548" s="2" t="s">
        <v>442</v>
      </c>
      <c r="V548" s="2" t="s">
        <v>1291</v>
      </c>
      <c r="W548" s="2" t="s">
        <v>38</v>
      </c>
      <c r="X548" s="3">
        <v>41089</v>
      </c>
      <c r="Y548" s="2" t="s">
        <v>1541</v>
      </c>
      <c r="Z548" s="34"/>
      <c r="AA548" s="2" t="s">
        <v>1323</v>
      </c>
      <c r="AB548" s="2" t="s">
        <v>1331</v>
      </c>
      <c r="AC548" s="12">
        <f t="shared" si="48"/>
        <v>2012</v>
      </c>
      <c r="AD548" s="12">
        <f t="shared" si="49"/>
        <v>6</v>
      </c>
      <c r="AE548" s="12">
        <f t="shared" si="50"/>
        <v>29</v>
      </c>
      <c r="AF548" s="16">
        <f t="shared" si="51"/>
        <v>20.3</v>
      </c>
      <c r="AG548" s="16">
        <f t="shared" si="52"/>
        <v>32.4</v>
      </c>
      <c r="AH548" s="16" t="str">
        <f t="shared" si="53"/>
        <v/>
      </c>
    </row>
    <row r="549" spans="1:34" x14ac:dyDescent="0.35">
      <c r="A549" s="2" t="s">
        <v>1545</v>
      </c>
      <c r="B549" s="2" t="s">
        <v>29</v>
      </c>
      <c r="C549" s="2" t="s">
        <v>30</v>
      </c>
      <c r="D549" s="2" t="s">
        <v>111</v>
      </c>
      <c r="E549" s="2" t="s">
        <v>596</v>
      </c>
      <c r="F549" s="2" t="s">
        <v>1546</v>
      </c>
      <c r="G549" s="2" t="s">
        <v>34</v>
      </c>
      <c r="H549" s="2" t="s">
        <v>386</v>
      </c>
      <c r="I549" s="2" t="s">
        <v>114</v>
      </c>
      <c r="J549" s="2" t="s">
        <v>37</v>
      </c>
      <c r="K549" s="2" t="s">
        <v>38</v>
      </c>
      <c r="L549" s="2" t="s">
        <v>38</v>
      </c>
      <c r="M549" s="2" t="s">
        <v>39</v>
      </c>
      <c r="N549" s="2" t="s">
        <v>38</v>
      </c>
      <c r="O549" s="2" t="s">
        <v>38</v>
      </c>
      <c r="P549" s="2" t="s">
        <v>1547</v>
      </c>
      <c r="Q549" s="2" t="s">
        <v>38</v>
      </c>
      <c r="R549" s="2" t="s">
        <v>41</v>
      </c>
      <c r="S549" s="2" t="s">
        <v>1548</v>
      </c>
      <c r="T549" s="2" t="s">
        <v>916</v>
      </c>
      <c r="U549" s="2" t="s">
        <v>1502</v>
      </c>
      <c r="V549" s="2" t="s">
        <v>992</v>
      </c>
      <c r="W549" s="2" t="s">
        <v>38</v>
      </c>
      <c r="X549" s="3">
        <v>41090</v>
      </c>
      <c r="Y549" s="2" t="s">
        <v>1549</v>
      </c>
      <c r="Z549" s="4"/>
      <c r="AA549" s="2" t="s">
        <v>1323</v>
      </c>
      <c r="AB549" s="2" t="s">
        <v>1550</v>
      </c>
      <c r="AC549" s="12">
        <f t="shared" si="48"/>
        <v>2012</v>
      </c>
      <c r="AD549" s="12">
        <f t="shared" si="49"/>
        <v>6</v>
      </c>
      <c r="AE549" s="12">
        <f t="shared" si="50"/>
        <v>30</v>
      </c>
      <c r="AF549" s="16">
        <f t="shared" si="51"/>
        <v>18.7</v>
      </c>
      <c r="AG549" s="16">
        <f t="shared" si="52"/>
        <v>33.200000000000003</v>
      </c>
      <c r="AH549" s="16" t="str">
        <f t="shared" si="53"/>
        <v/>
      </c>
    </row>
    <row r="550" spans="1:34" x14ac:dyDescent="0.35">
      <c r="A550" s="2" t="s">
        <v>1554</v>
      </c>
      <c r="B550" s="2" t="s">
        <v>29</v>
      </c>
      <c r="C550" s="2" t="s">
        <v>30</v>
      </c>
      <c r="D550" s="2" t="s">
        <v>31</v>
      </c>
      <c r="E550" s="2" t="s">
        <v>714</v>
      </c>
      <c r="F550" s="2" t="s">
        <v>1555</v>
      </c>
      <c r="G550" s="2" t="s">
        <v>34</v>
      </c>
      <c r="H550" s="2" t="s">
        <v>597</v>
      </c>
      <c r="I550" s="2" t="s">
        <v>114</v>
      </c>
      <c r="J550" s="2" t="s">
        <v>37</v>
      </c>
      <c r="K550" s="2" t="s">
        <v>38</v>
      </c>
      <c r="L550" s="2" t="s">
        <v>38</v>
      </c>
      <c r="M550" s="2" t="s">
        <v>39</v>
      </c>
      <c r="N550" s="2" t="s">
        <v>38</v>
      </c>
      <c r="O550" s="2" t="s">
        <v>38</v>
      </c>
      <c r="P550" s="2" t="s">
        <v>1392</v>
      </c>
      <c r="Q550" s="2" t="s">
        <v>38</v>
      </c>
      <c r="R550" s="2" t="s">
        <v>41</v>
      </c>
      <c r="S550" s="2" t="s">
        <v>1556</v>
      </c>
      <c r="T550" s="2" t="s">
        <v>1557</v>
      </c>
      <c r="U550" s="2" t="s">
        <v>1558</v>
      </c>
      <c r="V550" s="2" t="s">
        <v>1507</v>
      </c>
      <c r="W550" s="2" t="s">
        <v>38</v>
      </c>
      <c r="X550" s="3">
        <v>41091</v>
      </c>
      <c r="Y550" s="2" t="s">
        <v>1559</v>
      </c>
      <c r="Z550" s="4"/>
      <c r="AA550" s="2" t="s">
        <v>1323</v>
      </c>
      <c r="AB550" s="2" t="s">
        <v>1550</v>
      </c>
      <c r="AC550" s="12">
        <f t="shared" si="48"/>
        <v>2012</v>
      </c>
      <c r="AD550" s="12">
        <f t="shared" si="49"/>
        <v>7</v>
      </c>
      <c r="AE550" s="12">
        <f t="shared" si="50"/>
        <v>1</v>
      </c>
      <c r="AF550" s="16">
        <f t="shared" si="51"/>
        <v>22</v>
      </c>
      <c r="AG550" s="16">
        <f t="shared" si="52"/>
        <v>33</v>
      </c>
      <c r="AH550" s="16" t="str">
        <f t="shared" si="53"/>
        <v/>
      </c>
    </row>
    <row r="551" spans="1:34" x14ac:dyDescent="0.35">
      <c r="A551" s="2" t="s">
        <v>1563</v>
      </c>
      <c r="B551" s="2" t="s">
        <v>29</v>
      </c>
      <c r="C551" s="2" t="s">
        <v>30</v>
      </c>
      <c r="D551" s="2" t="s">
        <v>128</v>
      </c>
      <c r="E551" s="2" t="s">
        <v>50</v>
      </c>
      <c r="F551" s="2" t="s">
        <v>1568</v>
      </c>
      <c r="G551" s="2" t="s">
        <v>34</v>
      </c>
      <c r="H551" s="2" t="s">
        <v>1564</v>
      </c>
      <c r="I551" s="2" t="s">
        <v>114</v>
      </c>
      <c r="J551" s="2" t="s">
        <v>37</v>
      </c>
      <c r="K551" s="2" t="s">
        <v>38</v>
      </c>
      <c r="L551" s="2" t="s">
        <v>38</v>
      </c>
      <c r="M551" s="2" t="s">
        <v>39</v>
      </c>
      <c r="N551" s="2" t="s">
        <v>38</v>
      </c>
      <c r="O551" s="2" t="s">
        <v>38</v>
      </c>
      <c r="P551" s="2" t="s">
        <v>1569</v>
      </c>
      <c r="Q551" s="2" t="s">
        <v>38</v>
      </c>
      <c r="R551" s="2" t="s">
        <v>41</v>
      </c>
      <c r="S551" s="2" t="s">
        <v>1570</v>
      </c>
      <c r="T551" s="2" t="s">
        <v>1011</v>
      </c>
      <c r="U551" s="2" t="s">
        <v>1423</v>
      </c>
      <c r="V551" s="2" t="s">
        <v>60</v>
      </c>
      <c r="W551" s="2" t="s">
        <v>38</v>
      </c>
      <c r="X551" s="3">
        <v>41092</v>
      </c>
      <c r="Y551" s="2" t="s">
        <v>1571</v>
      </c>
      <c r="Z551" s="34"/>
      <c r="AA551" s="2" t="s">
        <v>1323</v>
      </c>
      <c r="AB551" s="2" t="s">
        <v>1550</v>
      </c>
      <c r="AC551" s="12">
        <f t="shared" si="48"/>
        <v>2012</v>
      </c>
      <c r="AD551" s="12">
        <f t="shared" si="49"/>
        <v>7</v>
      </c>
      <c r="AE551" s="12">
        <f t="shared" si="50"/>
        <v>2</v>
      </c>
      <c r="AF551" s="16">
        <f t="shared" si="51"/>
        <v>20.6</v>
      </c>
      <c r="AG551" s="16">
        <f t="shared" si="52"/>
        <v>33.4</v>
      </c>
      <c r="AH551" s="16" t="str">
        <f t="shared" si="53"/>
        <v/>
      </c>
    </row>
    <row r="552" spans="1:34" x14ac:dyDescent="0.35">
      <c r="A552" s="2" t="s">
        <v>1572</v>
      </c>
      <c r="B552" s="2" t="s">
        <v>29</v>
      </c>
      <c r="C552" s="2" t="s">
        <v>30</v>
      </c>
      <c r="D552" s="2" t="s">
        <v>171</v>
      </c>
      <c r="E552" s="2" t="s">
        <v>579</v>
      </c>
      <c r="F552" s="2" t="s">
        <v>1575</v>
      </c>
      <c r="G552" s="2" t="s">
        <v>34</v>
      </c>
      <c r="H552" s="2" t="s">
        <v>69</v>
      </c>
      <c r="I552" s="2" t="s">
        <v>128</v>
      </c>
      <c r="J552" s="2" t="s">
        <v>37</v>
      </c>
      <c r="K552" s="2" t="s">
        <v>38</v>
      </c>
      <c r="L552" s="2" t="s">
        <v>38</v>
      </c>
      <c r="M552" s="2" t="s">
        <v>1532</v>
      </c>
      <c r="N552" s="2" t="s">
        <v>38</v>
      </c>
      <c r="O552" s="2" t="s">
        <v>38</v>
      </c>
      <c r="P552" s="2" t="s">
        <v>523</v>
      </c>
      <c r="Q552" s="2" t="s">
        <v>38</v>
      </c>
      <c r="R552" s="2" t="s">
        <v>41</v>
      </c>
      <c r="S552" s="2" t="s">
        <v>1561</v>
      </c>
      <c r="T552" s="2" t="s">
        <v>1457</v>
      </c>
      <c r="U552" s="2" t="s">
        <v>265</v>
      </c>
      <c r="V552" s="2" t="s">
        <v>1291</v>
      </c>
      <c r="W552" s="2" t="s">
        <v>38</v>
      </c>
      <c r="X552" s="3">
        <v>41093</v>
      </c>
      <c r="Y552" s="2" t="s">
        <v>1576</v>
      </c>
      <c r="Z552" s="34"/>
      <c r="AA552" s="2" t="s">
        <v>1323</v>
      </c>
      <c r="AB552" s="2" t="s">
        <v>1550</v>
      </c>
      <c r="AC552" s="12">
        <f t="shared" si="48"/>
        <v>2012</v>
      </c>
      <c r="AD552" s="12">
        <f t="shared" si="49"/>
        <v>7</v>
      </c>
      <c r="AE552" s="12">
        <f t="shared" si="50"/>
        <v>3</v>
      </c>
      <c r="AF552" s="16">
        <f t="shared" si="51"/>
        <v>20.3</v>
      </c>
      <c r="AG552" s="16">
        <f t="shared" si="52"/>
        <v>32</v>
      </c>
      <c r="AH552" s="16" t="str">
        <f t="shared" si="53"/>
        <v/>
      </c>
    </row>
    <row r="553" spans="1:34" x14ac:dyDescent="0.35">
      <c r="A553" s="2" t="s">
        <v>1577</v>
      </c>
      <c r="B553" s="2" t="s">
        <v>29</v>
      </c>
      <c r="C553" s="2" t="s">
        <v>30</v>
      </c>
      <c r="D553" s="2" t="s">
        <v>200</v>
      </c>
      <c r="E553" s="2" t="s">
        <v>579</v>
      </c>
      <c r="F553" s="2" t="s">
        <v>1582</v>
      </c>
      <c r="G553" s="2" t="s">
        <v>1460</v>
      </c>
      <c r="H553" s="2" t="s">
        <v>96</v>
      </c>
      <c r="I553" s="2" t="s">
        <v>31</v>
      </c>
      <c r="J553" s="2" t="s">
        <v>37</v>
      </c>
      <c r="K553" s="2" t="s">
        <v>38</v>
      </c>
      <c r="L553" s="2" t="s">
        <v>38</v>
      </c>
      <c r="M553" s="2" t="s">
        <v>39</v>
      </c>
      <c r="N553" s="2" t="s">
        <v>38</v>
      </c>
      <c r="O553" s="2" t="s">
        <v>38</v>
      </c>
      <c r="P553" s="2" t="s">
        <v>1455</v>
      </c>
      <c r="Q553" s="2" t="s">
        <v>38</v>
      </c>
      <c r="R553" s="2" t="s">
        <v>1029</v>
      </c>
      <c r="S553" s="2" t="s">
        <v>1583</v>
      </c>
      <c r="T553" s="2" t="s">
        <v>1543</v>
      </c>
      <c r="U553" s="2" t="s">
        <v>236</v>
      </c>
      <c r="V553" s="2" t="s">
        <v>1291</v>
      </c>
      <c r="W553" s="2" t="s">
        <v>38</v>
      </c>
      <c r="X553" s="3">
        <v>41094</v>
      </c>
      <c r="Y553" s="2" t="s">
        <v>1584</v>
      </c>
      <c r="Z553" s="4"/>
      <c r="AA553" s="2" t="s">
        <v>1323</v>
      </c>
      <c r="AB553" s="2" t="s">
        <v>1550</v>
      </c>
      <c r="AC553" s="12">
        <f t="shared" si="48"/>
        <v>2012</v>
      </c>
      <c r="AD553" s="12">
        <f t="shared" si="49"/>
        <v>7</v>
      </c>
      <c r="AE553" s="12">
        <f t="shared" si="50"/>
        <v>4</v>
      </c>
      <c r="AF553" s="16">
        <f t="shared" si="51"/>
        <v>20.3</v>
      </c>
      <c r="AG553" s="16">
        <f t="shared" si="52"/>
        <v>28.2</v>
      </c>
      <c r="AH553" s="16" t="str">
        <f t="shared" si="53"/>
        <v/>
      </c>
    </row>
    <row r="554" spans="1:34" x14ac:dyDescent="0.35">
      <c r="A554" s="2" t="s">
        <v>1585</v>
      </c>
      <c r="B554" s="2" t="s">
        <v>29</v>
      </c>
      <c r="C554" s="2" t="s">
        <v>30</v>
      </c>
      <c r="D554" s="2" t="s">
        <v>31</v>
      </c>
      <c r="E554" s="2" t="s">
        <v>579</v>
      </c>
      <c r="F554" s="2" t="s">
        <v>1588</v>
      </c>
      <c r="G554" s="2" t="s">
        <v>1460</v>
      </c>
      <c r="H554" s="2" t="s">
        <v>1589</v>
      </c>
      <c r="I554" s="2" t="s">
        <v>111</v>
      </c>
      <c r="J554" s="2" t="s">
        <v>37</v>
      </c>
      <c r="K554" s="2" t="s">
        <v>38</v>
      </c>
      <c r="L554" s="2" t="s">
        <v>38</v>
      </c>
      <c r="M554" s="2" t="s">
        <v>1532</v>
      </c>
      <c r="N554" s="2" t="s">
        <v>38</v>
      </c>
      <c r="O554" s="2" t="s">
        <v>38</v>
      </c>
      <c r="P554" s="2" t="s">
        <v>1590</v>
      </c>
      <c r="Q554" s="2" t="s">
        <v>38</v>
      </c>
      <c r="R554" s="2" t="s">
        <v>1029</v>
      </c>
      <c r="S554" s="2" t="s">
        <v>1591</v>
      </c>
      <c r="T554" s="2" t="s">
        <v>1489</v>
      </c>
      <c r="U554" s="2" t="s">
        <v>418</v>
      </c>
      <c r="V554" s="2" t="s">
        <v>1473</v>
      </c>
      <c r="W554" s="2" t="s">
        <v>38</v>
      </c>
      <c r="X554" s="3">
        <v>41095</v>
      </c>
      <c r="Y554" s="2" t="s">
        <v>1592</v>
      </c>
      <c r="Z554" s="4"/>
      <c r="AA554" s="2" t="s">
        <v>1323</v>
      </c>
      <c r="AB554" s="2" t="s">
        <v>1550</v>
      </c>
      <c r="AC554" s="12">
        <f t="shared" si="48"/>
        <v>2012</v>
      </c>
      <c r="AD554" s="12">
        <f t="shared" si="49"/>
        <v>7</v>
      </c>
      <c r="AE554" s="12">
        <f t="shared" si="50"/>
        <v>5</v>
      </c>
      <c r="AF554" s="16">
        <f t="shared" si="51"/>
        <v>20</v>
      </c>
      <c r="AG554" s="16">
        <f t="shared" si="52"/>
        <v>30.2</v>
      </c>
      <c r="AH554" s="16" t="str">
        <f t="shared" si="53"/>
        <v/>
      </c>
    </row>
    <row r="555" spans="1:34" x14ac:dyDescent="0.35">
      <c r="A555" s="2" t="s">
        <v>1593</v>
      </c>
      <c r="B555" s="2" t="s">
        <v>29</v>
      </c>
      <c r="C555" s="2" t="s">
        <v>30</v>
      </c>
      <c r="D555" s="2" t="s">
        <v>200</v>
      </c>
      <c r="E555" s="2" t="s">
        <v>714</v>
      </c>
      <c r="F555" s="2" t="s">
        <v>1273</v>
      </c>
      <c r="G555" s="2" t="s">
        <v>1596</v>
      </c>
      <c r="H555" s="2" t="s">
        <v>379</v>
      </c>
      <c r="I555" s="2" t="s">
        <v>77</v>
      </c>
      <c r="J555" s="2" t="s">
        <v>37</v>
      </c>
      <c r="K555" s="2" t="s">
        <v>38</v>
      </c>
      <c r="L555" s="2" t="s">
        <v>38</v>
      </c>
      <c r="M555" s="2" t="s">
        <v>1597</v>
      </c>
      <c r="N555" s="2" t="s">
        <v>38</v>
      </c>
      <c r="O555" s="2" t="s">
        <v>38</v>
      </c>
      <c r="P555" s="2" t="s">
        <v>1598</v>
      </c>
      <c r="Q555" s="2" t="s">
        <v>38</v>
      </c>
      <c r="R555" s="2" t="s">
        <v>1456</v>
      </c>
      <c r="S555" s="2" t="s">
        <v>417</v>
      </c>
      <c r="T555" s="2" t="s">
        <v>1599</v>
      </c>
      <c r="U555" s="2" t="s">
        <v>236</v>
      </c>
      <c r="V555" s="2" t="s">
        <v>1600</v>
      </c>
      <c r="W555" s="2" t="s">
        <v>38</v>
      </c>
      <c r="X555" s="3">
        <v>41096</v>
      </c>
      <c r="Y555" s="2" t="s">
        <v>1601</v>
      </c>
      <c r="Z555" s="34"/>
      <c r="AA555" s="2" t="s">
        <v>1323</v>
      </c>
      <c r="AB555" s="2" t="s">
        <v>1550</v>
      </c>
      <c r="AC555" s="12">
        <f t="shared" si="48"/>
        <v>2012</v>
      </c>
      <c r="AD555" s="12">
        <f t="shared" si="49"/>
        <v>7</v>
      </c>
      <c r="AE555" s="12">
        <f t="shared" si="50"/>
        <v>6</v>
      </c>
      <c r="AF555" s="16">
        <f t="shared" si="51"/>
        <v>21.9</v>
      </c>
      <c r="AG555" s="16">
        <f t="shared" si="52"/>
        <v>29.5</v>
      </c>
      <c r="AH555" s="16" t="str">
        <f t="shared" si="53"/>
        <v/>
      </c>
    </row>
    <row r="556" spans="1:34" x14ac:dyDescent="0.35">
      <c r="A556" s="2" t="s">
        <v>1602</v>
      </c>
      <c r="B556" s="2" t="s">
        <v>29</v>
      </c>
      <c r="C556" s="2" t="s">
        <v>30</v>
      </c>
      <c r="D556" s="2" t="s">
        <v>171</v>
      </c>
      <c r="E556" s="2" t="s">
        <v>714</v>
      </c>
      <c r="F556" s="2" t="s">
        <v>1345</v>
      </c>
      <c r="G556" s="2" t="s">
        <v>1604</v>
      </c>
      <c r="H556" s="2" t="s">
        <v>153</v>
      </c>
      <c r="I556" s="2" t="s">
        <v>77</v>
      </c>
      <c r="J556" s="2" t="s">
        <v>37</v>
      </c>
      <c r="K556" s="2" t="s">
        <v>38</v>
      </c>
      <c r="L556" s="2" t="s">
        <v>38</v>
      </c>
      <c r="M556" s="2" t="s">
        <v>1605</v>
      </c>
      <c r="N556" s="2" t="s">
        <v>38</v>
      </c>
      <c r="O556" s="2" t="s">
        <v>38</v>
      </c>
      <c r="P556" s="2" t="s">
        <v>495</v>
      </c>
      <c r="Q556" s="2" t="s">
        <v>38</v>
      </c>
      <c r="R556" s="2" t="s">
        <v>1029</v>
      </c>
      <c r="S556" s="2" t="s">
        <v>1556</v>
      </c>
      <c r="T556" s="2" t="s">
        <v>1606</v>
      </c>
      <c r="U556" s="2" t="s">
        <v>175</v>
      </c>
      <c r="V556" s="2" t="s">
        <v>1507</v>
      </c>
      <c r="W556" s="2" t="s">
        <v>38</v>
      </c>
      <c r="X556" s="3">
        <v>41097</v>
      </c>
      <c r="Y556" s="2" t="s">
        <v>1607</v>
      </c>
      <c r="Z556" s="4"/>
      <c r="AA556" s="2" t="s">
        <v>1323</v>
      </c>
      <c r="AB556" s="2" t="s">
        <v>1550</v>
      </c>
      <c r="AC556" s="12">
        <f t="shared" si="48"/>
        <v>2012</v>
      </c>
      <c r="AD556" s="12">
        <f t="shared" si="49"/>
        <v>7</v>
      </c>
      <c r="AE556" s="12">
        <f t="shared" si="50"/>
        <v>7</v>
      </c>
      <c r="AF556" s="16">
        <f t="shared" si="51"/>
        <v>22</v>
      </c>
      <c r="AG556" s="16">
        <f t="shared" si="52"/>
        <v>29.3</v>
      </c>
      <c r="AH556" s="16" t="str">
        <f t="shared" si="53"/>
        <v/>
      </c>
    </row>
    <row r="557" spans="1:34" x14ac:dyDescent="0.35">
      <c r="A557" s="2" t="s">
        <v>1608</v>
      </c>
      <c r="B557" s="2" t="s">
        <v>29</v>
      </c>
      <c r="C557" s="2" t="s">
        <v>30</v>
      </c>
      <c r="D557" s="2" t="s">
        <v>200</v>
      </c>
      <c r="E557" s="2" t="s">
        <v>50</v>
      </c>
      <c r="F557" s="2" t="s">
        <v>1122</v>
      </c>
      <c r="G557" s="2" t="s">
        <v>1609</v>
      </c>
      <c r="H557" s="2" t="s">
        <v>137</v>
      </c>
      <c r="I557" s="2" t="s">
        <v>111</v>
      </c>
      <c r="J557" s="2" t="s">
        <v>37</v>
      </c>
      <c r="K557" s="2" t="s">
        <v>38</v>
      </c>
      <c r="L557" s="2" t="s">
        <v>38</v>
      </c>
      <c r="M557" s="2" t="s">
        <v>1542</v>
      </c>
      <c r="N557" s="2" t="s">
        <v>38</v>
      </c>
      <c r="O557" s="2" t="s">
        <v>38</v>
      </c>
      <c r="P557" s="2" t="s">
        <v>516</v>
      </c>
      <c r="Q557" s="2" t="s">
        <v>38</v>
      </c>
      <c r="R557" s="2" t="s">
        <v>1029</v>
      </c>
      <c r="S557" s="2" t="s">
        <v>1506</v>
      </c>
      <c r="T557" s="2" t="s">
        <v>1543</v>
      </c>
      <c r="U557" s="2" t="s">
        <v>1610</v>
      </c>
      <c r="V557" s="2" t="s">
        <v>1611</v>
      </c>
      <c r="W557" s="2" t="s">
        <v>38</v>
      </c>
      <c r="X557" s="3">
        <v>41098</v>
      </c>
      <c r="Y557" s="2" t="s">
        <v>1612</v>
      </c>
      <c r="Z557" s="34"/>
      <c r="AA557" s="2" t="s">
        <v>1323</v>
      </c>
      <c r="AB557" s="2" t="s">
        <v>1550</v>
      </c>
      <c r="AC557" s="12">
        <f t="shared" si="48"/>
        <v>2012</v>
      </c>
      <c r="AD557" s="12">
        <f t="shared" si="49"/>
        <v>7</v>
      </c>
      <c r="AE557" s="12">
        <f t="shared" si="50"/>
        <v>8</v>
      </c>
      <c r="AF557" s="16">
        <f t="shared" si="51"/>
        <v>20.9</v>
      </c>
      <c r="AG557" s="16">
        <f t="shared" si="52"/>
        <v>29.8</v>
      </c>
      <c r="AH557" s="16" t="str">
        <f t="shared" si="53"/>
        <v/>
      </c>
    </row>
    <row r="558" spans="1:34" x14ac:dyDescent="0.35">
      <c r="A558" s="2" t="s">
        <v>1615</v>
      </c>
      <c r="B558" s="2" t="s">
        <v>29</v>
      </c>
      <c r="C558" s="2" t="s">
        <v>30</v>
      </c>
      <c r="D558" s="2" t="s">
        <v>171</v>
      </c>
      <c r="E558" s="2" t="s">
        <v>579</v>
      </c>
      <c r="F558" s="2" t="s">
        <v>1588</v>
      </c>
      <c r="G558" s="2" t="s">
        <v>34</v>
      </c>
      <c r="H558" s="2" t="s">
        <v>35</v>
      </c>
      <c r="I558" s="2" t="s">
        <v>111</v>
      </c>
      <c r="J558" s="2" t="s">
        <v>37</v>
      </c>
      <c r="K558" s="2" t="s">
        <v>38</v>
      </c>
      <c r="L558" s="2" t="s">
        <v>38</v>
      </c>
      <c r="M558" s="2" t="s">
        <v>1532</v>
      </c>
      <c r="N558" s="2" t="s">
        <v>38</v>
      </c>
      <c r="O558" s="2" t="s">
        <v>38</v>
      </c>
      <c r="P558" s="2" t="s">
        <v>332</v>
      </c>
      <c r="Q558" s="2" t="s">
        <v>38</v>
      </c>
      <c r="R558" s="2" t="s">
        <v>1367</v>
      </c>
      <c r="S558" s="2" t="s">
        <v>1561</v>
      </c>
      <c r="T558" s="2" t="s">
        <v>1457</v>
      </c>
      <c r="U558" s="2" t="s">
        <v>175</v>
      </c>
      <c r="V558" s="2" t="s">
        <v>1358</v>
      </c>
      <c r="W558" s="2" t="s">
        <v>38</v>
      </c>
      <c r="X558" s="3">
        <v>41099</v>
      </c>
      <c r="Y558" s="2" t="s">
        <v>1616</v>
      </c>
      <c r="Z558" s="34"/>
      <c r="AA558" s="2" t="s">
        <v>1323</v>
      </c>
      <c r="AB558" s="2" t="s">
        <v>1550</v>
      </c>
      <c r="AC558" s="12">
        <f t="shared" si="48"/>
        <v>2012</v>
      </c>
      <c r="AD558" s="12">
        <f t="shared" si="49"/>
        <v>7</v>
      </c>
      <c r="AE558" s="12">
        <f t="shared" si="50"/>
        <v>9</v>
      </c>
      <c r="AF558" s="16">
        <f t="shared" si="51"/>
        <v>20.399999999999999</v>
      </c>
      <c r="AG558" s="16">
        <f t="shared" si="52"/>
        <v>29.6</v>
      </c>
      <c r="AH558" s="16" t="str">
        <f t="shared" si="53"/>
        <v/>
      </c>
    </row>
    <row r="559" spans="1:34" x14ac:dyDescent="0.35">
      <c r="A559" s="2" t="s">
        <v>1620</v>
      </c>
      <c r="B559" s="2" t="s">
        <v>29</v>
      </c>
      <c r="C559" s="2" t="s">
        <v>30</v>
      </c>
      <c r="D559" s="2" t="s">
        <v>111</v>
      </c>
      <c r="E559" s="2" t="s">
        <v>579</v>
      </c>
      <c r="F559" s="2" t="s">
        <v>1546</v>
      </c>
      <c r="G559" s="2" t="s">
        <v>34</v>
      </c>
      <c r="H559" s="2" t="s">
        <v>202</v>
      </c>
      <c r="I559" s="2" t="s">
        <v>36</v>
      </c>
      <c r="J559" s="2" t="s">
        <v>37</v>
      </c>
      <c r="K559" s="2" t="s">
        <v>38</v>
      </c>
      <c r="L559" s="2" t="s">
        <v>38</v>
      </c>
      <c r="M559" s="2" t="s">
        <v>39</v>
      </c>
      <c r="N559" s="2" t="s">
        <v>38</v>
      </c>
      <c r="O559" s="2" t="s">
        <v>38</v>
      </c>
      <c r="P559" s="2" t="s">
        <v>97</v>
      </c>
      <c r="Q559" s="2" t="s">
        <v>38</v>
      </c>
      <c r="R559" s="2" t="s">
        <v>41</v>
      </c>
      <c r="S559" s="2" t="s">
        <v>488</v>
      </c>
      <c r="T559" s="2" t="s">
        <v>1181</v>
      </c>
      <c r="U559" s="2" t="s">
        <v>465</v>
      </c>
      <c r="V559" s="2" t="s">
        <v>1305</v>
      </c>
      <c r="W559" s="2" t="s">
        <v>38</v>
      </c>
      <c r="X559" s="3">
        <v>41100</v>
      </c>
      <c r="Y559" s="2" t="s">
        <v>1622</v>
      </c>
      <c r="Z559" s="4"/>
      <c r="AA559" s="2" t="s">
        <v>1323</v>
      </c>
      <c r="AB559" s="2" t="s">
        <v>1550</v>
      </c>
      <c r="AC559" s="12">
        <f t="shared" si="48"/>
        <v>2012</v>
      </c>
      <c r="AD559" s="12">
        <f t="shared" si="49"/>
        <v>7</v>
      </c>
      <c r="AE559" s="12">
        <f t="shared" si="50"/>
        <v>10</v>
      </c>
      <c r="AF559" s="16">
        <f t="shared" si="51"/>
        <v>19.8</v>
      </c>
      <c r="AG559" s="16">
        <f t="shared" si="52"/>
        <v>31.4</v>
      </c>
      <c r="AH559" s="16" t="str">
        <f t="shared" si="53"/>
        <v/>
      </c>
    </row>
    <row r="560" spans="1:34" x14ac:dyDescent="0.35">
      <c r="A560" s="2" t="s">
        <v>1623</v>
      </c>
      <c r="B560" s="2" t="s">
        <v>29</v>
      </c>
      <c r="C560" s="2" t="s">
        <v>30</v>
      </c>
      <c r="D560" s="2" t="s">
        <v>77</v>
      </c>
      <c r="E560" s="2" t="s">
        <v>50</v>
      </c>
      <c r="F560" s="2" t="s">
        <v>1122</v>
      </c>
      <c r="G560" s="2" t="s">
        <v>1625</v>
      </c>
      <c r="H560" s="2" t="s">
        <v>217</v>
      </c>
      <c r="I560" s="2" t="s">
        <v>36</v>
      </c>
      <c r="J560" s="2" t="s">
        <v>37</v>
      </c>
      <c r="K560" s="2" t="s">
        <v>38</v>
      </c>
      <c r="L560" s="2" t="s">
        <v>38</v>
      </c>
      <c r="M560" s="2" t="s">
        <v>1532</v>
      </c>
      <c r="N560" s="2" t="s">
        <v>38</v>
      </c>
      <c r="O560" s="2" t="s">
        <v>38</v>
      </c>
      <c r="P560" s="2" t="s">
        <v>277</v>
      </c>
      <c r="Q560" s="2" t="s">
        <v>38</v>
      </c>
      <c r="R560" s="2" t="s">
        <v>1029</v>
      </c>
      <c r="S560" s="2" t="s">
        <v>1116</v>
      </c>
      <c r="T560" s="2" t="s">
        <v>1594</v>
      </c>
      <c r="U560" s="2" t="s">
        <v>442</v>
      </c>
      <c r="V560" s="2" t="s">
        <v>701</v>
      </c>
      <c r="W560" s="2" t="s">
        <v>38</v>
      </c>
      <c r="X560" s="3">
        <v>41101</v>
      </c>
      <c r="Y560" s="2" t="s">
        <v>1626</v>
      </c>
      <c r="Z560" s="34"/>
      <c r="AA560" s="2" t="s">
        <v>1323</v>
      </c>
      <c r="AB560" s="2" t="s">
        <v>1550</v>
      </c>
      <c r="AC560" s="12">
        <f t="shared" si="48"/>
        <v>2012</v>
      </c>
      <c r="AD560" s="12">
        <f t="shared" si="49"/>
        <v>7</v>
      </c>
      <c r="AE560" s="12">
        <f t="shared" si="50"/>
        <v>11</v>
      </c>
      <c r="AF560" s="16">
        <f t="shared" si="51"/>
        <v>21</v>
      </c>
      <c r="AG560" s="16">
        <f t="shared" si="52"/>
        <v>31.1</v>
      </c>
      <c r="AH560" s="16" t="str">
        <f t="shared" si="53"/>
        <v/>
      </c>
    </row>
    <row r="561" spans="1:34" x14ac:dyDescent="0.35">
      <c r="A561" s="2" t="s">
        <v>1627</v>
      </c>
      <c r="B561" s="2" t="s">
        <v>29</v>
      </c>
      <c r="C561" s="2" t="s">
        <v>30</v>
      </c>
      <c r="D561" s="2" t="s">
        <v>171</v>
      </c>
      <c r="E561" s="2" t="s">
        <v>579</v>
      </c>
      <c r="F561" s="2" t="s">
        <v>959</v>
      </c>
      <c r="G561" s="2" t="s">
        <v>1460</v>
      </c>
      <c r="H561" s="2" t="s">
        <v>342</v>
      </c>
      <c r="I561" s="2" t="s">
        <v>36</v>
      </c>
      <c r="J561" s="2" t="s">
        <v>37</v>
      </c>
      <c r="K561" s="2" t="s">
        <v>38</v>
      </c>
      <c r="L561" s="2" t="s">
        <v>38</v>
      </c>
      <c r="M561" s="2" t="s">
        <v>1605</v>
      </c>
      <c r="N561" s="2" t="s">
        <v>38</v>
      </c>
      <c r="O561" s="2" t="s">
        <v>38</v>
      </c>
      <c r="P561" s="2" t="s">
        <v>452</v>
      </c>
      <c r="Q561" s="2" t="s">
        <v>38</v>
      </c>
      <c r="R561" s="2" t="s">
        <v>1029</v>
      </c>
      <c r="S561" s="2" t="s">
        <v>1583</v>
      </c>
      <c r="T561" s="2" t="s">
        <v>1606</v>
      </c>
      <c r="U561" s="2" t="s">
        <v>265</v>
      </c>
      <c r="V561" s="2" t="s">
        <v>1291</v>
      </c>
      <c r="W561" s="2" t="s">
        <v>38</v>
      </c>
      <c r="X561" s="3">
        <v>41102</v>
      </c>
      <c r="Y561" s="2" t="s">
        <v>1628</v>
      </c>
      <c r="Z561" s="4"/>
      <c r="AA561" s="2" t="s">
        <v>1323</v>
      </c>
      <c r="AB561" s="2" t="s">
        <v>1550</v>
      </c>
      <c r="AC561" s="12">
        <f t="shared" si="48"/>
        <v>2012</v>
      </c>
      <c r="AD561" s="12">
        <f t="shared" si="49"/>
        <v>7</v>
      </c>
      <c r="AE561" s="12">
        <f t="shared" si="50"/>
        <v>12</v>
      </c>
      <c r="AF561" s="16">
        <f t="shared" si="51"/>
        <v>20.3</v>
      </c>
      <c r="AG561" s="16">
        <f t="shared" si="52"/>
        <v>30.5</v>
      </c>
      <c r="AH561" s="16" t="str">
        <f t="shared" si="53"/>
        <v/>
      </c>
    </row>
    <row r="562" spans="1:34" x14ac:dyDescent="0.35">
      <c r="A562" s="2" t="s">
        <v>1630</v>
      </c>
      <c r="B562" s="2" t="s">
        <v>29</v>
      </c>
      <c r="C562" s="2" t="s">
        <v>30</v>
      </c>
      <c r="D562" s="2" t="s">
        <v>31</v>
      </c>
      <c r="E562" s="2" t="s">
        <v>579</v>
      </c>
      <c r="F562" s="2" t="s">
        <v>658</v>
      </c>
      <c r="G562" s="2" t="s">
        <v>1460</v>
      </c>
      <c r="H562" s="2" t="s">
        <v>276</v>
      </c>
      <c r="I562" s="2" t="s">
        <v>111</v>
      </c>
      <c r="J562" s="2" t="s">
        <v>37</v>
      </c>
      <c r="K562" s="2" t="s">
        <v>38</v>
      </c>
      <c r="L562" s="2" t="s">
        <v>38</v>
      </c>
      <c r="M562" s="2" t="s">
        <v>1532</v>
      </c>
      <c r="N562" s="2" t="s">
        <v>38</v>
      </c>
      <c r="O562" s="2" t="s">
        <v>38</v>
      </c>
      <c r="P562" s="2" t="s">
        <v>1631</v>
      </c>
      <c r="Q562" s="2" t="s">
        <v>38</v>
      </c>
      <c r="R562" s="2" t="s">
        <v>1029</v>
      </c>
      <c r="S562" s="2" t="s">
        <v>1378</v>
      </c>
      <c r="T562" s="2" t="s">
        <v>1594</v>
      </c>
      <c r="U562" s="2" t="s">
        <v>418</v>
      </c>
      <c r="V562" s="2" t="s">
        <v>1473</v>
      </c>
      <c r="W562" s="2" t="s">
        <v>38</v>
      </c>
      <c r="X562" s="3">
        <v>41103</v>
      </c>
      <c r="Y562" s="2" t="s">
        <v>1632</v>
      </c>
      <c r="Z562" s="34"/>
      <c r="AA562" s="2" t="s">
        <v>1323</v>
      </c>
      <c r="AB562" s="2" t="s">
        <v>1550</v>
      </c>
      <c r="AC562" s="12">
        <f t="shared" si="48"/>
        <v>2012</v>
      </c>
      <c r="AD562" s="12">
        <f t="shared" si="49"/>
        <v>7</v>
      </c>
      <c r="AE562" s="12">
        <f t="shared" si="50"/>
        <v>13</v>
      </c>
      <c r="AF562" s="16">
        <f t="shared" si="51"/>
        <v>20</v>
      </c>
      <c r="AG562" s="16">
        <f t="shared" si="52"/>
        <v>30.3</v>
      </c>
      <c r="AH562" s="16" t="str">
        <f t="shared" si="53"/>
        <v/>
      </c>
    </row>
    <row r="563" spans="1:34" x14ac:dyDescent="0.35">
      <c r="A563" s="2" t="s">
        <v>1636</v>
      </c>
      <c r="B563" s="2" t="s">
        <v>29</v>
      </c>
      <c r="C563" s="2" t="s">
        <v>30</v>
      </c>
      <c r="D563" s="2" t="s">
        <v>171</v>
      </c>
      <c r="E563" s="2" t="s">
        <v>50</v>
      </c>
      <c r="F563" s="2" t="s">
        <v>999</v>
      </c>
      <c r="G563" s="2" t="s">
        <v>1637</v>
      </c>
      <c r="H563" s="2" t="s">
        <v>295</v>
      </c>
      <c r="I563" s="2" t="s">
        <v>111</v>
      </c>
      <c r="J563" s="2" t="s">
        <v>37</v>
      </c>
      <c r="K563" s="2" t="s">
        <v>38</v>
      </c>
      <c r="L563" s="2" t="s">
        <v>38</v>
      </c>
      <c r="M563" s="2" t="s">
        <v>1532</v>
      </c>
      <c r="N563" s="2" t="s">
        <v>38</v>
      </c>
      <c r="O563" s="2" t="s">
        <v>38</v>
      </c>
      <c r="P563" s="2" t="s">
        <v>174</v>
      </c>
      <c r="Q563" s="2" t="s">
        <v>38</v>
      </c>
      <c r="R563" s="2" t="s">
        <v>1029</v>
      </c>
      <c r="S563" s="2" t="s">
        <v>1561</v>
      </c>
      <c r="T563" s="2" t="s">
        <v>1457</v>
      </c>
      <c r="U563" s="2" t="s">
        <v>175</v>
      </c>
      <c r="V563" s="2" t="s">
        <v>1364</v>
      </c>
      <c r="W563" s="2" t="s">
        <v>38</v>
      </c>
      <c r="X563" s="3">
        <v>41104</v>
      </c>
      <c r="Y563" s="2" t="s">
        <v>1638</v>
      </c>
      <c r="Z563" s="4"/>
      <c r="AA563" s="2" t="s">
        <v>1323</v>
      </c>
      <c r="AB563" s="2" t="s">
        <v>1550</v>
      </c>
      <c r="AC563" s="12">
        <f t="shared" si="48"/>
        <v>2012</v>
      </c>
      <c r="AD563" s="12">
        <f t="shared" si="49"/>
        <v>7</v>
      </c>
      <c r="AE563" s="12">
        <f t="shared" si="50"/>
        <v>14</v>
      </c>
      <c r="AF563" s="16">
        <f t="shared" si="51"/>
        <v>20.7</v>
      </c>
      <c r="AG563" s="16">
        <f t="shared" si="52"/>
        <v>30.4</v>
      </c>
      <c r="AH563" s="16" t="str">
        <f t="shared" si="53"/>
        <v/>
      </c>
    </row>
    <row r="564" spans="1:34" x14ac:dyDescent="0.35">
      <c r="A564" s="2" t="s">
        <v>1641</v>
      </c>
      <c r="B564" s="2" t="s">
        <v>29</v>
      </c>
      <c r="C564" s="2" t="s">
        <v>30</v>
      </c>
      <c r="D564" s="2" t="s">
        <v>31</v>
      </c>
      <c r="E564" s="2" t="s">
        <v>579</v>
      </c>
      <c r="F564" s="2" t="s">
        <v>1074</v>
      </c>
      <c r="G564" s="2" t="s">
        <v>34</v>
      </c>
      <c r="H564" s="2" t="s">
        <v>137</v>
      </c>
      <c r="I564" s="2" t="s">
        <v>111</v>
      </c>
      <c r="J564" s="2" t="s">
        <v>37</v>
      </c>
      <c r="K564" s="2" t="s">
        <v>38</v>
      </c>
      <c r="L564" s="2" t="s">
        <v>38</v>
      </c>
      <c r="M564" s="2" t="s">
        <v>1644</v>
      </c>
      <c r="N564" s="2" t="s">
        <v>38</v>
      </c>
      <c r="O564" s="2" t="s">
        <v>38</v>
      </c>
      <c r="P564" s="2" t="s">
        <v>1631</v>
      </c>
      <c r="Q564" s="2" t="s">
        <v>38</v>
      </c>
      <c r="R564" s="2" t="s">
        <v>1367</v>
      </c>
      <c r="S564" s="2" t="s">
        <v>1645</v>
      </c>
      <c r="T564" s="2" t="s">
        <v>1489</v>
      </c>
      <c r="U564" s="2" t="s">
        <v>44</v>
      </c>
      <c r="V564" s="2" t="s">
        <v>1053</v>
      </c>
      <c r="W564" s="2" t="s">
        <v>38</v>
      </c>
      <c r="X564" s="3">
        <v>41105</v>
      </c>
      <c r="Y564" s="2" t="s">
        <v>1646</v>
      </c>
      <c r="Z564" s="34"/>
      <c r="AA564" s="2" t="s">
        <v>1323</v>
      </c>
      <c r="AB564" s="2" t="s">
        <v>1550</v>
      </c>
      <c r="AC564" s="12">
        <f t="shared" si="48"/>
        <v>2012</v>
      </c>
      <c r="AD564" s="12">
        <f t="shared" si="49"/>
        <v>7</v>
      </c>
      <c r="AE564" s="12">
        <f t="shared" si="50"/>
        <v>15</v>
      </c>
      <c r="AF564" s="16">
        <f t="shared" si="51"/>
        <v>20.100000000000001</v>
      </c>
      <c r="AG564" s="16">
        <f t="shared" si="52"/>
        <v>30.3</v>
      </c>
      <c r="AH564" s="16" t="str">
        <f t="shared" si="53"/>
        <v/>
      </c>
    </row>
    <row r="565" spans="1:34" x14ac:dyDescent="0.35">
      <c r="A565" s="2" t="s">
        <v>1647</v>
      </c>
      <c r="B565" s="2" t="s">
        <v>29</v>
      </c>
      <c r="C565" s="2" t="s">
        <v>30</v>
      </c>
      <c r="D565" s="2" t="s">
        <v>187</v>
      </c>
      <c r="E565" s="2" t="s">
        <v>50</v>
      </c>
      <c r="F565" s="2" t="s">
        <v>826</v>
      </c>
      <c r="G565" s="2" t="s">
        <v>1648</v>
      </c>
      <c r="H565" s="2" t="s">
        <v>209</v>
      </c>
      <c r="I565" s="2" t="s">
        <v>128</v>
      </c>
      <c r="J565" s="2" t="s">
        <v>37</v>
      </c>
      <c r="K565" s="2" t="s">
        <v>38</v>
      </c>
      <c r="L565" s="2" t="s">
        <v>38</v>
      </c>
      <c r="M565" s="2" t="s">
        <v>1532</v>
      </c>
      <c r="N565" s="2" t="s">
        <v>38</v>
      </c>
      <c r="O565" s="2" t="s">
        <v>38</v>
      </c>
      <c r="P565" s="2" t="s">
        <v>463</v>
      </c>
      <c r="Q565" s="2" t="s">
        <v>38</v>
      </c>
      <c r="R565" s="2" t="s">
        <v>1029</v>
      </c>
      <c r="S565" s="2" t="s">
        <v>1556</v>
      </c>
      <c r="T565" s="2" t="s">
        <v>1649</v>
      </c>
      <c r="U565" s="2" t="s">
        <v>253</v>
      </c>
      <c r="V565" s="2" t="s">
        <v>701</v>
      </c>
      <c r="W565" s="2" t="s">
        <v>38</v>
      </c>
      <c r="X565" s="3">
        <v>41106</v>
      </c>
      <c r="Y565" s="2" t="s">
        <v>1650</v>
      </c>
      <c r="Z565" s="4"/>
      <c r="AA565" s="2" t="s">
        <v>1323</v>
      </c>
      <c r="AB565" s="2" t="s">
        <v>1550</v>
      </c>
      <c r="AC565" s="12">
        <f t="shared" si="48"/>
        <v>2012</v>
      </c>
      <c r="AD565" s="12">
        <f t="shared" si="49"/>
        <v>7</v>
      </c>
      <c r="AE565" s="12">
        <f t="shared" si="50"/>
        <v>16</v>
      </c>
      <c r="AF565" s="16">
        <f t="shared" si="51"/>
        <v>21</v>
      </c>
      <c r="AG565" s="16">
        <f t="shared" si="52"/>
        <v>31.7</v>
      </c>
      <c r="AH565" s="16" t="str">
        <f t="shared" si="53"/>
        <v/>
      </c>
    </row>
    <row r="566" spans="1:34" x14ac:dyDescent="0.35">
      <c r="A566" s="2" t="s">
        <v>1653</v>
      </c>
      <c r="B566" s="2" t="s">
        <v>29</v>
      </c>
      <c r="C566" s="2" t="s">
        <v>30</v>
      </c>
      <c r="D566" s="2" t="s">
        <v>77</v>
      </c>
      <c r="E566" s="2" t="s">
        <v>50</v>
      </c>
      <c r="F566" s="2" t="s">
        <v>1106</v>
      </c>
      <c r="G566" s="2" t="s">
        <v>34</v>
      </c>
      <c r="H566" s="2" t="s">
        <v>153</v>
      </c>
      <c r="I566" s="2" t="s">
        <v>128</v>
      </c>
      <c r="J566" s="2" t="s">
        <v>37</v>
      </c>
      <c r="K566" s="2" t="s">
        <v>38</v>
      </c>
      <c r="L566" s="2" t="s">
        <v>38</v>
      </c>
      <c r="M566" s="2" t="s">
        <v>39</v>
      </c>
      <c r="N566" s="2" t="s">
        <v>38</v>
      </c>
      <c r="O566" s="2" t="s">
        <v>38</v>
      </c>
      <c r="P566" s="2" t="s">
        <v>567</v>
      </c>
      <c r="Q566" s="2" t="s">
        <v>38</v>
      </c>
      <c r="R566" s="2" t="s">
        <v>759</v>
      </c>
      <c r="S566" s="2" t="s">
        <v>1000</v>
      </c>
      <c r="T566" s="2" t="s">
        <v>760</v>
      </c>
      <c r="U566" s="2" t="s">
        <v>132</v>
      </c>
      <c r="V566" s="2" t="s">
        <v>1364</v>
      </c>
      <c r="W566" s="2" t="s">
        <v>38</v>
      </c>
      <c r="X566" s="3">
        <v>41107</v>
      </c>
      <c r="Y566" s="2" t="s">
        <v>1655</v>
      </c>
      <c r="Z566" s="34"/>
      <c r="AA566" s="2" t="s">
        <v>1323</v>
      </c>
      <c r="AB566" s="2" t="s">
        <v>1550</v>
      </c>
      <c r="AC566" s="12">
        <f t="shared" si="48"/>
        <v>2012</v>
      </c>
      <c r="AD566" s="12">
        <f t="shared" si="49"/>
        <v>7</v>
      </c>
      <c r="AE566" s="12">
        <f t="shared" si="50"/>
        <v>17</v>
      </c>
      <c r="AF566" s="16">
        <f t="shared" si="51"/>
        <v>20.7</v>
      </c>
      <c r="AG566" s="16">
        <f t="shared" si="52"/>
        <v>32.200000000000003</v>
      </c>
      <c r="AH566" s="16" t="str">
        <f t="shared" si="53"/>
        <v/>
      </c>
    </row>
    <row r="567" spans="1:34" x14ac:dyDescent="0.35">
      <c r="A567" s="2" t="s">
        <v>1656</v>
      </c>
      <c r="B567" s="2" t="s">
        <v>29</v>
      </c>
      <c r="C567" s="2" t="s">
        <v>30</v>
      </c>
      <c r="D567" s="2" t="s">
        <v>306</v>
      </c>
      <c r="E567" s="2" t="s">
        <v>50</v>
      </c>
      <c r="F567" s="2" t="s">
        <v>729</v>
      </c>
      <c r="G567" s="2" t="s">
        <v>1509</v>
      </c>
      <c r="H567" s="2" t="s">
        <v>87</v>
      </c>
      <c r="I567" s="2" t="s">
        <v>31</v>
      </c>
      <c r="J567" s="2" t="s">
        <v>37</v>
      </c>
      <c r="K567" s="2" t="s">
        <v>38</v>
      </c>
      <c r="L567" s="2" t="s">
        <v>38</v>
      </c>
      <c r="M567" s="2" t="s">
        <v>1597</v>
      </c>
      <c r="N567" s="2" t="s">
        <v>38</v>
      </c>
      <c r="O567" s="2" t="s">
        <v>38</v>
      </c>
      <c r="P567" s="2" t="s">
        <v>1661</v>
      </c>
      <c r="Q567" s="2" t="s">
        <v>38</v>
      </c>
      <c r="R567" s="2" t="s">
        <v>1456</v>
      </c>
      <c r="S567" s="2" t="s">
        <v>1662</v>
      </c>
      <c r="T567" s="2" t="s">
        <v>1599</v>
      </c>
      <c r="U567" s="2" t="s">
        <v>1517</v>
      </c>
      <c r="V567" s="2" t="s">
        <v>1398</v>
      </c>
      <c r="W567" s="2" t="s">
        <v>38</v>
      </c>
      <c r="X567" s="3">
        <v>41108</v>
      </c>
      <c r="Y567" s="2" t="s">
        <v>1663</v>
      </c>
      <c r="Z567" s="4"/>
      <c r="AA567" s="2" t="s">
        <v>1323</v>
      </c>
      <c r="AB567" s="2" t="s">
        <v>1550</v>
      </c>
      <c r="AC567" s="12">
        <f t="shared" si="48"/>
        <v>2012</v>
      </c>
      <c r="AD567" s="12">
        <f t="shared" si="49"/>
        <v>7</v>
      </c>
      <c r="AE567" s="12">
        <f t="shared" si="50"/>
        <v>18</v>
      </c>
      <c r="AF567" s="16">
        <f t="shared" si="51"/>
        <v>21.5</v>
      </c>
      <c r="AG567" s="16">
        <f t="shared" si="52"/>
        <v>28.3</v>
      </c>
      <c r="AH567" s="16" t="str">
        <f t="shared" si="53"/>
        <v/>
      </c>
    </row>
    <row r="568" spans="1:34" x14ac:dyDescent="0.35">
      <c r="A568" s="2" t="s">
        <v>1664</v>
      </c>
      <c r="B568" s="2" t="s">
        <v>29</v>
      </c>
      <c r="C568" s="2" t="s">
        <v>30</v>
      </c>
      <c r="D568" s="2" t="s">
        <v>214</v>
      </c>
      <c r="E568" s="2" t="s">
        <v>714</v>
      </c>
      <c r="F568" s="2" t="s">
        <v>1439</v>
      </c>
      <c r="G568" s="2" t="s">
        <v>1665</v>
      </c>
      <c r="H568" s="2" t="s">
        <v>270</v>
      </c>
      <c r="I568" s="2" t="s">
        <v>187</v>
      </c>
      <c r="J568" s="2" t="s">
        <v>37</v>
      </c>
      <c r="K568" s="2" t="s">
        <v>38</v>
      </c>
      <c r="L568" s="2" t="s">
        <v>38</v>
      </c>
      <c r="M568" s="2" t="s">
        <v>1532</v>
      </c>
      <c r="N568" s="2" t="s">
        <v>38</v>
      </c>
      <c r="O568" s="2" t="s">
        <v>38</v>
      </c>
      <c r="P568" s="2" t="s">
        <v>1666</v>
      </c>
      <c r="Q568" s="2" t="s">
        <v>38</v>
      </c>
      <c r="R568" s="2" t="s">
        <v>1456</v>
      </c>
      <c r="S568" s="2" t="s">
        <v>1667</v>
      </c>
      <c r="T568" s="2" t="s">
        <v>1668</v>
      </c>
      <c r="U568" s="2" t="s">
        <v>796</v>
      </c>
      <c r="V568" s="2" t="s">
        <v>1524</v>
      </c>
      <c r="W568" s="2" t="s">
        <v>38</v>
      </c>
      <c r="X568" s="3">
        <v>41109</v>
      </c>
      <c r="Y568" s="2" t="s">
        <v>1669</v>
      </c>
      <c r="Z568" s="4"/>
      <c r="AA568" s="2" t="s">
        <v>1323</v>
      </c>
      <c r="AB568" s="2" t="s">
        <v>1550</v>
      </c>
      <c r="AC568" s="12">
        <f t="shared" si="48"/>
        <v>2012</v>
      </c>
      <c r="AD568" s="12">
        <f t="shared" si="49"/>
        <v>7</v>
      </c>
      <c r="AE568" s="12">
        <f t="shared" si="50"/>
        <v>19</v>
      </c>
      <c r="AF568" s="16">
        <f t="shared" si="51"/>
        <v>21.7</v>
      </c>
      <c r="AG568" s="16">
        <f t="shared" si="52"/>
        <v>26.4</v>
      </c>
      <c r="AH568" s="16" t="str">
        <f t="shared" si="53"/>
        <v/>
      </c>
    </row>
    <row r="569" spans="1:34" x14ac:dyDescent="0.35">
      <c r="A569" s="2" t="s">
        <v>1673</v>
      </c>
      <c r="B569" s="2" t="s">
        <v>29</v>
      </c>
      <c r="C569" s="2" t="s">
        <v>30</v>
      </c>
      <c r="D569" s="2" t="s">
        <v>214</v>
      </c>
      <c r="E569" s="2" t="s">
        <v>306</v>
      </c>
      <c r="F569" s="2" t="s">
        <v>1101</v>
      </c>
      <c r="G569" s="2" t="s">
        <v>1637</v>
      </c>
      <c r="H569" s="2" t="s">
        <v>451</v>
      </c>
      <c r="I569" s="2" t="s">
        <v>187</v>
      </c>
      <c r="J569" s="2" t="s">
        <v>37</v>
      </c>
      <c r="K569" s="2" t="s">
        <v>38</v>
      </c>
      <c r="L569" s="2" t="s">
        <v>38</v>
      </c>
      <c r="M569" s="2" t="s">
        <v>1597</v>
      </c>
      <c r="N569" s="2" t="s">
        <v>38</v>
      </c>
      <c r="O569" s="2" t="s">
        <v>38</v>
      </c>
      <c r="P569" s="2" t="s">
        <v>1674</v>
      </c>
      <c r="Q569" s="2" t="s">
        <v>38</v>
      </c>
      <c r="R569" s="2" t="s">
        <v>1456</v>
      </c>
      <c r="S569" s="2" t="s">
        <v>1667</v>
      </c>
      <c r="T569" s="2" t="s">
        <v>1675</v>
      </c>
      <c r="U569" s="2" t="s">
        <v>1676</v>
      </c>
      <c r="V569" s="2" t="s">
        <v>1458</v>
      </c>
      <c r="W569" s="2" t="s">
        <v>38</v>
      </c>
      <c r="X569" s="3">
        <v>41110</v>
      </c>
      <c r="Y569" s="2" t="s">
        <v>1677</v>
      </c>
      <c r="Z569" s="34"/>
      <c r="AA569" s="2" t="s">
        <v>1323</v>
      </c>
      <c r="AB569" s="2" t="s">
        <v>1550</v>
      </c>
      <c r="AC569" s="12">
        <f t="shared" si="48"/>
        <v>2012</v>
      </c>
      <c r="AD569" s="12">
        <f t="shared" si="49"/>
        <v>7</v>
      </c>
      <c r="AE569" s="12">
        <f t="shared" si="50"/>
        <v>20</v>
      </c>
      <c r="AF569" s="16">
        <f t="shared" si="51"/>
        <v>22.6</v>
      </c>
      <c r="AG569" s="16">
        <f t="shared" si="52"/>
        <v>26.1</v>
      </c>
      <c r="AH569" s="16" t="str">
        <f t="shared" si="53"/>
        <v/>
      </c>
    </row>
    <row r="570" spans="1:34" x14ac:dyDescent="0.35">
      <c r="A570" s="2" t="s">
        <v>1679</v>
      </c>
      <c r="B570" s="2" t="s">
        <v>29</v>
      </c>
      <c r="C570" s="2" t="s">
        <v>30</v>
      </c>
      <c r="D570" s="2" t="s">
        <v>31</v>
      </c>
      <c r="E570" s="2" t="s">
        <v>50</v>
      </c>
      <c r="F570" s="2" t="s">
        <v>999</v>
      </c>
      <c r="G570" s="2" t="s">
        <v>34</v>
      </c>
      <c r="H570" s="2" t="s">
        <v>144</v>
      </c>
      <c r="I570" s="2" t="s">
        <v>77</v>
      </c>
      <c r="J570" s="2" t="s">
        <v>37</v>
      </c>
      <c r="K570" s="2" t="s">
        <v>38</v>
      </c>
      <c r="L570" s="2" t="s">
        <v>38</v>
      </c>
      <c r="M570" s="2" t="s">
        <v>39</v>
      </c>
      <c r="N570" s="2" t="s">
        <v>38</v>
      </c>
      <c r="O570" s="2" t="s">
        <v>38</v>
      </c>
      <c r="P570" s="2" t="s">
        <v>1598</v>
      </c>
      <c r="Q570" s="2" t="s">
        <v>38</v>
      </c>
      <c r="R570" s="2" t="s">
        <v>1367</v>
      </c>
      <c r="S570" s="2" t="s">
        <v>1680</v>
      </c>
      <c r="T570" s="2" t="s">
        <v>1681</v>
      </c>
      <c r="U570" s="2" t="s">
        <v>44</v>
      </c>
      <c r="V570" s="2" t="s">
        <v>1398</v>
      </c>
      <c r="W570" s="2" t="s">
        <v>38</v>
      </c>
      <c r="X570" s="3">
        <v>41111</v>
      </c>
      <c r="Y570" s="2" t="s">
        <v>1682</v>
      </c>
      <c r="Z570" s="34"/>
      <c r="AA570" s="2" t="s">
        <v>1323</v>
      </c>
      <c r="AB570" s="2" t="s">
        <v>1550</v>
      </c>
      <c r="AC570" s="12">
        <f t="shared" si="48"/>
        <v>2012</v>
      </c>
      <c r="AD570" s="12">
        <f t="shared" si="49"/>
        <v>7</v>
      </c>
      <c r="AE570" s="12">
        <f t="shared" si="50"/>
        <v>21</v>
      </c>
      <c r="AF570" s="16">
        <f t="shared" si="51"/>
        <v>21.5</v>
      </c>
      <c r="AG570" s="16">
        <f t="shared" si="52"/>
        <v>29.5</v>
      </c>
      <c r="AH570" s="16" t="str">
        <f t="shared" si="53"/>
        <v/>
      </c>
    </row>
    <row r="571" spans="1:34" x14ac:dyDescent="0.35">
      <c r="A571" s="2" t="s">
        <v>1684</v>
      </c>
      <c r="B571" s="2" t="s">
        <v>29</v>
      </c>
      <c r="C571" s="2" t="s">
        <v>30</v>
      </c>
      <c r="D571" s="2" t="s">
        <v>187</v>
      </c>
      <c r="E571" s="2" t="s">
        <v>50</v>
      </c>
      <c r="F571" s="2" t="s">
        <v>1273</v>
      </c>
      <c r="G571" s="2" t="s">
        <v>1596</v>
      </c>
      <c r="H571" s="2" t="s">
        <v>246</v>
      </c>
      <c r="I571" s="2" t="s">
        <v>171</v>
      </c>
      <c r="J571" s="2" t="s">
        <v>37</v>
      </c>
      <c r="K571" s="2" t="s">
        <v>38</v>
      </c>
      <c r="L571" s="2" t="s">
        <v>38</v>
      </c>
      <c r="M571" s="2" t="s">
        <v>1414</v>
      </c>
      <c r="N571" s="2" t="s">
        <v>38</v>
      </c>
      <c r="O571" s="2" t="s">
        <v>38</v>
      </c>
      <c r="P571" s="2" t="s">
        <v>1685</v>
      </c>
      <c r="Q571" s="2" t="s">
        <v>38</v>
      </c>
      <c r="R571" s="2" t="s">
        <v>1456</v>
      </c>
      <c r="S571" s="2" t="s">
        <v>1686</v>
      </c>
      <c r="T571" s="2" t="s">
        <v>1469</v>
      </c>
      <c r="U571" s="2" t="s">
        <v>253</v>
      </c>
      <c r="V571" s="2" t="s">
        <v>1370</v>
      </c>
      <c r="W571" s="2" t="s">
        <v>38</v>
      </c>
      <c r="X571" s="3">
        <v>41112</v>
      </c>
      <c r="Y571" s="2" t="s">
        <v>1687</v>
      </c>
      <c r="Z571" s="4"/>
      <c r="AA571" s="2" t="s">
        <v>1323</v>
      </c>
      <c r="AB571" s="2" t="s">
        <v>1550</v>
      </c>
      <c r="AC571" s="12">
        <f t="shared" si="48"/>
        <v>2012</v>
      </c>
      <c r="AD571" s="12">
        <f t="shared" si="49"/>
        <v>7</v>
      </c>
      <c r="AE571" s="12">
        <f t="shared" si="50"/>
        <v>22</v>
      </c>
      <c r="AF571" s="16">
        <f t="shared" si="51"/>
        <v>21.3</v>
      </c>
      <c r="AG571" s="16">
        <f t="shared" si="52"/>
        <v>27.4</v>
      </c>
      <c r="AH571" s="16" t="str">
        <f t="shared" si="53"/>
        <v/>
      </c>
    </row>
    <row r="572" spans="1:34" x14ac:dyDescent="0.35">
      <c r="A572" s="2" t="s">
        <v>1690</v>
      </c>
      <c r="B572" s="2" t="s">
        <v>29</v>
      </c>
      <c r="C572" s="2" t="s">
        <v>30</v>
      </c>
      <c r="D572" s="2" t="s">
        <v>200</v>
      </c>
      <c r="E572" s="2" t="s">
        <v>50</v>
      </c>
      <c r="F572" s="2" t="s">
        <v>1038</v>
      </c>
      <c r="G572" s="2" t="s">
        <v>1579</v>
      </c>
      <c r="H572" s="2" t="s">
        <v>180</v>
      </c>
      <c r="I572" s="2" t="s">
        <v>77</v>
      </c>
      <c r="J572" s="2" t="s">
        <v>37</v>
      </c>
      <c r="K572" s="2" t="s">
        <v>38</v>
      </c>
      <c r="L572" s="2" t="s">
        <v>38</v>
      </c>
      <c r="M572" s="2" t="s">
        <v>1532</v>
      </c>
      <c r="N572" s="2" t="s">
        <v>38</v>
      </c>
      <c r="O572" s="2" t="s">
        <v>38</v>
      </c>
      <c r="P572" s="2" t="s">
        <v>1691</v>
      </c>
      <c r="Q572" s="2" t="s">
        <v>38</v>
      </c>
      <c r="R572" s="2" t="s">
        <v>1029</v>
      </c>
      <c r="S572" s="2" t="s">
        <v>1692</v>
      </c>
      <c r="T572" s="2" t="s">
        <v>1457</v>
      </c>
      <c r="U572" s="2" t="s">
        <v>205</v>
      </c>
      <c r="V572" s="2" t="s">
        <v>1398</v>
      </c>
      <c r="W572" s="2" t="s">
        <v>38</v>
      </c>
      <c r="X572" s="3">
        <v>41113</v>
      </c>
      <c r="Y572" s="2" t="s">
        <v>1693</v>
      </c>
      <c r="Z572" s="34"/>
      <c r="AA572" s="2" t="s">
        <v>1323</v>
      </c>
      <c r="AB572" s="2" t="s">
        <v>1550</v>
      </c>
      <c r="AC572" s="12">
        <f t="shared" si="48"/>
        <v>2012</v>
      </c>
      <c r="AD572" s="12">
        <f t="shared" si="49"/>
        <v>7</v>
      </c>
      <c r="AE572" s="12">
        <f t="shared" si="50"/>
        <v>23</v>
      </c>
      <c r="AF572" s="16">
        <f t="shared" si="51"/>
        <v>21.5</v>
      </c>
      <c r="AG572" s="16">
        <f t="shared" si="52"/>
        <v>28.7</v>
      </c>
      <c r="AH572" s="16" t="str">
        <f t="shared" si="53"/>
        <v/>
      </c>
    </row>
    <row r="573" spans="1:34" x14ac:dyDescent="0.35">
      <c r="A573" s="2" t="s">
        <v>1695</v>
      </c>
      <c r="B573" s="2" t="s">
        <v>29</v>
      </c>
      <c r="C573" s="2" t="s">
        <v>30</v>
      </c>
      <c r="D573" s="2" t="s">
        <v>187</v>
      </c>
      <c r="E573" s="2" t="s">
        <v>50</v>
      </c>
      <c r="F573" s="2" t="s">
        <v>1335</v>
      </c>
      <c r="G573" s="2" t="s">
        <v>1696</v>
      </c>
      <c r="H573" s="2" t="s">
        <v>233</v>
      </c>
      <c r="I573" s="2" t="s">
        <v>77</v>
      </c>
      <c r="J573" s="2" t="s">
        <v>37</v>
      </c>
      <c r="K573" s="2" t="s">
        <v>38</v>
      </c>
      <c r="L573" s="2" t="s">
        <v>38</v>
      </c>
      <c r="M573" s="2" t="s">
        <v>1605</v>
      </c>
      <c r="N573" s="2" t="s">
        <v>38</v>
      </c>
      <c r="O573" s="2" t="s">
        <v>38</v>
      </c>
      <c r="P573" s="2" t="s">
        <v>495</v>
      </c>
      <c r="Q573" s="2" t="s">
        <v>38</v>
      </c>
      <c r="R573" s="2" t="s">
        <v>1029</v>
      </c>
      <c r="S573" s="2" t="s">
        <v>1556</v>
      </c>
      <c r="T573" s="2" t="s">
        <v>1606</v>
      </c>
      <c r="U573" s="2" t="s">
        <v>1066</v>
      </c>
      <c r="V573" s="2" t="s">
        <v>1432</v>
      </c>
      <c r="W573" s="2" t="s">
        <v>38</v>
      </c>
      <c r="X573" s="3">
        <v>41114</v>
      </c>
      <c r="Y573" s="2" t="s">
        <v>1697</v>
      </c>
      <c r="Z573" s="4"/>
      <c r="AA573" s="2" t="s">
        <v>1323</v>
      </c>
      <c r="AB573" s="2" t="s">
        <v>1550</v>
      </c>
      <c r="AC573" s="12">
        <f t="shared" si="48"/>
        <v>2012</v>
      </c>
      <c r="AD573" s="12">
        <f t="shared" si="49"/>
        <v>7</v>
      </c>
      <c r="AE573" s="12">
        <f t="shared" si="50"/>
        <v>24</v>
      </c>
      <c r="AF573" s="16">
        <f t="shared" si="51"/>
        <v>20.8</v>
      </c>
      <c r="AG573" s="16">
        <f t="shared" si="52"/>
        <v>29.3</v>
      </c>
      <c r="AH573" s="16" t="str">
        <f t="shared" si="53"/>
        <v/>
      </c>
    </row>
    <row r="574" spans="1:34" x14ac:dyDescent="0.35">
      <c r="A574" s="2" t="s">
        <v>1699</v>
      </c>
      <c r="B574" s="2" t="s">
        <v>29</v>
      </c>
      <c r="C574" s="2" t="s">
        <v>30</v>
      </c>
      <c r="D574" s="2" t="s">
        <v>187</v>
      </c>
      <c r="E574" s="2" t="s">
        <v>50</v>
      </c>
      <c r="F574" s="2" t="s">
        <v>1232</v>
      </c>
      <c r="G574" s="2" t="s">
        <v>34</v>
      </c>
      <c r="H574" s="2" t="s">
        <v>877</v>
      </c>
      <c r="I574" s="2" t="s">
        <v>77</v>
      </c>
      <c r="J574" s="2" t="s">
        <v>37</v>
      </c>
      <c r="K574" s="2" t="s">
        <v>38</v>
      </c>
      <c r="L574" s="2" t="s">
        <v>38</v>
      </c>
      <c r="M574" s="2" t="s">
        <v>1532</v>
      </c>
      <c r="N574" s="2" t="s">
        <v>38</v>
      </c>
      <c r="O574" s="2" t="s">
        <v>38</v>
      </c>
      <c r="P574" s="2" t="s">
        <v>404</v>
      </c>
      <c r="Q574" s="2" t="s">
        <v>38</v>
      </c>
      <c r="R574" s="2" t="s">
        <v>1367</v>
      </c>
      <c r="S574" s="2" t="s">
        <v>1501</v>
      </c>
      <c r="T574" s="2" t="s">
        <v>1457</v>
      </c>
      <c r="U574" s="2" t="s">
        <v>891</v>
      </c>
      <c r="V574" s="2" t="s">
        <v>1432</v>
      </c>
      <c r="W574" s="2" t="s">
        <v>38</v>
      </c>
      <c r="X574" s="3">
        <v>41115</v>
      </c>
      <c r="Y574" s="2" t="s">
        <v>1700</v>
      </c>
      <c r="Z574" s="34"/>
      <c r="AA574" s="2" t="s">
        <v>1323</v>
      </c>
      <c r="AB574" s="2" t="s">
        <v>1550</v>
      </c>
      <c r="AC574" s="12">
        <f t="shared" si="48"/>
        <v>2012</v>
      </c>
      <c r="AD574" s="12">
        <f t="shared" si="49"/>
        <v>7</v>
      </c>
      <c r="AE574" s="12">
        <f t="shared" si="50"/>
        <v>25</v>
      </c>
      <c r="AF574" s="16">
        <f t="shared" si="51"/>
        <v>20.8</v>
      </c>
      <c r="AG574" s="16">
        <f t="shared" si="52"/>
        <v>28.6</v>
      </c>
      <c r="AH574" s="16" t="str">
        <f t="shared" si="53"/>
        <v/>
      </c>
    </row>
    <row r="575" spans="1:34" x14ac:dyDescent="0.35">
      <c r="A575" s="2" t="s">
        <v>1702</v>
      </c>
      <c r="B575" s="2" t="s">
        <v>29</v>
      </c>
      <c r="C575" s="2" t="s">
        <v>30</v>
      </c>
      <c r="D575" s="2" t="s">
        <v>200</v>
      </c>
      <c r="E575" s="2" t="s">
        <v>50</v>
      </c>
      <c r="F575" s="2" t="s">
        <v>966</v>
      </c>
      <c r="G575" s="2" t="s">
        <v>1642</v>
      </c>
      <c r="H575" s="2" t="s">
        <v>331</v>
      </c>
      <c r="I575" s="2" t="s">
        <v>187</v>
      </c>
      <c r="J575" s="2" t="s">
        <v>37</v>
      </c>
      <c r="K575" s="2" t="s">
        <v>38</v>
      </c>
      <c r="L575" s="2" t="s">
        <v>38</v>
      </c>
      <c r="M575" s="2" t="s">
        <v>1414</v>
      </c>
      <c r="N575" s="2" t="s">
        <v>38</v>
      </c>
      <c r="O575" s="2" t="s">
        <v>38</v>
      </c>
      <c r="P575" s="2" t="s">
        <v>1705</v>
      </c>
      <c r="Q575" s="2" t="s">
        <v>38</v>
      </c>
      <c r="R575" s="2" t="s">
        <v>1456</v>
      </c>
      <c r="S575" s="2" t="s">
        <v>1662</v>
      </c>
      <c r="T575" s="2" t="s">
        <v>1469</v>
      </c>
      <c r="U575" s="2" t="s">
        <v>858</v>
      </c>
      <c r="V575" s="2" t="s">
        <v>1480</v>
      </c>
      <c r="W575" s="2" t="s">
        <v>38</v>
      </c>
      <c r="X575" s="3">
        <v>41116</v>
      </c>
      <c r="Y575" s="2" t="s">
        <v>1706</v>
      </c>
      <c r="Z575" s="4"/>
      <c r="AA575" s="2" t="s">
        <v>1323</v>
      </c>
      <c r="AB575" s="2" t="s">
        <v>1550</v>
      </c>
      <c r="AC575" s="12">
        <f t="shared" si="48"/>
        <v>2012</v>
      </c>
      <c r="AD575" s="12">
        <f t="shared" si="49"/>
        <v>7</v>
      </c>
      <c r="AE575" s="12">
        <f t="shared" si="50"/>
        <v>26</v>
      </c>
      <c r="AF575" s="16">
        <f t="shared" si="51"/>
        <v>21.1</v>
      </c>
      <c r="AG575" s="16">
        <f t="shared" si="52"/>
        <v>25.6</v>
      </c>
      <c r="AH575" s="16" t="str">
        <f t="shared" si="53"/>
        <v/>
      </c>
    </row>
    <row r="576" spans="1:34" x14ac:dyDescent="0.35">
      <c r="A576" s="2" t="s">
        <v>1707</v>
      </c>
      <c r="B576" s="2" t="s">
        <v>29</v>
      </c>
      <c r="C576" s="2" t="s">
        <v>30</v>
      </c>
      <c r="D576" s="2" t="s">
        <v>171</v>
      </c>
      <c r="E576" s="2" t="s">
        <v>50</v>
      </c>
      <c r="F576" s="2" t="s">
        <v>1089</v>
      </c>
      <c r="G576" s="2" t="s">
        <v>1625</v>
      </c>
      <c r="H576" s="2" t="s">
        <v>475</v>
      </c>
      <c r="I576" s="2" t="s">
        <v>31</v>
      </c>
      <c r="J576" s="2" t="s">
        <v>37</v>
      </c>
      <c r="K576" s="2" t="s">
        <v>38</v>
      </c>
      <c r="L576" s="2" t="s">
        <v>38</v>
      </c>
      <c r="M576" s="2" t="s">
        <v>1605</v>
      </c>
      <c r="N576" s="2" t="s">
        <v>38</v>
      </c>
      <c r="O576" s="2" t="s">
        <v>38</v>
      </c>
      <c r="P576" s="2" t="s">
        <v>1708</v>
      </c>
      <c r="Q576" s="2" t="s">
        <v>38</v>
      </c>
      <c r="R576" s="2" t="s">
        <v>1029</v>
      </c>
      <c r="S576" s="2" t="s">
        <v>1556</v>
      </c>
      <c r="T576" s="2" t="s">
        <v>1649</v>
      </c>
      <c r="U576" s="2" t="s">
        <v>175</v>
      </c>
      <c r="V576" s="2" t="s">
        <v>1480</v>
      </c>
      <c r="W576" s="2" t="s">
        <v>38</v>
      </c>
      <c r="X576" s="3">
        <v>41117</v>
      </c>
      <c r="Y576" s="2" t="s">
        <v>1709</v>
      </c>
      <c r="Z576" s="34"/>
      <c r="AA576" s="2" t="s">
        <v>1323</v>
      </c>
      <c r="AB576" s="2" t="s">
        <v>1550</v>
      </c>
      <c r="AC576" s="12">
        <f t="shared" si="48"/>
        <v>2012</v>
      </c>
      <c r="AD576" s="12">
        <f t="shared" si="49"/>
        <v>7</v>
      </c>
      <c r="AE576" s="12">
        <f t="shared" si="50"/>
        <v>27</v>
      </c>
      <c r="AF576" s="16">
        <f t="shared" si="51"/>
        <v>21.1</v>
      </c>
      <c r="AG576" s="16">
        <f t="shared" si="52"/>
        <v>28.4</v>
      </c>
      <c r="AH576" s="16" t="str">
        <f t="shared" si="53"/>
        <v/>
      </c>
    </row>
    <row r="577" spans="1:34" x14ac:dyDescent="0.35">
      <c r="A577" s="2" t="s">
        <v>1712</v>
      </c>
      <c r="B577" s="2" t="s">
        <v>29</v>
      </c>
      <c r="C577" s="2" t="s">
        <v>30</v>
      </c>
      <c r="D577" s="2" t="s">
        <v>214</v>
      </c>
      <c r="E577" s="2" t="s">
        <v>50</v>
      </c>
      <c r="F577" s="2" t="s">
        <v>1144</v>
      </c>
      <c r="G577" s="2" t="s">
        <v>1596</v>
      </c>
      <c r="H577" s="2" t="s">
        <v>96</v>
      </c>
      <c r="I577" s="2" t="s">
        <v>31</v>
      </c>
      <c r="J577" s="2" t="s">
        <v>37</v>
      </c>
      <c r="K577" s="2" t="s">
        <v>38</v>
      </c>
      <c r="L577" s="2" t="s">
        <v>38</v>
      </c>
      <c r="M577" s="2" t="s">
        <v>1532</v>
      </c>
      <c r="N577" s="2" t="s">
        <v>38</v>
      </c>
      <c r="O577" s="2" t="s">
        <v>38</v>
      </c>
      <c r="P577" s="2" t="s">
        <v>189</v>
      </c>
      <c r="Q577" s="2" t="s">
        <v>38</v>
      </c>
      <c r="R577" s="2" t="s">
        <v>1029</v>
      </c>
      <c r="S577" s="2" t="s">
        <v>1561</v>
      </c>
      <c r="T577" s="2" t="s">
        <v>1457</v>
      </c>
      <c r="U577" s="2" t="s">
        <v>778</v>
      </c>
      <c r="V577" s="2" t="s">
        <v>1398</v>
      </c>
      <c r="W577" s="2" t="s">
        <v>38</v>
      </c>
      <c r="X577" s="3">
        <v>41118</v>
      </c>
      <c r="Y577" s="2" t="s">
        <v>1716</v>
      </c>
      <c r="Z577" s="4"/>
      <c r="AA577" s="2" t="s">
        <v>1323</v>
      </c>
      <c r="AB577" s="2" t="s">
        <v>1550</v>
      </c>
      <c r="AC577" s="12">
        <f t="shared" si="48"/>
        <v>2012</v>
      </c>
      <c r="AD577" s="12">
        <f t="shared" si="49"/>
        <v>7</v>
      </c>
      <c r="AE577" s="12">
        <f t="shared" si="50"/>
        <v>28</v>
      </c>
      <c r="AF577" s="16">
        <f t="shared" si="51"/>
        <v>21.5</v>
      </c>
      <c r="AG577" s="16">
        <f t="shared" si="52"/>
        <v>28</v>
      </c>
      <c r="AH577" s="16" t="str">
        <f t="shared" si="53"/>
        <v/>
      </c>
    </row>
    <row r="578" spans="1:34" x14ac:dyDescent="0.35">
      <c r="A578" s="2" t="s">
        <v>1717</v>
      </c>
      <c r="B578" s="2" t="s">
        <v>29</v>
      </c>
      <c r="C578" s="2" t="s">
        <v>30</v>
      </c>
      <c r="D578" s="2" t="s">
        <v>200</v>
      </c>
      <c r="E578" s="2" t="s">
        <v>50</v>
      </c>
      <c r="F578" s="2" t="s">
        <v>733</v>
      </c>
      <c r="G578" s="2" t="s">
        <v>1372</v>
      </c>
      <c r="H578" s="2" t="s">
        <v>121</v>
      </c>
      <c r="I578" s="2" t="s">
        <v>31</v>
      </c>
      <c r="J578" s="2" t="s">
        <v>37</v>
      </c>
      <c r="K578" s="2" t="s">
        <v>38</v>
      </c>
      <c r="L578" s="2" t="s">
        <v>38</v>
      </c>
      <c r="M578" s="2" t="s">
        <v>1532</v>
      </c>
      <c r="N578" s="2" t="s">
        <v>38</v>
      </c>
      <c r="O578" s="2" t="s">
        <v>38</v>
      </c>
      <c r="P578" s="2" t="s">
        <v>1718</v>
      </c>
      <c r="Q578" s="2" t="s">
        <v>38</v>
      </c>
      <c r="R578" s="2" t="s">
        <v>1029</v>
      </c>
      <c r="S578" s="2" t="s">
        <v>1561</v>
      </c>
      <c r="T578" s="2" t="s">
        <v>1606</v>
      </c>
      <c r="U578" s="2" t="s">
        <v>899</v>
      </c>
      <c r="V578" s="2" t="s">
        <v>1432</v>
      </c>
      <c r="W578" s="2" t="s">
        <v>38</v>
      </c>
      <c r="X578" s="3">
        <v>41119</v>
      </c>
      <c r="Y578" s="2" t="s">
        <v>1719</v>
      </c>
      <c r="Z578" s="4"/>
      <c r="AA578" s="2" t="s">
        <v>1323</v>
      </c>
      <c r="AB578" s="2" t="s">
        <v>1550</v>
      </c>
      <c r="AC578" s="12">
        <f t="shared" ref="AC578:AC641" si="54">YEAR(X578)</f>
        <v>2012</v>
      </c>
      <c r="AD578" s="12">
        <f t="shared" ref="AD578:AD641" si="55">MONTH(X578)</f>
        <v>7</v>
      </c>
      <c r="AE578" s="12">
        <f t="shared" ref="AE578:AE641" si="56">DAY(X578)</f>
        <v>29</v>
      </c>
      <c r="AF578" s="16">
        <f t="shared" ref="AF578:AF641" si="57">IF(LEN(V578)&gt;0,V578/10,"")</f>
        <v>20.8</v>
      </c>
      <c r="AG578" s="16">
        <f t="shared" ref="AG578:AG641" si="58">IF(LEN(P578)&gt;0,P578/10,"")</f>
        <v>27.6</v>
      </c>
      <c r="AH578" s="16" t="str">
        <f t="shared" ref="AH578:AH641" si="59">IF(LEN(Q578)&gt;0,Q578/10,"")</f>
        <v/>
      </c>
    </row>
    <row r="579" spans="1:34" x14ac:dyDescent="0.35">
      <c r="A579" s="2" t="s">
        <v>1721</v>
      </c>
      <c r="B579" s="2" t="s">
        <v>29</v>
      </c>
      <c r="C579" s="2" t="s">
        <v>30</v>
      </c>
      <c r="D579" s="2" t="s">
        <v>306</v>
      </c>
      <c r="E579" s="2" t="s">
        <v>714</v>
      </c>
      <c r="F579" s="2" t="s">
        <v>951</v>
      </c>
      <c r="G579" s="2" t="s">
        <v>1722</v>
      </c>
      <c r="H579" s="2" t="s">
        <v>113</v>
      </c>
      <c r="I579" s="2" t="s">
        <v>171</v>
      </c>
      <c r="J579" s="2" t="s">
        <v>37</v>
      </c>
      <c r="K579" s="2" t="s">
        <v>38</v>
      </c>
      <c r="L579" s="2" t="s">
        <v>38</v>
      </c>
      <c r="M579" s="2" t="s">
        <v>1597</v>
      </c>
      <c r="N579" s="2" t="s">
        <v>38</v>
      </c>
      <c r="O579" s="2" t="s">
        <v>38</v>
      </c>
      <c r="P579" s="2" t="s">
        <v>203</v>
      </c>
      <c r="Q579" s="2" t="s">
        <v>38</v>
      </c>
      <c r="R579" s="2" t="s">
        <v>1456</v>
      </c>
      <c r="S579" s="2" t="s">
        <v>1667</v>
      </c>
      <c r="T579" s="2" t="s">
        <v>1599</v>
      </c>
      <c r="U579" s="2" t="s">
        <v>782</v>
      </c>
      <c r="V579" s="2" t="s">
        <v>1524</v>
      </c>
      <c r="W579" s="2" t="s">
        <v>38</v>
      </c>
      <c r="X579" s="3">
        <v>41120</v>
      </c>
      <c r="Y579" s="2" t="s">
        <v>1723</v>
      </c>
      <c r="Z579" s="34"/>
      <c r="AA579" s="2" t="s">
        <v>1323</v>
      </c>
      <c r="AB579" s="2" t="s">
        <v>1550</v>
      </c>
      <c r="AC579" s="12">
        <f t="shared" si="54"/>
        <v>2012</v>
      </c>
      <c r="AD579" s="12">
        <f t="shared" si="55"/>
        <v>7</v>
      </c>
      <c r="AE579" s="12">
        <f t="shared" si="56"/>
        <v>30</v>
      </c>
      <c r="AF579" s="16">
        <f t="shared" si="57"/>
        <v>21.7</v>
      </c>
      <c r="AG579" s="16">
        <f t="shared" si="58"/>
        <v>26.9</v>
      </c>
      <c r="AH579" s="16" t="str">
        <f t="shared" si="59"/>
        <v/>
      </c>
    </row>
    <row r="580" spans="1:34" x14ac:dyDescent="0.35">
      <c r="A580" s="2" t="s">
        <v>1726</v>
      </c>
      <c r="B580" s="2" t="s">
        <v>29</v>
      </c>
      <c r="C580" s="2" t="s">
        <v>30</v>
      </c>
      <c r="D580" s="2" t="s">
        <v>714</v>
      </c>
      <c r="E580" s="2" t="s">
        <v>50</v>
      </c>
      <c r="F580" s="2" t="s">
        <v>951</v>
      </c>
      <c r="G580" s="2" t="s">
        <v>1454</v>
      </c>
      <c r="H580" s="2" t="s">
        <v>202</v>
      </c>
      <c r="I580" s="2" t="s">
        <v>214</v>
      </c>
      <c r="J580" s="2" t="s">
        <v>37</v>
      </c>
      <c r="K580" s="2" t="s">
        <v>38</v>
      </c>
      <c r="L580" s="2" t="s">
        <v>38</v>
      </c>
      <c r="M580" s="2" t="s">
        <v>1597</v>
      </c>
      <c r="N580" s="2" t="s">
        <v>38</v>
      </c>
      <c r="O580" s="2" t="s">
        <v>38</v>
      </c>
      <c r="P580" s="2" t="s">
        <v>1450</v>
      </c>
      <c r="Q580" s="2" t="s">
        <v>38</v>
      </c>
      <c r="R580" s="2" t="s">
        <v>1456</v>
      </c>
      <c r="S580" s="2" t="s">
        <v>1667</v>
      </c>
      <c r="T580" s="2" t="s">
        <v>1731</v>
      </c>
      <c r="U580" s="2" t="s">
        <v>716</v>
      </c>
      <c r="V580" s="2" t="s">
        <v>1480</v>
      </c>
      <c r="W580" s="2" t="s">
        <v>38</v>
      </c>
      <c r="X580" s="3">
        <v>41121</v>
      </c>
      <c r="Y580" s="2" t="s">
        <v>1732</v>
      </c>
      <c r="Z580" s="34"/>
      <c r="AA580" s="2" t="s">
        <v>672</v>
      </c>
      <c r="AB580" s="2" t="s">
        <v>1733</v>
      </c>
      <c r="AC580" s="12">
        <f t="shared" si="54"/>
        <v>2012</v>
      </c>
      <c r="AD580" s="12">
        <f t="shared" si="55"/>
        <v>7</v>
      </c>
      <c r="AE580" s="12">
        <f t="shared" si="56"/>
        <v>31</v>
      </c>
      <c r="AF580" s="16">
        <f t="shared" si="57"/>
        <v>21.1</v>
      </c>
      <c r="AG580" s="16">
        <f t="shared" si="58"/>
        <v>24.1</v>
      </c>
      <c r="AH580" s="16" t="str">
        <f t="shared" si="59"/>
        <v/>
      </c>
    </row>
    <row r="581" spans="1:34" x14ac:dyDescent="0.35">
      <c r="A581" s="2" t="s">
        <v>1734</v>
      </c>
      <c r="B581" s="2" t="s">
        <v>29</v>
      </c>
      <c r="C581" s="2" t="s">
        <v>30</v>
      </c>
      <c r="D581" s="2" t="s">
        <v>306</v>
      </c>
      <c r="E581" s="2" t="s">
        <v>714</v>
      </c>
      <c r="F581" s="2" t="s">
        <v>287</v>
      </c>
      <c r="G581" s="2" t="s">
        <v>1596</v>
      </c>
      <c r="H581" s="2" t="s">
        <v>1737</v>
      </c>
      <c r="I581" s="2" t="s">
        <v>187</v>
      </c>
      <c r="J581" s="2" t="s">
        <v>37</v>
      </c>
      <c r="K581" s="2" t="s">
        <v>38</v>
      </c>
      <c r="L581" s="2" t="s">
        <v>38</v>
      </c>
      <c r="M581" s="2" t="s">
        <v>1605</v>
      </c>
      <c r="N581" s="2" t="s">
        <v>38</v>
      </c>
      <c r="O581" s="2" t="s">
        <v>38</v>
      </c>
      <c r="P581" s="2" t="s">
        <v>1738</v>
      </c>
      <c r="Q581" s="2" t="s">
        <v>38</v>
      </c>
      <c r="R581" s="2" t="s">
        <v>1029</v>
      </c>
      <c r="S581" s="2" t="s">
        <v>1058</v>
      </c>
      <c r="T581" s="2" t="s">
        <v>1649</v>
      </c>
      <c r="U581" s="2" t="s">
        <v>1517</v>
      </c>
      <c r="V581" s="2" t="s">
        <v>1524</v>
      </c>
      <c r="W581" s="2" t="s">
        <v>38</v>
      </c>
      <c r="X581" s="3">
        <v>41122</v>
      </c>
      <c r="Y581" s="2" t="s">
        <v>1739</v>
      </c>
      <c r="Z581" s="4"/>
      <c r="AA581" s="2" t="s">
        <v>672</v>
      </c>
      <c r="AB581" s="2" t="s">
        <v>1733</v>
      </c>
      <c r="AC581" s="12">
        <f t="shared" si="54"/>
        <v>2012</v>
      </c>
      <c r="AD581" s="12">
        <f t="shared" si="55"/>
        <v>8</v>
      </c>
      <c r="AE581" s="12">
        <f t="shared" si="56"/>
        <v>1</v>
      </c>
      <c r="AF581" s="16">
        <f t="shared" si="57"/>
        <v>21.7</v>
      </c>
      <c r="AG581" s="16">
        <f t="shared" si="58"/>
        <v>26</v>
      </c>
      <c r="AH581" s="16" t="str">
        <f t="shared" si="59"/>
        <v/>
      </c>
    </row>
    <row r="582" spans="1:34" x14ac:dyDescent="0.35">
      <c r="A582" s="2" t="s">
        <v>1740</v>
      </c>
      <c r="B582" s="2" t="s">
        <v>29</v>
      </c>
      <c r="C582" s="2" t="s">
        <v>30</v>
      </c>
      <c r="D582" s="2" t="s">
        <v>187</v>
      </c>
      <c r="E582" s="2" t="s">
        <v>714</v>
      </c>
      <c r="F582" s="2" t="s">
        <v>901</v>
      </c>
      <c r="G582" s="2" t="s">
        <v>1460</v>
      </c>
      <c r="H582" s="2" t="s">
        <v>153</v>
      </c>
      <c r="I582" s="2" t="s">
        <v>31</v>
      </c>
      <c r="J582" s="2" t="s">
        <v>37</v>
      </c>
      <c r="K582" s="2" t="s">
        <v>38</v>
      </c>
      <c r="L582" s="2" t="s">
        <v>38</v>
      </c>
      <c r="M582" s="2" t="s">
        <v>1532</v>
      </c>
      <c r="N582" s="2" t="s">
        <v>38</v>
      </c>
      <c r="O582" s="2" t="s">
        <v>38</v>
      </c>
      <c r="P582" s="2" t="s">
        <v>1745</v>
      </c>
      <c r="Q582" s="2" t="s">
        <v>38</v>
      </c>
      <c r="R582" s="2" t="s">
        <v>1029</v>
      </c>
      <c r="S582" s="2" t="s">
        <v>1746</v>
      </c>
      <c r="T582" s="2" t="s">
        <v>1479</v>
      </c>
      <c r="U582" s="2" t="s">
        <v>253</v>
      </c>
      <c r="V582" s="2" t="s">
        <v>770</v>
      </c>
      <c r="W582" s="2" t="s">
        <v>38</v>
      </c>
      <c r="X582" s="3">
        <v>41123</v>
      </c>
      <c r="Y582" s="2" t="s">
        <v>1747</v>
      </c>
      <c r="Z582" s="34"/>
      <c r="AA582" s="2" t="s">
        <v>672</v>
      </c>
      <c r="AB582" s="2" t="s">
        <v>1733</v>
      </c>
      <c r="AC582" s="12">
        <f t="shared" si="54"/>
        <v>2012</v>
      </c>
      <c r="AD582" s="12">
        <f t="shared" si="55"/>
        <v>8</v>
      </c>
      <c r="AE582" s="12">
        <f t="shared" si="56"/>
        <v>2</v>
      </c>
      <c r="AF582" s="16">
        <f t="shared" si="57"/>
        <v>21.6</v>
      </c>
      <c r="AG582" s="16">
        <f t="shared" si="58"/>
        <v>28.1</v>
      </c>
      <c r="AH582" s="16" t="str">
        <f t="shared" si="59"/>
        <v/>
      </c>
    </row>
    <row r="583" spans="1:34" x14ac:dyDescent="0.35">
      <c r="A583" s="2" t="s">
        <v>1748</v>
      </c>
      <c r="B583" s="2" t="s">
        <v>29</v>
      </c>
      <c r="C583" s="2" t="s">
        <v>30</v>
      </c>
      <c r="D583" s="2" t="s">
        <v>306</v>
      </c>
      <c r="E583" s="2" t="s">
        <v>50</v>
      </c>
      <c r="F583" s="2" t="s">
        <v>959</v>
      </c>
      <c r="G583" s="2" t="s">
        <v>1637</v>
      </c>
      <c r="H583" s="2" t="s">
        <v>386</v>
      </c>
      <c r="I583" s="2" t="s">
        <v>31</v>
      </c>
      <c r="J583" s="2" t="s">
        <v>37</v>
      </c>
      <c r="K583" s="2" t="s">
        <v>38</v>
      </c>
      <c r="L583" s="2" t="s">
        <v>38</v>
      </c>
      <c r="M583" s="2" t="s">
        <v>1597</v>
      </c>
      <c r="N583" s="2" t="s">
        <v>38</v>
      </c>
      <c r="O583" s="2" t="s">
        <v>38</v>
      </c>
      <c r="P583" s="2" t="s">
        <v>1718</v>
      </c>
      <c r="Q583" s="2" t="s">
        <v>38</v>
      </c>
      <c r="R583" s="2" t="s">
        <v>1456</v>
      </c>
      <c r="S583" s="2" t="s">
        <v>1662</v>
      </c>
      <c r="T583" s="2" t="s">
        <v>1599</v>
      </c>
      <c r="U583" s="2" t="s">
        <v>1517</v>
      </c>
      <c r="V583" s="2" t="s">
        <v>1398</v>
      </c>
      <c r="W583" s="2" t="s">
        <v>38</v>
      </c>
      <c r="X583" s="3">
        <v>41124</v>
      </c>
      <c r="Y583" s="2" t="s">
        <v>1751</v>
      </c>
      <c r="Z583" s="4"/>
      <c r="AA583" s="2" t="s">
        <v>672</v>
      </c>
      <c r="AB583" s="2" t="s">
        <v>1733</v>
      </c>
      <c r="AC583" s="12">
        <f t="shared" si="54"/>
        <v>2012</v>
      </c>
      <c r="AD583" s="12">
        <f t="shared" si="55"/>
        <v>8</v>
      </c>
      <c r="AE583" s="12">
        <f t="shared" si="56"/>
        <v>3</v>
      </c>
      <c r="AF583" s="16">
        <f t="shared" si="57"/>
        <v>21.5</v>
      </c>
      <c r="AG583" s="16">
        <f t="shared" si="58"/>
        <v>27.6</v>
      </c>
      <c r="AH583" s="16" t="str">
        <f t="shared" si="59"/>
        <v/>
      </c>
    </row>
    <row r="584" spans="1:34" x14ac:dyDescent="0.35">
      <c r="A584" s="2" t="s">
        <v>1752</v>
      </c>
      <c r="B584" s="2" t="s">
        <v>29</v>
      </c>
      <c r="C584" s="2" t="s">
        <v>30</v>
      </c>
      <c r="D584" s="2" t="s">
        <v>214</v>
      </c>
      <c r="E584" s="2" t="s">
        <v>714</v>
      </c>
      <c r="F584" s="2" t="s">
        <v>1106</v>
      </c>
      <c r="G584" s="2" t="s">
        <v>1637</v>
      </c>
      <c r="H584" s="2" t="s">
        <v>276</v>
      </c>
      <c r="I584" s="2" t="s">
        <v>171</v>
      </c>
      <c r="J584" s="2" t="s">
        <v>37</v>
      </c>
      <c r="K584" s="2" t="s">
        <v>38</v>
      </c>
      <c r="L584" s="2" t="s">
        <v>38</v>
      </c>
      <c r="M584" s="2" t="s">
        <v>1597</v>
      </c>
      <c r="N584" s="2" t="s">
        <v>38</v>
      </c>
      <c r="O584" s="2" t="s">
        <v>38</v>
      </c>
      <c r="P584" s="2" t="s">
        <v>1685</v>
      </c>
      <c r="Q584" s="2" t="s">
        <v>38</v>
      </c>
      <c r="R584" s="2" t="s">
        <v>1456</v>
      </c>
      <c r="S584" s="2" t="s">
        <v>1753</v>
      </c>
      <c r="T584" s="2" t="s">
        <v>1599</v>
      </c>
      <c r="U584" s="2" t="s">
        <v>778</v>
      </c>
      <c r="V584" s="2" t="s">
        <v>1743</v>
      </c>
      <c r="W584" s="2" t="s">
        <v>38</v>
      </c>
      <c r="X584" s="3">
        <v>41125</v>
      </c>
      <c r="Y584" s="2" t="s">
        <v>1754</v>
      </c>
      <c r="Z584" s="34"/>
      <c r="AA584" s="2" t="s">
        <v>672</v>
      </c>
      <c r="AB584" s="2" t="s">
        <v>1733</v>
      </c>
      <c r="AC584" s="12">
        <f t="shared" si="54"/>
        <v>2012</v>
      </c>
      <c r="AD584" s="12">
        <f t="shared" si="55"/>
        <v>8</v>
      </c>
      <c r="AE584" s="12">
        <f t="shared" si="56"/>
        <v>4</v>
      </c>
      <c r="AF584" s="16">
        <f t="shared" si="57"/>
        <v>21.8</v>
      </c>
      <c r="AG584" s="16">
        <f t="shared" si="58"/>
        <v>27.4</v>
      </c>
      <c r="AH584" s="16" t="str">
        <f t="shared" si="59"/>
        <v/>
      </c>
    </row>
    <row r="585" spans="1:34" x14ac:dyDescent="0.35">
      <c r="A585" s="2" t="s">
        <v>1757</v>
      </c>
      <c r="B585" s="2" t="s">
        <v>29</v>
      </c>
      <c r="C585" s="2" t="s">
        <v>30</v>
      </c>
      <c r="D585" s="2" t="s">
        <v>200</v>
      </c>
      <c r="E585" s="2" t="s">
        <v>714</v>
      </c>
      <c r="F585" s="2" t="s">
        <v>658</v>
      </c>
      <c r="G585" s="2" t="s">
        <v>1625</v>
      </c>
      <c r="H585" s="2" t="s">
        <v>240</v>
      </c>
      <c r="I585" s="2" t="s">
        <v>77</v>
      </c>
      <c r="J585" s="2" t="s">
        <v>37</v>
      </c>
      <c r="K585" s="2" t="s">
        <v>38</v>
      </c>
      <c r="L585" s="2" t="s">
        <v>38</v>
      </c>
      <c r="M585" s="2" t="s">
        <v>1605</v>
      </c>
      <c r="N585" s="2" t="s">
        <v>38</v>
      </c>
      <c r="O585" s="2" t="s">
        <v>38</v>
      </c>
      <c r="P585" s="2" t="s">
        <v>404</v>
      </c>
      <c r="Q585" s="2" t="s">
        <v>38</v>
      </c>
      <c r="R585" s="2" t="s">
        <v>1029</v>
      </c>
      <c r="S585" s="2" t="s">
        <v>1556</v>
      </c>
      <c r="T585" s="2" t="s">
        <v>1649</v>
      </c>
      <c r="U585" s="2" t="s">
        <v>1610</v>
      </c>
      <c r="V585" s="2" t="s">
        <v>1524</v>
      </c>
      <c r="W585" s="2" t="s">
        <v>38</v>
      </c>
      <c r="X585" s="3">
        <v>41126</v>
      </c>
      <c r="Y585" s="2" t="s">
        <v>1758</v>
      </c>
      <c r="Z585" s="4"/>
      <c r="AA585" s="2" t="s">
        <v>672</v>
      </c>
      <c r="AB585" s="2" t="s">
        <v>1733</v>
      </c>
      <c r="AC585" s="12">
        <f t="shared" si="54"/>
        <v>2012</v>
      </c>
      <c r="AD585" s="12">
        <f t="shared" si="55"/>
        <v>8</v>
      </c>
      <c r="AE585" s="12">
        <f t="shared" si="56"/>
        <v>5</v>
      </c>
      <c r="AF585" s="16">
        <f t="shared" si="57"/>
        <v>21.7</v>
      </c>
      <c r="AG585" s="16">
        <f t="shared" si="58"/>
        <v>28.6</v>
      </c>
      <c r="AH585" s="16" t="str">
        <f t="shared" si="59"/>
        <v/>
      </c>
    </row>
    <row r="586" spans="1:34" x14ac:dyDescent="0.35">
      <c r="A586" s="2" t="s">
        <v>1761</v>
      </c>
      <c r="B586" s="2" t="s">
        <v>29</v>
      </c>
      <c r="C586" s="2" t="s">
        <v>30</v>
      </c>
      <c r="D586" s="2" t="s">
        <v>214</v>
      </c>
      <c r="E586" s="2" t="s">
        <v>714</v>
      </c>
      <c r="F586" s="2" t="s">
        <v>1228</v>
      </c>
      <c r="G586" s="2" t="s">
        <v>1764</v>
      </c>
      <c r="H586" s="2" t="s">
        <v>35</v>
      </c>
      <c r="I586" s="2" t="s">
        <v>171</v>
      </c>
      <c r="J586" s="2" t="s">
        <v>37</v>
      </c>
      <c r="K586" s="2" t="s">
        <v>38</v>
      </c>
      <c r="L586" s="2" t="s">
        <v>38</v>
      </c>
      <c r="M586" s="2" t="s">
        <v>1414</v>
      </c>
      <c r="N586" s="2" t="s">
        <v>38</v>
      </c>
      <c r="O586" s="2" t="s">
        <v>38</v>
      </c>
      <c r="P586" s="2" t="s">
        <v>1765</v>
      </c>
      <c r="Q586" s="2" t="s">
        <v>38</v>
      </c>
      <c r="R586" s="2" t="s">
        <v>1029</v>
      </c>
      <c r="S586" s="2" t="s">
        <v>1662</v>
      </c>
      <c r="T586" s="2" t="s">
        <v>1668</v>
      </c>
      <c r="U586" s="2" t="s">
        <v>796</v>
      </c>
      <c r="V586" s="2" t="s">
        <v>1462</v>
      </c>
      <c r="W586" s="2" t="s">
        <v>38</v>
      </c>
      <c r="X586" s="3">
        <v>41127</v>
      </c>
      <c r="Y586" s="2" t="s">
        <v>1766</v>
      </c>
      <c r="Z586" s="4"/>
      <c r="AA586" s="2" t="s">
        <v>672</v>
      </c>
      <c r="AB586" s="2" t="s">
        <v>1733</v>
      </c>
      <c r="AC586" s="12">
        <f t="shared" si="54"/>
        <v>2012</v>
      </c>
      <c r="AD586" s="12">
        <f t="shared" si="55"/>
        <v>8</v>
      </c>
      <c r="AE586" s="12">
        <f t="shared" si="56"/>
        <v>6</v>
      </c>
      <c r="AF586" s="16">
        <f t="shared" si="57"/>
        <v>22.3</v>
      </c>
      <c r="AG586" s="16">
        <f t="shared" si="58"/>
        <v>26.8</v>
      </c>
      <c r="AH586" s="16" t="str">
        <f t="shared" si="59"/>
        <v/>
      </c>
    </row>
    <row r="587" spans="1:34" x14ac:dyDescent="0.35">
      <c r="A587" s="2" t="s">
        <v>1767</v>
      </c>
      <c r="B587" s="2" t="s">
        <v>29</v>
      </c>
      <c r="C587" s="2" t="s">
        <v>30</v>
      </c>
      <c r="D587" s="2" t="s">
        <v>187</v>
      </c>
      <c r="E587" s="2" t="s">
        <v>714</v>
      </c>
      <c r="F587" s="2" t="s">
        <v>1074</v>
      </c>
      <c r="G587" s="2" t="s">
        <v>1596</v>
      </c>
      <c r="H587" s="2" t="s">
        <v>233</v>
      </c>
      <c r="I587" s="2" t="s">
        <v>31</v>
      </c>
      <c r="J587" s="2" t="s">
        <v>37</v>
      </c>
      <c r="K587" s="2" t="s">
        <v>38</v>
      </c>
      <c r="L587" s="2" t="s">
        <v>38</v>
      </c>
      <c r="M587" s="2" t="s">
        <v>1532</v>
      </c>
      <c r="N587" s="2" t="s">
        <v>38</v>
      </c>
      <c r="O587" s="2" t="s">
        <v>38</v>
      </c>
      <c r="P587" s="2" t="s">
        <v>1708</v>
      </c>
      <c r="Q587" s="2" t="s">
        <v>38</v>
      </c>
      <c r="R587" s="2" t="s">
        <v>1456</v>
      </c>
      <c r="S587" s="2" t="s">
        <v>1058</v>
      </c>
      <c r="T587" s="2" t="s">
        <v>1457</v>
      </c>
      <c r="U587" s="2" t="s">
        <v>346</v>
      </c>
      <c r="V587" s="2" t="s">
        <v>1769</v>
      </c>
      <c r="W587" s="2" t="s">
        <v>38</v>
      </c>
      <c r="X587" s="3">
        <v>41128</v>
      </c>
      <c r="Y587" s="2" t="s">
        <v>1770</v>
      </c>
      <c r="Z587" s="34"/>
      <c r="AA587" s="2" t="s">
        <v>672</v>
      </c>
      <c r="AB587" s="2" t="s">
        <v>1733</v>
      </c>
      <c r="AC587" s="12">
        <f t="shared" si="54"/>
        <v>2012</v>
      </c>
      <c r="AD587" s="12">
        <f t="shared" si="55"/>
        <v>8</v>
      </c>
      <c r="AE587" s="12">
        <f t="shared" si="56"/>
        <v>7</v>
      </c>
      <c r="AF587" s="16">
        <f t="shared" si="57"/>
        <v>22.1</v>
      </c>
      <c r="AG587" s="16">
        <f t="shared" si="58"/>
        <v>28.4</v>
      </c>
      <c r="AH587" s="16" t="str">
        <f t="shared" si="59"/>
        <v/>
      </c>
    </row>
    <row r="588" spans="1:34" x14ac:dyDescent="0.35">
      <c r="A588" s="2" t="s">
        <v>1771</v>
      </c>
      <c r="B588" s="2" t="s">
        <v>29</v>
      </c>
      <c r="C588" s="2" t="s">
        <v>30</v>
      </c>
      <c r="D588" s="2" t="s">
        <v>187</v>
      </c>
      <c r="E588" s="2" t="s">
        <v>50</v>
      </c>
      <c r="F588" s="2" t="s">
        <v>629</v>
      </c>
      <c r="G588" s="2" t="s">
        <v>1509</v>
      </c>
      <c r="H588" s="2" t="s">
        <v>877</v>
      </c>
      <c r="I588" s="2" t="s">
        <v>31</v>
      </c>
      <c r="J588" s="2" t="s">
        <v>37</v>
      </c>
      <c r="K588" s="2" t="s">
        <v>38</v>
      </c>
      <c r="L588" s="2" t="s">
        <v>38</v>
      </c>
      <c r="M588" s="2" t="s">
        <v>1532</v>
      </c>
      <c r="N588" s="2" t="s">
        <v>38</v>
      </c>
      <c r="O588" s="2" t="s">
        <v>38</v>
      </c>
      <c r="P588" s="2" t="s">
        <v>1708</v>
      </c>
      <c r="Q588" s="2" t="s">
        <v>38</v>
      </c>
      <c r="R588" s="2" t="s">
        <v>1029</v>
      </c>
      <c r="S588" s="2" t="s">
        <v>1680</v>
      </c>
      <c r="T588" s="2" t="s">
        <v>1457</v>
      </c>
      <c r="U588" s="2" t="s">
        <v>346</v>
      </c>
      <c r="V588" s="2" t="s">
        <v>1611</v>
      </c>
      <c r="W588" s="2" t="s">
        <v>38</v>
      </c>
      <c r="X588" s="3">
        <v>41129</v>
      </c>
      <c r="Y588" s="2" t="s">
        <v>1772</v>
      </c>
      <c r="Z588" s="4"/>
      <c r="AA588" s="2" t="s">
        <v>672</v>
      </c>
      <c r="AB588" s="2" t="s">
        <v>1733</v>
      </c>
      <c r="AC588" s="12">
        <f t="shared" si="54"/>
        <v>2012</v>
      </c>
      <c r="AD588" s="12">
        <f t="shared" si="55"/>
        <v>8</v>
      </c>
      <c r="AE588" s="12">
        <f t="shared" si="56"/>
        <v>8</v>
      </c>
      <c r="AF588" s="16">
        <f t="shared" si="57"/>
        <v>20.9</v>
      </c>
      <c r="AG588" s="16">
        <f t="shared" si="58"/>
        <v>28.4</v>
      </c>
      <c r="AH588" s="16" t="str">
        <f t="shared" si="59"/>
        <v/>
      </c>
    </row>
    <row r="589" spans="1:34" x14ac:dyDescent="0.35">
      <c r="A589" s="2" t="s">
        <v>1776</v>
      </c>
      <c r="B589" s="2" t="s">
        <v>29</v>
      </c>
      <c r="C589" s="2" t="s">
        <v>30</v>
      </c>
      <c r="D589" s="2" t="s">
        <v>214</v>
      </c>
      <c r="E589" s="2" t="s">
        <v>579</v>
      </c>
      <c r="F589" s="2" t="s">
        <v>645</v>
      </c>
      <c r="G589" s="2" t="s">
        <v>1637</v>
      </c>
      <c r="H589" s="2" t="s">
        <v>451</v>
      </c>
      <c r="I589" s="2" t="s">
        <v>31</v>
      </c>
      <c r="J589" s="2" t="s">
        <v>37</v>
      </c>
      <c r="K589" s="2" t="s">
        <v>38</v>
      </c>
      <c r="L589" s="2" t="s">
        <v>38</v>
      </c>
      <c r="M589" s="2" t="s">
        <v>1414</v>
      </c>
      <c r="N589" s="2" t="s">
        <v>38</v>
      </c>
      <c r="O589" s="2" t="s">
        <v>38</v>
      </c>
      <c r="P589" s="2" t="s">
        <v>1718</v>
      </c>
      <c r="Q589" s="2" t="s">
        <v>38</v>
      </c>
      <c r="R589" s="2" t="s">
        <v>1456</v>
      </c>
      <c r="S589" s="2" t="s">
        <v>1778</v>
      </c>
      <c r="T589" s="2" t="s">
        <v>1469</v>
      </c>
      <c r="U589" s="2" t="s">
        <v>219</v>
      </c>
      <c r="V589" s="2" t="s">
        <v>1053</v>
      </c>
      <c r="W589" s="2" t="s">
        <v>38</v>
      </c>
      <c r="X589" s="3">
        <v>41130</v>
      </c>
      <c r="Y589" s="2" t="s">
        <v>1779</v>
      </c>
      <c r="Z589" s="34"/>
      <c r="AA589" s="2" t="s">
        <v>672</v>
      </c>
      <c r="AB589" s="2" t="s">
        <v>1733</v>
      </c>
      <c r="AC589" s="12">
        <f t="shared" si="54"/>
        <v>2012</v>
      </c>
      <c r="AD589" s="12">
        <f t="shared" si="55"/>
        <v>8</v>
      </c>
      <c r="AE589" s="12">
        <f t="shared" si="56"/>
        <v>9</v>
      </c>
      <c r="AF589" s="16">
        <f t="shared" si="57"/>
        <v>20.100000000000001</v>
      </c>
      <c r="AG589" s="16">
        <f t="shared" si="58"/>
        <v>27.6</v>
      </c>
      <c r="AH589" s="16" t="str">
        <f t="shared" si="59"/>
        <v/>
      </c>
    </row>
    <row r="590" spans="1:34" x14ac:dyDescent="0.35">
      <c r="A590" s="2" t="s">
        <v>1780</v>
      </c>
      <c r="B590" s="2" t="s">
        <v>29</v>
      </c>
      <c r="C590" s="2" t="s">
        <v>30</v>
      </c>
      <c r="D590" s="2" t="s">
        <v>187</v>
      </c>
      <c r="E590" s="2" t="s">
        <v>50</v>
      </c>
      <c r="F590" s="2" t="s">
        <v>1038</v>
      </c>
      <c r="G590" s="2" t="s">
        <v>1642</v>
      </c>
      <c r="H590" s="2" t="s">
        <v>258</v>
      </c>
      <c r="I590" s="2" t="s">
        <v>171</v>
      </c>
      <c r="J590" s="2" t="s">
        <v>37</v>
      </c>
      <c r="K590" s="2" t="s">
        <v>38</v>
      </c>
      <c r="L590" s="2" t="s">
        <v>38</v>
      </c>
      <c r="M590" s="2" t="s">
        <v>1532</v>
      </c>
      <c r="N590" s="2" t="s">
        <v>38</v>
      </c>
      <c r="O590" s="2" t="s">
        <v>38</v>
      </c>
      <c r="P590" s="2" t="s">
        <v>1783</v>
      </c>
      <c r="Q590" s="2" t="s">
        <v>38</v>
      </c>
      <c r="R590" s="2" t="s">
        <v>1029</v>
      </c>
      <c r="S590" s="2" t="s">
        <v>1561</v>
      </c>
      <c r="T590" s="2" t="s">
        <v>1457</v>
      </c>
      <c r="U590" s="2" t="s">
        <v>253</v>
      </c>
      <c r="V590" s="2" t="s">
        <v>1364</v>
      </c>
      <c r="W590" s="2" t="s">
        <v>38</v>
      </c>
      <c r="X590" s="3">
        <v>41131</v>
      </c>
      <c r="Y590" s="2" t="s">
        <v>1784</v>
      </c>
      <c r="Z590" s="34"/>
      <c r="AA590" s="2" t="s">
        <v>672</v>
      </c>
      <c r="AB590" s="2" t="s">
        <v>1733</v>
      </c>
      <c r="AC590" s="12">
        <f t="shared" si="54"/>
        <v>2012</v>
      </c>
      <c r="AD590" s="12">
        <f t="shared" si="55"/>
        <v>8</v>
      </c>
      <c r="AE590" s="12">
        <f t="shared" si="56"/>
        <v>10</v>
      </c>
      <c r="AF590" s="16">
        <f t="shared" si="57"/>
        <v>20.7</v>
      </c>
      <c r="AG590" s="16">
        <f t="shared" si="58"/>
        <v>27.5</v>
      </c>
      <c r="AH590" s="16" t="str">
        <f t="shared" si="59"/>
        <v/>
      </c>
    </row>
    <row r="591" spans="1:34" x14ac:dyDescent="0.35">
      <c r="A591" s="2" t="s">
        <v>1785</v>
      </c>
      <c r="B591" s="2" t="s">
        <v>29</v>
      </c>
      <c r="C591" s="2" t="s">
        <v>30</v>
      </c>
      <c r="D591" s="2" t="s">
        <v>200</v>
      </c>
      <c r="E591" s="2" t="s">
        <v>50</v>
      </c>
      <c r="F591" s="2" t="s">
        <v>1101</v>
      </c>
      <c r="G591" s="2" t="s">
        <v>1460</v>
      </c>
      <c r="H591" s="2" t="s">
        <v>379</v>
      </c>
      <c r="I591" s="2" t="s">
        <v>31</v>
      </c>
      <c r="J591" s="2" t="s">
        <v>37</v>
      </c>
      <c r="K591" s="2" t="s">
        <v>38</v>
      </c>
      <c r="L591" s="2" t="s">
        <v>38</v>
      </c>
      <c r="M591" s="2" t="s">
        <v>1532</v>
      </c>
      <c r="N591" s="2" t="s">
        <v>38</v>
      </c>
      <c r="O591" s="2" t="s">
        <v>38</v>
      </c>
      <c r="P591" s="2" t="s">
        <v>252</v>
      </c>
      <c r="Q591" s="2" t="s">
        <v>38</v>
      </c>
      <c r="R591" s="2" t="s">
        <v>1029</v>
      </c>
      <c r="S591" s="2" t="s">
        <v>1556</v>
      </c>
      <c r="T591" s="2" t="s">
        <v>1457</v>
      </c>
      <c r="U591" s="2" t="s">
        <v>205</v>
      </c>
      <c r="V591" s="2" t="s">
        <v>1611</v>
      </c>
      <c r="W591" s="2" t="s">
        <v>38</v>
      </c>
      <c r="X591" s="3">
        <v>41132</v>
      </c>
      <c r="Y591" s="2" t="s">
        <v>1787</v>
      </c>
      <c r="Z591" s="4"/>
      <c r="AA591" s="2" t="s">
        <v>672</v>
      </c>
      <c r="AB591" s="2" t="s">
        <v>1733</v>
      </c>
      <c r="AC591" s="12">
        <f t="shared" si="54"/>
        <v>2012</v>
      </c>
      <c r="AD591" s="12">
        <f t="shared" si="55"/>
        <v>8</v>
      </c>
      <c r="AE591" s="12">
        <f t="shared" si="56"/>
        <v>11</v>
      </c>
      <c r="AF591" s="16">
        <f t="shared" si="57"/>
        <v>20.9</v>
      </c>
      <c r="AG591" s="16">
        <f t="shared" si="58"/>
        <v>27.9</v>
      </c>
      <c r="AH591" s="16" t="str">
        <f t="shared" si="59"/>
        <v/>
      </c>
    </row>
    <row r="592" spans="1:34" x14ac:dyDescent="0.35">
      <c r="A592" s="2" t="s">
        <v>1788</v>
      </c>
      <c r="B592" s="2" t="s">
        <v>29</v>
      </c>
      <c r="C592" s="2" t="s">
        <v>30</v>
      </c>
      <c r="D592" s="2" t="s">
        <v>214</v>
      </c>
      <c r="E592" s="2" t="s">
        <v>579</v>
      </c>
      <c r="F592" s="2" t="s">
        <v>645</v>
      </c>
      <c r="G592" s="2" t="s">
        <v>1460</v>
      </c>
      <c r="H592" s="2" t="s">
        <v>87</v>
      </c>
      <c r="I592" s="2" t="s">
        <v>31</v>
      </c>
      <c r="J592" s="2" t="s">
        <v>37</v>
      </c>
      <c r="K592" s="2" t="s">
        <v>38</v>
      </c>
      <c r="L592" s="2" t="s">
        <v>38</v>
      </c>
      <c r="M592" s="2" t="s">
        <v>1532</v>
      </c>
      <c r="N592" s="2" t="s">
        <v>38</v>
      </c>
      <c r="O592" s="2" t="s">
        <v>38</v>
      </c>
      <c r="P592" s="2" t="s">
        <v>1745</v>
      </c>
      <c r="Q592" s="2" t="s">
        <v>38</v>
      </c>
      <c r="R592" s="2" t="s">
        <v>1029</v>
      </c>
      <c r="S592" s="2" t="s">
        <v>1058</v>
      </c>
      <c r="T592" s="2" t="s">
        <v>1457</v>
      </c>
      <c r="U592" s="2" t="s">
        <v>796</v>
      </c>
      <c r="V592" s="2" t="s">
        <v>1358</v>
      </c>
      <c r="W592" s="2" t="s">
        <v>38</v>
      </c>
      <c r="X592" s="3">
        <v>41133</v>
      </c>
      <c r="Y592" s="2" t="s">
        <v>1789</v>
      </c>
      <c r="Z592" s="34"/>
      <c r="AA592" s="2" t="s">
        <v>672</v>
      </c>
      <c r="AB592" s="2" t="s">
        <v>1733</v>
      </c>
      <c r="AC592" s="12">
        <f t="shared" si="54"/>
        <v>2012</v>
      </c>
      <c r="AD592" s="12">
        <f t="shared" si="55"/>
        <v>8</v>
      </c>
      <c r="AE592" s="12">
        <f t="shared" si="56"/>
        <v>12</v>
      </c>
      <c r="AF592" s="16">
        <f t="shared" si="57"/>
        <v>20.399999999999999</v>
      </c>
      <c r="AG592" s="16">
        <f t="shared" si="58"/>
        <v>28.1</v>
      </c>
      <c r="AH592" s="16" t="str">
        <f t="shared" si="59"/>
        <v/>
      </c>
    </row>
    <row r="593" spans="1:34" x14ac:dyDescent="0.35">
      <c r="A593" s="2" t="s">
        <v>1791</v>
      </c>
      <c r="B593" s="2" t="s">
        <v>29</v>
      </c>
      <c r="C593" s="2" t="s">
        <v>30</v>
      </c>
      <c r="D593" s="2" t="s">
        <v>171</v>
      </c>
      <c r="E593" s="2" t="s">
        <v>579</v>
      </c>
      <c r="F593" s="2" t="s">
        <v>1106</v>
      </c>
      <c r="G593" s="2" t="s">
        <v>1460</v>
      </c>
      <c r="H593" s="2" t="s">
        <v>233</v>
      </c>
      <c r="I593" s="2" t="s">
        <v>77</v>
      </c>
      <c r="J593" s="2" t="s">
        <v>37</v>
      </c>
      <c r="K593" s="2" t="s">
        <v>38</v>
      </c>
      <c r="L593" s="2" t="s">
        <v>38</v>
      </c>
      <c r="M593" s="2" t="s">
        <v>1532</v>
      </c>
      <c r="N593" s="2" t="s">
        <v>38</v>
      </c>
      <c r="O593" s="2" t="s">
        <v>38</v>
      </c>
      <c r="P593" s="2" t="s">
        <v>404</v>
      </c>
      <c r="Q593" s="2" t="s">
        <v>38</v>
      </c>
      <c r="R593" s="2" t="s">
        <v>1029</v>
      </c>
      <c r="S593" s="2" t="s">
        <v>488</v>
      </c>
      <c r="T593" s="2" t="s">
        <v>1472</v>
      </c>
      <c r="U593" s="2" t="s">
        <v>407</v>
      </c>
      <c r="V593" s="2" t="s">
        <v>1473</v>
      </c>
      <c r="W593" s="2" t="s">
        <v>38</v>
      </c>
      <c r="X593" s="3">
        <v>41134</v>
      </c>
      <c r="Y593" s="2" t="s">
        <v>1793</v>
      </c>
      <c r="Z593" s="4"/>
      <c r="AA593" s="2" t="s">
        <v>672</v>
      </c>
      <c r="AB593" s="2" t="s">
        <v>1733</v>
      </c>
      <c r="AC593" s="12">
        <f t="shared" si="54"/>
        <v>2012</v>
      </c>
      <c r="AD593" s="12">
        <f t="shared" si="55"/>
        <v>8</v>
      </c>
      <c r="AE593" s="12">
        <f t="shared" si="56"/>
        <v>13</v>
      </c>
      <c r="AF593" s="16">
        <f t="shared" si="57"/>
        <v>20</v>
      </c>
      <c r="AG593" s="16">
        <f t="shared" si="58"/>
        <v>28.6</v>
      </c>
      <c r="AH593" s="16" t="str">
        <f t="shared" si="59"/>
        <v/>
      </c>
    </row>
    <row r="594" spans="1:34" x14ac:dyDescent="0.35">
      <c r="A594" s="2" t="s">
        <v>1794</v>
      </c>
      <c r="B594" s="2" t="s">
        <v>29</v>
      </c>
      <c r="C594" s="2" t="s">
        <v>30</v>
      </c>
      <c r="D594" s="2" t="s">
        <v>187</v>
      </c>
      <c r="E594" s="2" t="s">
        <v>579</v>
      </c>
      <c r="F594" s="2" t="s">
        <v>1154</v>
      </c>
      <c r="G594" s="2" t="s">
        <v>34</v>
      </c>
      <c r="H594" s="2" t="s">
        <v>379</v>
      </c>
      <c r="I594" s="2" t="s">
        <v>77</v>
      </c>
      <c r="J594" s="2" t="s">
        <v>37</v>
      </c>
      <c r="K594" s="2" t="s">
        <v>38</v>
      </c>
      <c r="L594" s="2" t="s">
        <v>38</v>
      </c>
      <c r="M594" s="2" t="s">
        <v>1605</v>
      </c>
      <c r="N594" s="2" t="s">
        <v>38</v>
      </c>
      <c r="O594" s="2" t="s">
        <v>38</v>
      </c>
      <c r="P594" s="2" t="s">
        <v>506</v>
      </c>
      <c r="Q594" s="2" t="s">
        <v>38</v>
      </c>
      <c r="R594" s="2" t="s">
        <v>1467</v>
      </c>
      <c r="S594" s="2" t="s">
        <v>1499</v>
      </c>
      <c r="T594" s="2" t="s">
        <v>1649</v>
      </c>
      <c r="U594" s="2" t="s">
        <v>1165</v>
      </c>
      <c r="V594" s="2" t="s">
        <v>1301</v>
      </c>
      <c r="W594" s="2" t="s">
        <v>38</v>
      </c>
      <c r="X594" s="3">
        <v>41135</v>
      </c>
      <c r="Y594" s="2" t="s">
        <v>1795</v>
      </c>
      <c r="Z594" s="4"/>
      <c r="AA594" s="2" t="s">
        <v>672</v>
      </c>
      <c r="AB594" s="2" t="s">
        <v>1733</v>
      </c>
      <c r="AC594" s="12">
        <f t="shared" si="54"/>
        <v>2012</v>
      </c>
      <c r="AD594" s="12">
        <f t="shared" si="55"/>
        <v>8</v>
      </c>
      <c r="AE594" s="12">
        <f t="shared" si="56"/>
        <v>14</v>
      </c>
      <c r="AF594" s="16">
        <f t="shared" si="57"/>
        <v>20.2</v>
      </c>
      <c r="AG594" s="16">
        <f t="shared" si="58"/>
        <v>28.9</v>
      </c>
      <c r="AH594" s="16" t="str">
        <f t="shared" si="59"/>
        <v/>
      </c>
    </row>
    <row r="595" spans="1:34" x14ac:dyDescent="0.35">
      <c r="A595" s="2" t="s">
        <v>1797</v>
      </c>
      <c r="B595" s="2" t="s">
        <v>29</v>
      </c>
      <c r="C595" s="2" t="s">
        <v>30</v>
      </c>
      <c r="D595" s="2" t="s">
        <v>187</v>
      </c>
      <c r="E595" s="2" t="s">
        <v>579</v>
      </c>
      <c r="F595" s="2" t="s">
        <v>1435</v>
      </c>
      <c r="G595" s="2" t="s">
        <v>1625</v>
      </c>
      <c r="H595" s="2" t="s">
        <v>877</v>
      </c>
      <c r="I595" s="2" t="s">
        <v>31</v>
      </c>
      <c r="J595" s="2" t="s">
        <v>37</v>
      </c>
      <c r="K595" s="2" t="s">
        <v>38</v>
      </c>
      <c r="L595" s="2" t="s">
        <v>38</v>
      </c>
      <c r="M595" s="2" t="s">
        <v>1644</v>
      </c>
      <c r="N595" s="2" t="s">
        <v>38</v>
      </c>
      <c r="O595" s="2" t="s">
        <v>38</v>
      </c>
      <c r="P595" s="2" t="s">
        <v>1708</v>
      </c>
      <c r="Q595" s="2" t="s">
        <v>38</v>
      </c>
      <c r="R595" s="2" t="s">
        <v>1029</v>
      </c>
      <c r="S595" s="2" t="s">
        <v>1210</v>
      </c>
      <c r="T595" s="2" t="s">
        <v>1798</v>
      </c>
      <c r="U595" s="2" t="s">
        <v>190</v>
      </c>
      <c r="V595" s="2" t="s">
        <v>1291</v>
      </c>
      <c r="W595" s="2" t="s">
        <v>38</v>
      </c>
      <c r="X595" s="3">
        <v>41136</v>
      </c>
      <c r="Y595" s="2" t="s">
        <v>1799</v>
      </c>
      <c r="Z595" s="34"/>
      <c r="AA595" s="2" t="s">
        <v>672</v>
      </c>
      <c r="AB595" s="2" t="s">
        <v>1733</v>
      </c>
      <c r="AC595" s="12">
        <f t="shared" si="54"/>
        <v>2012</v>
      </c>
      <c r="AD595" s="12">
        <f t="shared" si="55"/>
        <v>8</v>
      </c>
      <c r="AE595" s="12">
        <f t="shared" si="56"/>
        <v>15</v>
      </c>
      <c r="AF595" s="16">
        <f t="shared" si="57"/>
        <v>20.3</v>
      </c>
      <c r="AG595" s="16">
        <f t="shared" si="58"/>
        <v>28.4</v>
      </c>
      <c r="AH595" s="16" t="str">
        <f t="shared" si="59"/>
        <v/>
      </c>
    </row>
    <row r="596" spans="1:34" x14ac:dyDescent="0.35">
      <c r="A596" s="2" t="s">
        <v>1803</v>
      </c>
      <c r="B596" s="2" t="s">
        <v>29</v>
      </c>
      <c r="C596" s="2" t="s">
        <v>30</v>
      </c>
      <c r="D596" s="2" t="s">
        <v>171</v>
      </c>
      <c r="E596" s="2" t="s">
        <v>579</v>
      </c>
      <c r="F596" s="2" t="s">
        <v>901</v>
      </c>
      <c r="G596" s="2" t="s">
        <v>34</v>
      </c>
      <c r="H596" s="2" t="s">
        <v>173</v>
      </c>
      <c r="I596" s="2" t="s">
        <v>77</v>
      </c>
      <c r="J596" s="2" t="s">
        <v>37</v>
      </c>
      <c r="K596" s="2" t="s">
        <v>38</v>
      </c>
      <c r="L596" s="2" t="s">
        <v>38</v>
      </c>
      <c r="M596" s="2" t="s">
        <v>1644</v>
      </c>
      <c r="N596" s="2" t="s">
        <v>38</v>
      </c>
      <c r="O596" s="2" t="s">
        <v>38</v>
      </c>
      <c r="P596" s="2" t="s">
        <v>506</v>
      </c>
      <c r="Q596" s="2" t="s">
        <v>38</v>
      </c>
      <c r="R596" s="2" t="s">
        <v>1367</v>
      </c>
      <c r="S596" s="2" t="s">
        <v>1461</v>
      </c>
      <c r="T596" s="2" t="s">
        <v>1489</v>
      </c>
      <c r="U596" s="2" t="s">
        <v>927</v>
      </c>
      <c r="V596" s="2" t="s">
        <v>1352</v>
      </c>
      <c r="W596" s="2" t="s">
        <v>38</v>
      </c>
      <c r="X596" s="3">
        <v>41137</v>
      </c>
      <c r="Y596" s="2" t="s">
        <v>1805</v>
      </c>
      <c r="Z596" s="34"/>
      <c r="AA596" s="2" t="s">
        <v>672</v>
      </c>
      <c r="AB596" s="2" t="s">
        <v>1733</v>
      </c>
      <c r="AC596" s="12">
        <f t="shared" si="54"/>
        <v>2012</v>
      </c>
      <c r="AD596" s="12">
        <f t="shared" si="55"/>
        <v>8</v>
      </c>
      <c r="AE596" s="12">
        <f t="shared" si="56"/>
        <v>16</v>
      </c>
      <c r="AF596" s="16">
        <f t="shared" si="57"/>
        <v>19.899999999999999</v>
      </c>
      <c r="AG596" s="16">
        <f t="shared" si="58"/>
        <v>28.9</v>
      </c>
      <c r="AH596" s="16" t="str">
        <f t="shared" si="59"/>
        <v/>
      </c>
    </row>
    <row r="597" spans="1:34" x14ac:dyDescent="0.35">
      <c r="A597" s="2" t="s">
        <v>1806</v>
      </c>
      <c r="B597" s="2" t="s">
        <v>29</v>
      </c>
      <c r="C597" s="2" t="s">
        <v>30</v>
      </c>
      <c r="D597" s="2" t="s">
        <v>171</v>
      </c>
      <c r="E597" s="2" t="s">
        <v>596</v>
      </c>
      <c r="F597" s="2" t="s">
        <v>680</v>
      </c>
      <c r="G597" s="2" t="s">
        <v>1460</v>
      </c>
      <c r="H597" s="2" t="s">
        <v>202</v>
      </c>
      <c r="I597" s="2" t="s">
        <v>77</v>
      </c>
      <c r="J597" s="2" t="s">
        <v>37</v>
      </c>
      <c r="K597" s="2" t="s">
        <v>38</v>
      </c>
      <c r="L597" s="2" t="s">
        <v>38</v>
      </c>
      <c r="M597" s="2" t="s">
        <v>1644</v>
      </c>
      <c r="N597" s="2" t="s">
        <v>38</v>
      </c>
      <c r="O597" s="2" t="s">
        <v>38</v>
      </c>
      <c r="P597" s="2" t="s">
        <v>1373</v>
      </c>
      <c r="Q597" s="2" t="s">
        <v>38</v>
      </c>
      <c r="R597" s="2" t="s">
        <v>1029</v>
      </c>
      <c r="S597" s="2" t="s">
        <v>1210</v>
      </c>
      <c r="T597" s="2" t="s">
        <v>1489</v>
      </c>
      <c r="U597" s="2" t="s">
        <v>1808</v>
      </c>
      <c r="V597" s="2" t="s">
        <v>1032</v>
      </c>
      <c r="W597" s="2" t="s">
        <v>38</v>
      </c>
      <c r="X597" s="3">
        <v>41138</v>
      </c>
      <c r="Y597" s="2" t="s">
        <v>1809</v>
      </c>
      <c r="Z597" s="4"/>
      <c r="AA597" s="2" t="s">
        <v>672</v>
      </c>
      <c r="AB597" s="2" t="s">
        <v>1733</v>
      </c>
      <c r="AC597" s="12">
        <f t="shared" si="54"/>
        <v>2012</v>
      </c>
      <c r="AD597" s="12">
        <f t="shared" si="55"/>
        <v>8</v>
      </c>
      <c r="AE597" s="12">
        <f t="shared" si="56"/>
        <v>17</v>
      </c>
      <c r="AF597" s="16">
        <f t="shared" si="57"/>
        <v>18.899999999999999</v>
      </c>
      <c r="AG597" s="16">
        <f t="shared" si="58"/>
        <v>28.8</v>
      </c>
      <c r="AH597" s="16" t="str">
        <f t="shared" si="59"/>
        <v/>
      </c>
    </row>
    <row r="598" spans="1:34" x14ac:dyDescent="0.35">
      <c r="A598" s="2" t="s">
        <v>1810</v>
      </c>
      <c r="B598" s="2" t="s">
        <v>29</v>
      </c>
      <c r="C598" s="2" t="s">
        <v>30</v>
      </c>
      <c r="D598" s="2" t="s">
        <v>187</v>
      </c>
      <c r="E598" s="2" t="s">
        <v>579</v>
      </c>
      <c r="F598" s="2" t="s">
        <v>629</v>
      </c>
      <c r="G598" s="2" t="s">
        <v>34</v>
      </c>
      <c r="H598" s="2" t="s">
        <v>180</v>
      </c>
      <c r="I598" s="2" t="s">
        <v>31</v>
      </c>
      <c r="J598" s="2" t="s">
        <v>37</v>
      </c>
      <c r="K598" s="2" t="s">
        <v>38</v>
      </c>
      <c r="L598" s="2" t="s">
        <v>38</v>
      </c>
      <c r="M598" s="2" t="s">
        <v>1532</v>
      </c>
      <c r="N598" s="2" t="s">
        <v>38</v>
      </c>
      <c r="O598" s="2" t="s">
        <v>38</v>
      </c>
      <c r="P598" s="2" t="s">
        <v>1661</v>
      </c>
      <c r="Q598" s="2" t="s">
        <v>38</v>
      </c>
      <c r="R598" s="2" t="s">
        <v>1467</v>
      </c>
      <c r="S598" s="2" t="s">
        <v>1814</v>
      </c>
      <c r="T598" s="2" t="s">
        <v>1472</v>
      </c>
      <c r="U598" s="2" t="s">
        <v>253</v>
      </c>
      <c r="V598" s="2" t="s">
        <v>1358</v>
      </c>
      <c r="W598" s="2" t="s">
        <v>38</v>
      </c>
      <c r="X598" s="3">
        <v>41139</v>
      </c>
      <c r="Y598" s="2" t="s">
        <v>1815</v>
      </c>
      <c r="Z598" s="4"/>
      <c r="AA598" s="2" t="s">
        <v>672</v>
      </c>
      <c r="AB598" s="2" t="s">
        <v>1733</v>
      </c>
      <c r="AC598" s="12">
        <f t="shared" si="54"/>
        <v>2012</v>
      </c>
      <c r="AD598" s="12">
        <f t="shared" si="55"/>
        <v>8</v>
      </c>
      <c r="AE598" s="12">
        <f t="shared" si="56"/>
        <v>18</v>
      </c>
      <c r="AF598" s="16">
        <f t="shared" si="57"/>
        <v>20.399999999999999</v>
      </c>
      <c r="AG598" s="16">
        <f t="shared" si="58"/>
        <v>28.3</v>
      </c>
      <c r="AH598" s="16" t="str">
        <f t="shared" si="59"/>
        <v/>
      </c>
    </row>
    <row r="599" spans="1:34" x14ac:dyDescent="0.35">
      <c r="A599" s="2" t="s">
        <v>1816</v>
      </c>
      <c r="B599" s="2" t="s">
        <v>29</v>
      </c>
      <c r="C599" s="2" t="s">
        <v>30</v>
      </c>
      <c r="D599" s="2" t="s">
        <v>214</v>
      </c>
      <c r="E599" s="2" t="s">
        <v>50</v>
      </c>
      <c r="F599" s="2" t="s">
        <v>999</v>
      </c>
      <c r="G599" s="2" t="s">
        <v>34</v>
      </c>
      <c r="H599" s="2" t="s">
        <v>457</v>
      </c>
      <c r="I599" s="2" t="s">
        <v>171</v>
      </c>
      <c r="J599" s="2" t="s">
        <v>37</v>
      </c>
      <c r="K599" s="2" t="s">
        <v>38</v>
      </c>
      <c r="L599" s="2" t="s">
        <v>38</v>
      </c>
      <c r="M599" s="2" t="s">
        <v>1532</v>
      </c>
      <c r="N599" s="2" t="s">
        <v>38</v>
      </c>
      <c r="O599" s="2" t="s">
        <v>38</v>
      </c>
      <c r="P599" s="2" t="s">
        <v>203</v>
      </c>
      <c r="Q599" s="2" t="s">
        <v>38</v>
      </c>
      <c r="R599" s="2" t="s">
        <v>1367</v>
      </c>
      <c r="S599" s="2" t="s">
        <v>1058</v>
      </c>
      <c r="T599" s="2" t="s">
        <v>1457</v>
      </c>
      <c r="U599" s="2" t="s">
        <v>219</v>
      </c>
      <c r="V599" s="2" t="s">
        <v>1611</v>
      </c>
      <c r="W599" s="2" t="s">
        <v>38</v>
      </c>
      <c r="X599" s="3">
        <v>41140</v>
      </c>
      <c r="Y599" s="2" t="s">
        <v>1817</v>
      </c>
      <c r="Z599" s="34"/>
      <c r="AA599" s="2" t="s">
        <v>672</v>
      </c>
      <c r="AB599" s="2" t="s">
        <v>1733</v>
      </c>
      <c r="AC599" s="12">
        <f t="shared" si="54"/>
        <v>2012</v>
      </c>
      <c r="AD599" s="12">
        <f t="shared" si="55"/>
        <v>8</v>
      </c>
      <c r="AE599" s="12">
        <f t="shared" si="56"/>
        <v>19</v>
      </c>
      <c r="AF599" s="16">
        <f t="shared" si="57"/>
        <v>20.9</v>
      </c>
      <c r="AG599" s="16">
        <f t="shared" si="58"/>
        <v>26.9</v>
      </c>
      <c r="AH599" s="16" t="str">
        <f t="shared" si="59"/>
        <v/>
      </c>
    </row>
    <row r="600" spans="1:34" x14ac:dyDescent="0.35">
      <c r="A600" s="2" t="s">
        <v>1820</v>
      </c>
      <c r="B600" s="2" t="s">
        <v>29</v>
      </c>
      <c r="C600" s="2" t="s">
        <v>30</v>
      </c>
      <c r="D600" s="2" t="s">
        <v>187</v>
      </c>
      <c r="E600" s="2" t="s">
        <v>579</v>
      </c>
      <c r="F600" s="2" t="s">
        <v>1106</v>
      </c>
      <c r="G600" s="2" t="s">
        <v>34</v>
      </c>
      <c r="H600" s="2" t="s">
        <v>87</v>
      </c>
      <c r="I600" s="2" t="s">
        <v>31</v>
      </c>
      <c r="J600" s="2" t="s">
        <v>37</v>
      </c>
      <c r="K600" s="2" t="s">
        <v>38</v>
      </c>
      <c r="L600" s="2" t="s">
        <v>38</v>
      </c>
      <c r="M600" s="2" t="s">
        <v>1542</v>
      </c>
      <c r="N600" s="2" t="s">
        <v>38</v>
      </c>
      <c r="O600" s="2" t="s">
        <v>38</v>
      </c>
      <c r="P600" s="2" t="s">
        <v>1708</v>
      </c>
      <c r="Q600" s="2" t="s">
        <v>38</v>
      </c>
      <c r="R600" s="2" t="s">
        <v>41</v>
      </c>
      <c r="S600" s="2" t="s">
        <v>1210</v>
      </c>
      <c r="T600" s="2" t="s">
        <v>1633</v>
      </c>
      <c r="U600" s="2" t="s">
        <v>190</v>
      </c>
      <c r="V600" s="2" t="s">
        <v>1291</v>
      </c>
      <c r="W600" s="2" t="s">
        <v>38</v>
      </c>
      <c r="X600" s="3">
        <v>41141</v>
      </c>
      <c r="Y600" s="2" t="s">
        <v>1822</v>
      </c>
      <c r="Z600" s="4"/>
      <c r="AA600" s="2" t="s">
        <v>672</v>
      </c>
      <c r="AB600" s="2" t="s">
        <v>1733</v>
      </c>
      <c r="AC600" s="12">
        <f t="shared" si="54"/>
        <v>2012</v>
      </c>
      <c r="AD600" s="12">
        <f t="shared" si="55"/>
        <v>8</v>
      </c>
      <c r="AE600" s="12">
        <f t="shared" si="56"/>
        <v>20</v>
      </c>
      <c r="AF600" s="16">
        <f t="shared" si="57"/>
        <v>20.3</v>
      </c>
      <c r="AG600" s="16">
        <f t="shared" si="58"/>
        <v>28.4</v>
      </c>
      <c r="AH600" s="16" t="str">
        <f t="shared" si="59"/>
        <v/>
      </c>
    </row>
    <row r="601" spans="1:34" x14ac:dyDescent="0.35">
      <c r="A601" s="2" t="s">
        <v>1823</v>
      </c>
      <c r="B601" s="2" t="s">
        <v>29</v>
      </c>
      <c r="C601" s="2" t="s">
        <v>30</v>
      </c>
      <c r="D601" s="2" t="s">
        <v>187</v>
      </c>
      <c r="E601" s="2" t="s">
        <v>50</v>
      </c>
      <c r="F601" s="2" t="s">
        <v>1154</v>
      </c>
      <c r="G601" s="2" t="s">
        <v>34</v>
      </c>
      <c r="H601" s="2" t="s">
        <v>127</v>
      </c>
      <c r="I601" s="2" t="s">
        <v>31</v>
      </c>
      <c r="J601" s="2" t="s">
        <v>37</v>
      </c>
      <c r="K601" s="2" t="s">
        <v>38</v>
      </c>
      <c r="L601" s="2" t="s">
        <v>38</v>
      </c>
      <c r="M601" s="2" t="s">
        <v>1542</v>
      </c>
      <c r="N601" s="2" t="s">
        <v>38</v>
      </c>
      <c r="O601" s="2" t="s">
        <v>38</v>
      </c>
      <c r="P601" s="2" t="s">
        <v>1661</v>
      </c>
      <c r="Q601" s="2" t="s">
        <v>38</v>
      </c>
      <c r="R601" s="2" t="s">
        <v>41</v>
      </c>
      <c r="S601" s="2" t="s">
        <v>985</v>
      </c>
      <c r="T601" s="2" t="s">
        <v>1543</v>
      </c>
      <c r="U601" s="2" t="s">
        <v>1066</v>
      </c>
      <c r="V601" s="2" t="s">
        <v>1364</v>
      </c>
      <c r="W601" s="2" t="s">
        <v>38</v>
      </c>
      <c r="X601" s="3">
        <v>41142</v>
      </c>
      <c r="Y601" s="2" t="s">
        <v>1827</v>
      </c>
      <c r="Z601" s="34"/>
      <c r="AA601" s="2" t="s">
        <v>672</v>
      </c>
      <c r="AB601" s="2" t="s">
        <v>1733</v>
      </c>
      <c r="AC601" s="12">
        <f t="shared" si="54"/>
        <v>2012</v>
      </c>
      <c r="AD601" s="12">
        <f t="shared" si="55"/>
        <v>8</v>
      </c>
      <c r="AE601" s="12">
        <f t="shared" si="56"/>
        <v>21</v>
      </c>
      <c r="AF601" s="16">
        <f t="shared" si="57"/>
        <v>20.7</v>
      </c>
      <c r="AG601" s="16">
        <f t="shared" si="58"/>
        <v>28.3</v>
      </c>
      <c r="AH601" s="16" t="str">
        <f t="shared" si="59"/>
        <v/>
      </c>
    </row>
    <row r="602" spans="1:34" x14ac:dyDescent="0.35">
      <c r="A602" s="2" t="s">
        <v>1828</v>
      </c>
      <c r="B602" s="2" t="s">
        <v>29</v>
      </c>
      <c r="C602" s="2" t="s">
        <v>30</v>
      </c>
      <c r="D602" s="2" t="s">
        <v>187</v>
      </c>
      <c r="E602" s="2" t="s">
        <v>579</v>
      </c>
      <c r="F602" s="2" t="s">
        <v>901</v>
      </c>
      <c r="G602" s="2" t="s">
        <v>1724</v>
      </c>
      <c r="H602" s="2" t="s">
        <v>137</v>
      </c>
      <c r="I602" s="2" t="s">
        <v>77</v>
      </c>
      <c r="J602" s="2" t="s">
        <v>37</v>
      </c>
      <c r="K602" s="2" t="s">
        <v>38</v>
      </c>
      <c r="L602" s="2" t="s">
        <v>38</v>
      </c>
      <c r="M602" s="2" t="s">
        <v>1605</v>
      </c>
      <c r="N602" s="2" t="s">
        <v>38</v>
      </c>
      <c r="O602" s="2" t="s">
        <v>38</v>
      </c>
      <c r="P602" s="2" t="s">
        <v>1831</v>
      </c>
      <c r="Q602" s="2" t="s">
        <v>38</v>
      </c>
      <c r="R602" s="2" t="s">
        <v>1029</v>
      </c>
      <c r="S602" s="2" t="s">
        <v>1832</v>
      </c>
      <c r="T602" s="2" t="s">
        <v>1606</v>
      </c>
      <c r="U602" s="2" t="s">
        <v>253</v>
      </c>
      <c r="V602" s="2" t="s">
        <v>1053</v>
      </c>
      <c r="W602" s="2" t="s">
        <v>38</v>
      </c>
      <c r="X602" s="3">
        <v>41143</v>
      </c>
      <c r="Y602" s="2" t="s">
        <v>1833</v>
      </c>
      <c r="Z602" s="4"/>
      <c r="AA602" s="2" t="s">
        <v>672</v>
      </c>
      <c r="AB602" s="2" t="s">
        <v>1733</v>
      </c>
      <c r="AC602" s="12">
        <f t="shared" si="54"/>
        <v>2012</v>
      </c>
      <c r="AD602" s="12">
        <f t="shared" si="55"/>
        <v>8</v>
      </c>
      <c r="AE602" s="12">
        <f t="shared" si="56"/>
        <v>22</v>
      </c>
      <c r="AF602" s="16">
        <f t="shared" si="57"/>
        <v>20.100000000000001</v>
      </c>
      <c r="AG602" s="16">
        <f t="shared" si="58"/>
        <v>29.1</v>
      </c>
      <c r="AH602" s="16" t="str">
        <f t="shared" si="59"/>
        <v/>
      </c>
    </row>
    <row r="603" spans="1:34" x14ac:dyDescent="0.35">
      <c r="A603" s="2" t="s">
        <v>1834</v>
      </c>
      <c r="B603" s="2" t="s">
        <v>29</v>
      </c>
      <c r="C603" s="2" t="s">
        <v>30</v>
      </c>
      <c r="D603" s="2" t="s">
        <v>171</v>
      </c>
      <c r="E603" s="2" t="s">
        <v>50</v>
      </c>
      <c r="F603" s="2" t="s">
        <v>696</v>
      </c>
      <c r="G603" s="2" t="s">
        <v>34</v>
      </c>
      <c r="H603" s="2" t="s">
        <v>144</v>
      </c>
      <c r="I603" s="2" t="s">
        <v>36</v>
      </c>
      <c r="J603" s="2" t="s">
        <v>37</v>
      </c>
      <c r="K603" s="2" t="s">
        <v>38</v>
      </c>
      <c r="L603" s="2" t="s">
        <v>38</v>
      </c>
      <c r="M603" s="2" t="s">
        <v>39</v>
      </c>
      <c r="N603" s="2" t="s">
        <v>38</v>
      </c>
      <c r="O603" s="2" t="s">
        <v>38</v>
      </c>
      <c r="P603" s="2" t="s">
        <v>80</v>
      </c>
      <c r="Q603" s="2" t="s">
        <v>38</v>
      </c>
      <c r="R603" s="2" t="s">
        <v>41</v>
      </c>
      <c r="S603" s="2" t="s">
        <v>1835</v>
      </c>
      <c r="T603" s="2" t="s">
        <v>1397</v>
      </c>
      <c r="U603" s="2" t="s">
        <v>265</v>
      </c>
      <c r="V603" s="2" t="s">
        <v>1370</v>
      </c>
      <c r="W603" s="2" t="s">
        <v>38</v>
      </c>
      <c r="X603" s="3">
        <v>41144</v>
      </c>
      <c r="Y603" s="2" t="s">
        <v>1836</v>
      </c>
      <c r="Z603" s="34"/>
      <c r="AA603" s="2" t="s">
        <v>672</v>
      </c>
      <c r="AB603" s="2" t="s">
        <v>1733</v>
      </c>
      <c r="AC603" s="12">
        <f t="shared" si="54"/>
        <v>2012</v>
      </c>
      <c r="AD603" s="12">
        <f t="shared" si="55"/>
        <v>8</v>
      </c>
      <c r="AE603" s="12">
        <f t="shared" si="56"/>
        <v>23</v>
      </c>
      <c r="AF603" s="16">
        <f t="shared" si="57"/>
        <v>21.3</v>
      </c>
      <c r="AG603" s="16">
        <f t="shared" si="58"/>
        <v>30.9</v>
      </c>
      <c r="AH603" s="16" t="str">
        <f t="shared" si="59"/>
        <v/>
      </c>
    </row>
    <row r="604" spans="1:34" x14ac:dyDescent="0.35">
      <c r="A604" s="2" t="s">
        <v>1838</v>
      </c>
      <c r="B604" s="2" t="s">
        <v>29</v>
      </c>
      <c r="C604" s="2" t="s">
        <v>30</v>
      </c>
      <c r="D604" s="2" t="s">
        <v>77</v>
      </c>
      <c r="E604" s="2" t="s">
        <v>50</v>
      </c>
      <c r="F604" s="2" t="s">
        <v>1355</v>
      </c>
      <c r="G604" s="2" t="s">
        <v>34</v>
      </c>
      <c r="H604" s="2" t="s">
        <v>371</v>
      </c>
      <c r="I604" s="2" t="s">
        <v>36</v>
      </c>
      <c r="J604" s="2" t="s">
        <v>37</v>
      </c>
      <c r="K604" s="2" t="s">
        <v>38</v>
      </c>
      <c r="L604" s="2" t="s">
        <v>38</v>
      </c>
      <c r="M604" s="2" t="s">
        <v>39</v>
      </c>
      <c r="N604" s="2" t="s">
        <v>38</v>
      </c>
      <c r="O604" s="2" t="s">
        <v>38</v>
      </c>
      <c r="P604" s="2" t="s">
        <v>1839</v>
      </c>
      <c r="Q604" s="2" t="s">
        <v>38</v>
      </c>
      <c r="R604" s="2" t="s">
        <v>41</v>
      </c>
      <c r="S604" s="2" t="s">
        <v>1499</v>
      </c>
      <c r="T604" s="2" t="s">
        <v>1181</v>
      </c>
      <c r="U604" s="2" t="s">
        <v>132</v>
      </c>
      <c r="V604" s="2" t="s">
        <v>1364</v>
      </c>
      <c r="W604" s="2" t="s">
        <v>38</v>
      </c>
      <c r="X604" s="3">
        <v>41145</v>
      </c>
      <c r="Y604" s="2" t="s">
        <v>1840</v>
      </c>
      <c r="Z604" s="34"/>
      <c r="AA604" s="2" t="s">
        <v>672</v>
      </c>
      <c r="AB604" s="2" t="s">
        <v>1733</v>
      </c>
      <c r="AC604" s="12">
        <f t="shared" si="54"/>
        <v>2012</v>
      </c>
      <c r="AD604" s="12">
        <f t="shared" si="55"/>
        <v>8</v>
      </c>
      <c r="AE604" s="12">
        <f t="shared" si="56"/>
        <v>24</v>
      </c>
      <c r="AF604" s="16">
        <f t="shared" si="57"/>
        <v>20.7</v>
      </c>
      <c r="AG604" s="16">
        <f t="shared" si="58"/>
        <v>30.8</v>
      </c>
      <c r="AH604" s="16" t="str">
        <f t="shared" si="59"/>
        <v/>
      </c>
    </row>
    <row r="605" spans="1:34" x14ac:dyDescent="0.35">
      <c r="A605" s="2" t="s">
        <v>1842</v>
      </c>
      <c r="B605" s="2" t="s">
        <v>29</v>
      </c>
      <c r="C605" s="2" t="s">
        <v>30</v>
      </c>
      <c r="D605" s="2" t="s">
        <v>31</v>
      </c>
      <c r="E605" s="2" t="s">
        <v>579</v>
      </c>
      <c r="F605" s="2" t="s">
        <v>1355</v>
      </c>
      <c r="G605" s="2" t="s">
        <v>34</v>
      </c>
      <c r="H605" s="2" t="s">
        <v>173</v>
      </c>
      <c r="I605" s="2" t="s">
        <v>111</v>
      </c>
      <c r="J605" s="2" t="s">
        <v>37</v>
      </c>
      <c r="K605" s="2" t="s">
        <v>38</v>
      </c>
      <c r="L605" s="2" t="s">
        <v>38</v>
      </c>
      <c r="M605" s="2" t="s">
        <v>1605</v>
      </c>
      <c r="N605" s="2" t="s">
        <v>38</v>
      </c>
      <c r="O605" s="2" t="s">
        <v>38</v>
      </c>
      <c r="P605" s="2" t="s">
        <v>440</v>
      </c>
      <c r="Q605" s="2" t="s">
        <v>38</v>
      </c>
      <c r="R605" s="2" t="s">
        <v>41</v>
      </c>
      <c r="S605" s="2" t="s">
        <v>972</v>
      </c>
      <c r="T605" s="2" t="s">
        <v>1606</v>
      </c>
      <c r="U605" s="2" t="s">
        <v>44</v>
      </c>
      <c r="V605" s="2" t="s">
        <v>1843</v>
      </c>
      <c r="W605" s="2" t="s">
        <v>38</v>
      </c>
      <c r="X605" s="3">
        <v>41146</v>
      </c>
      <c r="Y605" s="2" t="s">
        <v>1844</v>
      </c>
      <c r="Z605" s="4"/>
      <c r="AA605" s="2" t="s">
        <v>672</v>
      </c>
      <c r="AB605" s="2" t="s">
        <v>1733</v>
      </c>
      <c r="AC605" s="12">
        <f t="shared" si="54"/>
        <v>2012</v>
      </c>
      <c r="AD605" s="12">
        <f t="shared" si="55"/>
        <v>8</v>
      </c>
      <c r="AE605" s="12">
        <f t="shared" si="56"/>
        <v>25</v>
      </c>
      <c r="AF605" s="16">
        <f t="shared" si="57"/>
        <v>19.7</v>
      </c>
      <c r="AG605" s="16">
        <f t="shared" si="58"/>
        <v>30.1</v>
      </c>
      <c r="AH605" s="16" t="str">
        <f t="shared" si="59"/>
        <v/>
      </c>
    </row>
    <row r="606" spans="1:34" x14ac:dyDescent="0.35">
      <c r="A606" s="2" t="s">
        <v>1846</v>
      </c>
      <c r="B606" s="2" t="s">
        <v>29</v>
      </c>
      <c r="C606" s="2" t="s">
        <v>30</v>
      </c>
      <c r="D606" s="2" t="s">
        <v>171</v>
      </c>
      <c r="E606" s="2" t="s">
        <v>50</v>
      </c>
      <c r="F606" s="2" t="s">
        <v>658</v>
      </c>
      <c r="G606" s="2" t="s">
        <v>34</v>
      </c>
      <c r="H606" s="2" t="s">
        <v>1564</v>
      </c>
      <c r="I606" s="2" t="s">
        <v>31</v>
      </c>
      <c r="J606" s="2" t="s">
        <v>37</v>
      </c>
      <c r="K606" s="2" t="s">
        <v>38</v>
      </c>
      <c r="L606" s="2" t="s">
        <v>38</v>
      </c>
      <c r="M606" s="2" t="s">
        <v>1605</v>
      </c>
      <c r="N606" s="2" t="s">
        <v>38</v>
      </c>
      <c r="O606" s="2" t="s">
        <v>38</v>
      </c>
      <c r="P606" s="2" t="s">
        <v>1661</v>
      </c>
      <c r="Q606" s="2" t="s">
        <v>38</v>
      </c>
      <c r="R606" s="2" t="s">
        <v>1367</v>
      </c>
      <c r="S606" s="2" t="s">
        <v>1461</v>
      </c>
      <c r="T606" s="2" t="s">
        <v>1606</v>
      </c>
      <c r="U606" s="2" t="s">
        <v>175</v>
      </c>
      <c r="V606" s="2" t="s">
        <v>1364</v>
      </c>
      <c r="W606" s="2" t="s">
        <v>38</v>
      </c>
      <c r="X606" s="3">
        <v>41147</v>
      </c>
      <c r="Y606" s="2" t="s">
        <v>1848</v>
      </c>
      <c r="Z606" s="4"/>
      <c r="AA606" s="2" t="s">
        <v>672</v>
      </c>
      <c r="AB606" s="2" t="s">
        <v>1733</v>
      </c>
      <c r="AC606" s="12">
        <f t="shared" si="54"/>
        <v>2012</v>
      </c>
      <c r="AD606" s="12">
        <f t="shared" si="55"/>
        <v>8</v>
      </c>
      <c r="AE606" s="12">
        <f t="shared" si="56"/>
        <v>26</v>
      </c>
      <c r="AF606" s="16">
        <f t="shared" si="57"/>
        <v>20.7</v>
      </c>
      <c r="AG606" s="16">
        <f t="shared" si="58"/>
        <v>28.3</v>
      </c>
      <c r="AH606" s="16" t="str">
        <f t="shared" si="59"/>
        <v/>
      </c>
    </row>
    <row r="607" spans="1:34" x14ac:dyDescent="0.35">
      <c r="A607" s="2" t="s">
        <v>1849</v>
      </c>
      <c r="B607" s="2" t="s">
        <v>29</v>
      </c>
      <c r="C607" s="2" t="s">
        <v>30</v>
      </c>
      <c r="D607" s="2" t="s">
        <v>306</v>
      </c>
      <c r="E607" s="2" t="s">
        <v>50</v>
      </c>
      <c r="F607" s="2" t="s">
        <v>635</v>
      </c>
      <c r="G607" s="2" t="s">
        <v>1637</v>
      </c>
      <c r="H607" s="2" t="s">
        <v>276</v>
      </c>
      <c r="I607" s="2" t="s">
        <v>187</v>
      </c>
      <c r="J607" s="2" t="s">
        <v>37</v>
      </c>
      <c r="K607" s="2" t="s">
        <v>38</v>
      </c>
      <c r="L607" s="2" t="s">
        <v>38</v>
      </c>
      <c r="M607" s="2" t="s">
        <v>1597</v>
      </c>
      <c r="N607" s="2" t="s">
        <v>38</v>
      </c>
      <c r="O607" s="2" t="s">
        <v>38</v>
      </c>
      <c r="P607" s="2" t="s">
        <v>218</v>
      </c>
      <c r="Q607" s="2" t="s">
        <v>38</v>
      </c>
      <c r="R607" s="2" t="s">
        <v>1456</v>
      </c>
      <c r="S607" s="2" t="s">
        <v>1850</v>
      </c>
      <c r="T607" s="2" t="s">
        <v>1599</v>
      </c>
      <c r="U607" s="2" t="s">
        <v>311</v>
      </c>
      <c r="V607" s="2" t="s">
        <v>1370</v>
      </c>
      <c r="W607" s="2" t="s">
        <v>38</v>
      </c>
      <c r="X607" s="3">
        <v>41148</v>
      </c>
      <c r="Y607" s="2" t="s">
        <v>1851</v>
      </c>
      <c r="Z607" s="34"/>
      <c r="AA607" s="2" t="s">
        <v>672</v>
      </c>
      <c r="AB607" s="2" t="s">
        <v>1733</v>
      </c>
      <c r="AC607" s="12">
        <f t="shared" si="54"/>
        <v>2012</v>
      </c>
      <c r="AD607" s="12">
        <f t="shared" si="55"/>
        <v>8</v>
      </c>
      <c r="AE607" s="12">
        <f t="shared" si="56"/>
        <v>27</v>
      </c>
      <c r="AF607" s="16">
        <f t="shared" si="57"/>
        <v>21.3</v>
      </c>
      <c r="AG607" s="16">
        <f t="shared" si="58"/>
        <v>25.9</v>
      </c>
      <c r="AH607" s="16" t="str">
        <f t="shared" si="59"/>
        <v/>
      </c>
    </row>
    <row r="608" spans="1:34" x14ac:dyDescent="0.35">
      <c r="A608" s="2" t="s">
        <v>1853</v>
      </c>
      <c r="B608" s="2" t="s">
        <v>29</v>
      </c>
      <c r="C608" s="2" t="s">
        <v>30</v>
      </c>
      <c r="D608" s="2" t="s">
        <v>200</v>
      </c>
      <c r="E608" s="2" t="s">
        <v>714</v>
      </c>
      <c r="F608" s="2" t="s">
        <v>1074</v>
      </c>
      <c r="G608" s="2" t="s">
        <v>1625</v>
      </c>
      <c r="H608" s="2" t="s">
        <v>295</v>
      </c>
      <c r="I608" s="2" t="s">
        <v>31</v>
      </c>
      <c r="J608" s="2" t="s">
        <v>37</v>
      </c>
      <c r="K608" s="2" t="s">
        <v>38</v>
      </c>
      <c r="L608" s="2" t="s">
        <v>38</v>
      </c>
      <c r="M608" s="2" t="s">
        <v>1532</v>
      </c>
      <c r="N608" s="2" t="s">
        <v>38</v>
      </c>
      <c r="O608" s="2" t="s">
        <v>38</v>
      </c>
      <c r="P608" s="2" t="s">
        <v>1855</v>
      </c>
      <c r="Q608" s="2" t="s">
        <v>38</v>
      </c>
      <c r="R608" s="2" t="s">
        <v>1029</v>
      </c>
      <c r="S608" s="2" t="s">
        <v>1368</v>
      </c>
      <c r="T608" s="2" t="s">
        <v>1457</v>
      </c>
      <c r="U608" s="2" t="s">
        <v>205</v>
      </c>
      <c r="V608" s="2" t="s">
        <v>1743</v>
      </c>
      <c r="W608" s="2" t="s">
        <v>38</v>
      </c>
      <c r="X608" s="3">
        <v>41149</v>
      </c>
      <c r="Y608" s="2" t="s">
        <v>1856</v>
      </c>
      <c r="Z608" s="34"/>
      <c r="AA608" s="2" t="s">
        <v>672</v>
      </c>
      <c r="AB608" s="2" t="s">
        <v>1733</v>
      </c>
      <c r="AC608" s="12">
        <f t="shared" si="54"/>
        <v>2012</v>
      </c>
      <c r="AD608" s="12">
        <f t="shared" si="55"/>
        <v>8</v>
      </c>
      <c r="AE608" s="12">
        <f t="shared" si="56"/>
        <v>28</v>
      </c>
      <c r="AF608" s="16">
        <f t="shared" si="57"/>
        <v>21.8</v>
      </c>
      <c r="AG608" s="16">
        <f t="shared" si="58"/>
        <v>27.8</v>
      </c>
      <c r="AH608" s="16" t="str">
        <f t="shared" si="59"/>
        <v/>
      </c>
    </row>
    <row r="609" spans="1:34" x14ac:dyDescent="0.35">
      <c r="A609" s="2" t="s">
        <v>1857</v>
      </c>
      <c r="B609" s="2" t="s">
        <v>29</v>
      </c>
      <c r="C609" s="2" t="s">
        <v>30</v>
      </c>
      <c r="D609" s="2" t="s">
        <v>187</v>
      </c>
      <c r="E609" s="2" t="s">
        <v>306</v>
      </c>
      <c r="F609" s="2" t="s">
        <v>1118</v>
      </c>
      <c r="G609" s="2" t="s">
        <v>1460</v>
      </c>
      <c r="H609" s="2" t="s">
        <v>153</v>
      </c>
      <c r="I609" s="2" t="s">
        <v>111</v>
      </c>
      <c r="J609" s="2" t="s">
        <v>37</v>
      </c>
      <c r="K609" s="2" t="s">
        <v>38</v>
      </c>
      <c r="L609" s="2" t="s">
        <v>38</v>
      </c>
      <c r="M609" s="2" t="s">
        <v>1605</v>
      </c>
      <c r="N609" s="2" t="s">
        <v>38</v>
      </c>
      <c r="O609" s="2" t="s">
        <v>38</v>
      </c>
      <c r="P609" s="2" t="s">
        <v>516</v>
      </c>
      <c r="Q609" s="2" t="s">
        <v>38</v>
      </c>
      <c r="R609" s="2" t="s">
        <v>1029</v>
      </c>
      <c r="S609" s="2" t="s">
        <v>1210</v>
      </c>
      <c r="T609" s="2" t="s">
        <v>1606</v>
      </c>
      <c r="U609" s="2" t="s">
        <v>1165</v>
      </c>
      <c r="V609" s="2" t="s">
        <v>1860</v>
      </c>
      <c r="W609" s="2" t="s">
        <v>38</v>
      </c>
      <c r="X609" s="3">
        <v>41150</v>
      </c>
      <c r="Y609" s="2" t="s">
        <v>1861</v>
      </c>
      <c r="Z609" s="4"/>
      <c r="AA609" s="2" t="s">
        <v>672</v>
      </c>
      <c r="AB609" s="2" t="s">
        <v>1733</v>
      </c>
      <c r="AC609" s="12">
        <f t="shared" si="54"/>
        <v>2012</v>
      </c>
      <c r="AD609" s="12">
        <f t="shared" si="55"/>
        <v>8</v>
      </c>
      <c r="AE609" s="12">
        <f t="shared" si="56"/>
        <v>29</v>
      </c>
      <c r="AF609" s="16">
        <f t="shared" si="57"/>
        <v>23.1</v>
      </c>
      <c r="AG609" s="16">
        <f t="shared" si="58"/>
        <v>29.8</v>
      </c>
      <c r="AH609" s="16" t="str">
        <f t="shared" si="59"/>
        <v/>
      </c>
    </row>
    <row r="610" spans="1:34" x14ac:dyDescent="0.35">
      <c r="A610" s="2" t="s">
        <v>1862</v>
      </c>
      <c r="B610" s="2" t="s">
        <v>29</v>
      </c>
      <c r="C610" s="2" t="s">
        <v>30</v>
      </c>
      <c r="D610" s="2" t="s">
        <v>187</v>
      </c>
      <c r="E610" s="2" t="s">
        <v>714</v>
      </c>
      <c r="F610" s="2" t="s">
        <v>1345</v>
      </c>
      <c r="G610" s="2" t="s">
        <v>1864</v>
      </c>
      <c r="H610" s="2" t="s">
        <v>451</v>
      </c>
      <c r="I610" s="2" t="s">
        <v>36</v>
      </c>
      <c r="J610" s="2" t="s">
        <v>37</v>
      </c>
      <c r="K610" s="2" t="s">
        <v>38</v>
      </c>
      <c r="L610" s="2" t="s">
        <v>38</v>
      </c>
      <c r="M610" s="2" t="s">
        <v>1605</v>
      </c>
      <c r="N610" s="2" t="s">
        <v>38</v>
      </c>
      <c r="O610" s="2" t="s">
        <v>38</v>
      </c>
      <c r="P610" s="2" t="s">
        <v>277</v>
      </c>
      <c r="Q610" s="2" t="s">
        <v>38</v>
      </c>
      <c r="R610" s="2" t="s">
        <v>1029</v>
      </c>
      <c r="S610" s="2" t="s">
        <v>1119</v>
      </c>
      <c r="T610" s="2" t="s">
        <v>1606</v>
      </c>
      <c r="U610" s="2" t="s">
        <v>346</v>
      </c>
      <c r="V610" s="2" t="s">
        <v>1743</v>
      </c>
      <c r="W610" s="2" t="s">
        <v>38</v>
      </c>
      <c r="X610" s="3">
        <v>41151</v>
      </c>
      <c r="Y610" s="2" t="s">
        <v>1865</v>
      </c>
      <c r="Z610" s="34"/>
      <c r="AA610" s="2" t="s">
        <v>672</v>
      </c>
      <c r="AB610" s="2" t="s">
        <v>1733</v>
      </c>
      <c r="AC610" s="12">
        <f t="shared" si="54"/>
        <v>2012</v>
      </c>
      <c r="AD610" s="12">
        <f t="shared" si="55"/>
        <v>8</v>
      </c>
      <c r="AE610" s="12">
        <f t="shared" si="56"/>
        <v>30</v>
      </c>
      <c r="AF610" s="16">
        <f t="shared" si="57"/>
        <v>21.8</v>
      </c>
      <c r="AG610" s="16">
        <f t="shared" si="58"/>
        <v>31.1</v>
      </c>
      <c r="AH610" s="16" t="str">
        <f t="shared" si="59"/>
        <v/>
      </c>
    </row>
    <row r="611" spans="1:34" x14ac:dyDescent="0.35">
      <c r="A611" s="2" t="s">
        <v>1866</v>
      </c>
      <c r="B611" s="2" t="s">
        <v>29</v>
      </c>
      <c r="C611" s="2" t="s">
        <v>30</v>
      </c>
      <c r="D611" s="2" t="s">
        <v>200</v>
      </c>
      <c r="E611" s="2" t="s">
        <v>306</v>
      </c>
      <c r="F611" s="2" t="s">
        <v>1867</v>
      </c>
      <c r="G611" s="2" t="s">
        <v>1376</v>
      </c>
      <c r="H611" s="2" t="s">
        <v>295</v>
      </c>
      <c r="I611" s="2" t="s">
        <v>77</v>
      </c>
      <c r="J611" s="2" t="s">
        <v>37</v>
      </c>
      <c r="K611" s="2" t="s">
        <v>38</v>
      </c>
      <c r="L611" s="2" t="s">
        <v>38</v>
      </c>
      <c r="M611" s="2" t="s">
        <v>39</v>
      </c>
      <c r="N611" s="2" t="s">
        <v>38</v>
      </c>
      <c r="O611" s="2" t="s">
        <v>38</v>
      </c>
      <c r="P611" s="2" t="s">
        <v>1598</v>
      </c>
      <c r="Q611" s="2" t="s">
        <v>38</v>
      </c>
      <c r="R611" s="2" t="s">
        <v>1029</v>
      </c>
      <c r="S611" s="2" t="s">
        <v>58</v>
      </c>
      <c r="T611" s="2" t="s">
        <v>1688</v>
      </c>
      <c r="U611" s="2" t="s">
        <v>236</v>
      </c>
      <c r="V611" s="2" t="s">
        <v>311</v>
      </c>
      <c r="W611" s="2" t="s">
        <v>38</v>
      </c>
      <c r="X611" s="3">
        <v>41152</v>
      </c>
      <c r="Y611" s="2" t="s">
        <v>1868</v>
      </c>
      <c r="Z611" s="4"/>
      <c r="AA611" s="2" t="s">
        <v>1323</v>
      </c>
      <c r="AB611" s="2" t="s">
        <v>1869</v>
      </c>
      <c r="AC611" s="12">
        <f t="shared" si="54"/>
        <v>2012</v>
      </c>
      <c r="AD611" s="12">
        <f t="shared" si="55"/>
        <v>8</v>
      </c>
      <c r="AE611" s="12">
        <f t="shared" si="56"/>
        <v>31</v>
      </c>
      <c r="AF611" s="16">
        <f t="shared" si="57"/>
        <v>23.4</v>
      </c>
      <c r="AG611" s="16">
        <f t="shared" si="58"/>
        <v>29.5</v>
      </c>
      <c r="AH611" s="16" t="str">
        <f t="shared" si="59"/>
        <v/>
      </c>
    </row>
    <row r="612" spans="1:34" x14ac:dyDescent="0.35">
      <c r="A612" s="2" t="s">
        <v>1871</v>
      </c>
      <c r="B612" s="2" t="s">
        <v>29</v>
      </c>
      <c r="C612" s="2" t="s">
        <v>30</v>
      </c>
      <c r="D612" s="2" t="s">
        <v>187</v>
      </c>
      <c r="E612" s="2" t="s">
        <v>714</v>
      </c>
      <c r="F612" s="2" t="s">
        <v>1335</v>
      </c>
      <c r="G612" s="2" t="s">
        <v>34</v>
      </c>
      <c r="H612" s="2" t="s">
        <v>69</v>
      </c>
      <c r="I612" s="2" t="s">
        <v>111</v>
      </c>
      <c r="J612" s="2" t="s">
        <v>37</v>
      </c>
      <c r="K612" s="2" t="s">
        <v>38</v>
      </c>
      <c r="L612" s="2" t="s">
        <v>38</v>
      </c>
      <c r="M612" s="2" t="s">
        <v>1644</v>
      </c>
      <c r="N612" s="2" t="s">
        <v>38</v>
      </c>
      <c r="O612" s="2" t="s">
        <v>38</v>
      </c>
      <c r="P612" s="2" t="s">
        <v>516</v>
      </c>
      <c r="Q612" s="2" t="s">
        <v>38</v>
      </c>
      <c r="R612" s="2" t="s">
        <v>41</v>
      </c>
      <c r="S612" s="2" t="s">
        <v>995</v>
      </c>
      <c r="T612" s="2" t="s">
        <v>1798</v>
      </c>
      <c r="U612" s="2" t="s">
        <v>253</v>
      </c>
      <c r="V612" s="2" t="s">
        <v>1462</v>
      </c>
      <c r="W612" s="2" t="s">
        <v>38</v>
      </c>
      <c r="X612" s="3">
        <v>41153</v>
      </c>
      <c r="Y612" s="2" t="s">
        <v>1873</v>
      </c>
      <c r="Z612" s="34"/>
      <c r="AA612" s="2" t="s">
        <v>1323</v>
      </c>
      <c r="AB612" s="2" t="s">
        <v>1869</v>
      </c>
      <c r="AC612" s="12">
        <f t="shared" si="54"/>
        <v>2012</v>
      </c>
      <c r="AD612" s="12">
        <f t="shared" si="55"/>
        <v>9</v>
      </c>
      <c r="AE612" s="12">
        <f t="shared" si="56"/>
        <v>1</v>
      </c>
      <c r="AF612" s="16">
        <f t="shared" si="57"/>
        <v>22.3</v>
      </c>
      <c r="AG612" s="16">
        <f t="shared" si="58"/>
        <v>29.8</v>
      </c>
      <c r="AH612" s="16" t="str">
        <f t="shared" si="59"/>
        <v/>
      </c>
    </row>
    <row r="613" spans="1:34" x14ac:dyDescent="0.35">
      <c r="A613" s="2" t="s">
        <v>1874</v>
      </c>
      <c r="B613" s="2" t="s">
        <v>29</v>
      </c>
      <c r="C613" s="2" t="s">
        <v>30</v>
      </c>
      <c r="D613" s="2" t="s">
        <v>187</v>
      </c>
      <c r="E613" s="2" t="s">
        <v>714</v>
      </c>
      <c r="F613" s="2" t="s">
        <v>1118</v>
      </c>
      <c r="G613" s="2" t="s">
        <v>1625</v>
      </c>
      <c r="H613" s="2" t="s">
        <v>87</v>
      </c>
      <c r="I613" s="2" t="s">
        <v>111</v>
      </c>
      <c r="J613" s="2" t="s">
        <v>37</v>
      </c>
      <c r="K613" s="2" t="s">
        <v>38</v>
      </c>
      <c r="L613" s="2" t="s">
        <v>38</v>
      </c>
      <c r="M613" s="2" t="s">
        <v>1605</v>
      </c>
      <c r="N613" s="2" t="s">
        <v>38</v>
      </c>
      <c r="O613" s="2" t="s">
        <v>38</v>
      </c>
      <c r="P613" s="2" t="s">
        <v>516</v>
      </c>
      <c r="Q613" s="2" t="s">
        <v>38</v>
      </c>
      <c r="R613" s="2" t="s">
        <v>1029</v>
      </c>
      <c r="S613" s="2" t="s">
        <v>1583</v>
      </c>
      <c r="T613" s="2" t="s">
        <v>1649</v>
      </c>
      <c r="U613" s="2" t="s">
        <v>891</v>
      </c>
      <c r="V613" s="2" t="s">
        <v>1462</v>
      </c>
      <c r="W613" s="2" t="s">
        <v>38</v>
      </c>
      <c r="X613" s="3">
        <v>41154</v>
      </c>
      <c r="Y613" s="2" t="s">
        <v>1875</v>
      </c>
      <c r="Z613" s="4"/>
      <c r="AA613" s="2" t="s">
        <v>1323</v>
      </c>
      <c r="AB613" s="2" t="s">
        <v>1869</v>
      </c>
      <c r="AC613" s="12">
        <f t="shared" si="54"/>
        <v>2012</v>
      </c>
      <c r="AD613" s="12">
        <f t="shared" si="55"/>
        <v>9</v>
      </c>
      <c r="AE613" s="12">
        <f t="shared" si="56"/>
        <v>2</v>
      </c>
      <c r="AF613" s="16">
        <f t="shared" si="57"/>
        <v>22.3</v>
      </c>
      <c r="AG613" s="16">
        <f t="shared" si="58"/>
        <v>29.8</v>
      </c>
      <c r="AH613" s="16" t="str">
        <f t="shared" si="59"/>
        <v/>
      </c>
    </row>
    <row r="614" spans="1:34" x14ac:dyDescent="0.35">
      <c r="A614" s="2" t="s">
        <v>1877</v>
      </c>
      <c r="B614" s="2" t="s">
        <v>29</v>
      </c>
      <c r="C614" s="2" t="s">
        <v>30</v>
      </c>
      <c r="D614" s="2" t="s">
        <v>200</v>
      </c>
      <c r="E614" s="2" t="s">
        <v>714</v>
      </c>
      <c r="F614" s="2" t="s">
        <v>1089</v>
      </c>
      <c r="G614" s="2" t="s">
        <v>1642</v>
      </c>
      <c r="H614" s="2" t="s">
        <v>451</v>
      </c>
      <c r="I614" s="2" t="s">
        <v>187</v>
      </c>
      <c r="J614" s="2" t="s">
        <v>37</v>
      </c>
      <c r="K614" s="2" t="s">
        <v>38</v>
      </c>
      <c r="L614" s="2" t="s">
        <v>38</v>
      </c>
      <c r="M614" s="2" t="s">
        <v>1532</v>
      </c>
      <c r="N614" s="2" t="s">
        <v>38</v>
      </c>
      <c r="O614" s="2" t="s">
        <v>38</v>
      </c>
      <c r="P614" s="2" t="s">
        <v>1878</v>
      </c>
      <c r="Q614" s="2" t="s">
        <v>38</v>
      </c>
      <c r="R614" s="2" t="s">
        <v>1029</v>
      </c>
      <c r="S614" s="2" t="s">
        <v>1058</v>
      </c>
      <c r="T614" s="2" t="s">
        <v>1457</v>
      </c>
      <c r="U614" s="2" t="s">
        <v>899</v>
      </c>
      <c r="V614" s="2" t="s">
        <v>1524</v>
      </c>
      <c r="W614" s="2" t="s">
        <v>38</v>
      </c>
      <c r="X614" s="3">
        <v>41155</v>
      </c>
      <c r="Y614" s="2" t="s">
        <v>1879</v>
      </c>
      <c r="Z614" s="4"/>
      <c r="AA614" s="2" t="s">
        <v>1323</v>
      </c>
      <c r="AB614" s="2" t="s">
        <v>1869</v>
      </c>
      <c r="AC614" s="12">
        <f t="shared" si="54"/>
        <v>2012</v>
      </c>
      <c r="AD614" s="12">
        <f t="shared" si="55"/>
        <v>9</v>
      </c>
      <c r="AE614" s="12">
        <f t="shared" si="56"/>
        <v>3</v>
      </c>
      <c r="AF614" s="16">
        <f t="shared" si="57"/>
        <v>21.7</v>
      </c>
      <c r="AG614" s="16">
        <f t="shared" si="58"/>
        <v>26.3</v>
      </c>
      <c r="AH614" s="16" t="str">
        <f t="shared" si="59"/>
        <v/>
      </c>
    </row>
    <row r="615" spans="1:34" x14ac:dyDescent="0.35">
      <c r="A615" s="2" t="s">
        <v>1882</v>
      </c>
      <c r="B615" s="2" t="s">
        <v>29</v>
      </c>
      <c r="C615" s="2" t="s">
        <v>30</v>
      </c>
      <c r="D615" s="2" t="s">
        <v>214</v>
      </c>
      <c r="E615" s="2" t="s">
        <v>50</v>
      </c>
      <c r="F615" s="2" t="s">
        <v>1038</v>
      </c>
      <c r="G615" s="2" t="s">
        <v>1596</v>
      </c>
      <c r="H615" s="2" t="s">
        <v>113</v>
      </c>
      <c r="I615" s="2" t="s">
        <v>200</v>
      </c>
      <c r="J615" s="2" t="s">
        <v>37</v>
      </c>
      <c r="K615" s="2" t="s">
        <v>38</v>
      </c>
      <c r="L615" s="2" t="s">
        <v>38</v>
      </c>
      <c r="M615" s="2" t="s">
        <v>1597</v>
      </c>
      <c r="N615" s="2" t="s">
        <v>38</v>
      </c>
      <c r="O615" s="2" t="s">
        <v>38</v>
      </c>
      <c r="P615" s="2" t="s">
        <v>1883</v>
      </c>
      <c r="Q615" s="2" t="s">
        <v>38</v>
      </c>
      <c r="R615" s="2" t="s">
        <v>1456</v>
      </c>
      <c r="S615" s="2" t="s">
        <v>1850</v>
      </c>
      <c r="T615" s="2" t="s">
        <v>1675</v>
      </c>
      <c r="U615" s="2" t="s">
        <v>219</v>
      </c>
      <c r="V615" s="2" t="s">
        <v>1398</v>
      </c>
      <c r="W615" s="2" t="s">
        <v>38</v>
      </c>
      <c r="X615" s="3">
        <v>41156</v>
      </c>
      <c r="Y615" s="2" t="s">
        <v>1884</v>
      </c>
      <c r="Z615" s="34"/>
      <c r="AA615" s="2" t="s">
        <v>1323</v>
      </c>
      <c r="AB615" s="2" t="s">
        <v>1869</v>
      </c>
      <c r="AC615" s="12">
        <f t="shared" si="54"/>
        <v>2012</v>
      </c>
      <c r="AD615" s="12">
        <f t="shared" si="55"/>
        <v>9</v>
      </c>
      <c r="AE615" s="12">
        <f t="shared" si="56"/>
        <v>4</v>
      </c>
      <c r="AF615" s="16">
        <f t="shared" si="57"/>
        <v>21.5</v>
      </c>
      <c r="AG615" s="16">
        <f t="shared" si="58"/>
        <v>25.4</v>
      </c>
      <c r="AH615" s="16" t="str">
        <f t="shared" si="59"/>
        <v/>
      </c>
    </row>
    <row r="616" spans="1:34" x14ac:dyDescent="0.35">
      <c r="A616" s="2" t="s">
        <v>1887</v>
      </c>
      <c r="B616" s="2" t="s">
        <v>29</v>
      </c>
      <c r="C616" s="2" t="s">
        <v>30</v>
      </c>
      <c r="D616" s="2" t="s">
        <v>200</v>
      </c>
      <c r="E616" s="2" t="s">
        <v>306</v>
      </c>
      <c r="F616" s="2" t="s">
        <v>1172</v>
      </c>
      <c r="G616" s="2" t="s">
        <v>1637</v>
      </c>
      <c r="H616" s="2" t="s">
        <v>240</v>
      </c>
      <c r="I616" s="2" t="s">
        <v>187</v>
      </c>
      <c r="J616" s="2" t="s">
        <v>37</v>
      </c>
      <c r="K616" s="2" t="s">
        <v>38</v>
      </c>
      <c r="L616" s="2" t="s">
        <v>38</v>
      </c>
      <c r="M616" s="2" t="s">
        <v>1597</v>
      </c>
      <c r="N616" s="2" t="s">
        <v>38</v>
      </c>
      <c r="O616" s="2" t="s">
        <v>38</v>
      </c>
      <c r="P616" s="2" t="s">
        <v>1738</v>
      </c>
      <c r="Q616" s="2" t="s">
        <v>38</v>
      </c>
      <c r="R616" s="2" t="s">
        <v>1029</v>
      </c>
      <c r="S616" s="2" t="s">
        <v>1667</v>
      </c>
      <c r="T616" s="2" t="s">
        <v>1675</v>
      </c>
      <c r="U616" s="2" t="s">
        <v>1858</v>
      </c>
      <c r="V616" s="2" t="s">
        <v>1889</v>
      </c>
      <c r="W616" s="2" t="s">
        <v>38</v>
      </c>
      <c r="X616" s="3">
        <v>41157</v>
      </c>
      <c r="Y616" s="2" t="s">
        <v>1890</v>
      </c>
      <c r="Z616" s="34"/>
      <c r="AA616" s="2" t="s">
        <v>1323</v>
      </c>
      <c r="AB616" s="2" t="s">
        <v>1869</v>
      </c>
      <c r="AC616" s="12">
        <f t="shared" si="54"/>
        <v>2012</v>
      </c>
      <c r="AD616" s="12">
        <f t="shared" si="55"/>
        <v>9</v>
      </c>
      <c r="AE616" s="12">
        <f t="shared" si="56"/>
        <v>5</v>
      </c>
      <c r="AF616" s="16">
        <f t="shared" si="57"/>
        <v>22.9</v>
      </c>
      <c r="AG616" s="16">
        <f t="shared" si="58"/>
        <v>26</v>
      </c>
      <c r="AH616" s="16" t="str">
        <f t="shared" si="59"/>
        <v/>
      </c>
    </row>
    <row r="617" spans="1:34" x14ac:dyDescent="0.35">
      <c r="A617" s="2" t="s">
        <v>1891</v>
      </c>
      <c r="B617" s="2" t="s">
        <v>29</v>
      </c>
      <c r="C617" s="2" t="s">
        <v>30</v>
      </c>
      <c r="D617" s="2" t="s">
        <v>200</v>
      </c>
      <c r="E617" s="2" t="s">
        <v>714</v>
      </c>
      <c r="F617" s="2" t="s">
        <v>658</v>
      </c>
      <c r="G617" s="2" t="s">
        <v>1604</v>
      </c>
      <c r="H617" s="2" t="s">
        <v>127</v>
      </c>
      <c r="I617" s="2" t="s">
        <v>31</v>
      </c>
      <c r="J617" s="2" t="s">
        <v>37</v>
      </c>
      <c r="K617" s="2" t="s">
        <v>38</v>
      </c>
      <c r="L617" s="2" t="s">
        <v>38</v>
      </c>
      <c r="M617" s="2" t="s">
        <v>1605</v>
      </c>
      <c r="N617" s="2" t="s">
        <v>38</v>
      </c>
      <c r="O617" s="2" t="s">
        <v>38</v>
      </c>
      <c r="P617" s="2" t="s">
        <v>1855</v>
      </c>
      <c r="Q617" s="2" t="s">
        <v>38</v>
      </c>
      <c r="R617" s="2" t="s">
        <v>1029</v>
      </c>
      <c r="S617" s="2" t="s">
        <v>1893</v>
      </c>
      <c r="T617" s="2" t="s">
        <v>1649</v>
      </c>
      <c r="U617" s="2" t="s">
        <v>899</v>
      </c>
      <c r="V617" s="2" t="s">
        <v>1507</v>
      </c>
      <c r="W617" s="2" t="s">
        <v>38</v>
      </c>
      <c r="X617" s="3">
        <v>41158</v>
      </c>
      <c r="Y617" s="2" t="s">
        <v>1894</v>
      </c>
      <c r="Z617" s="4"/>
      <c r="AA617" s="2" t="s">
        <v>1323</v>
      </c>
      <c r="AB617" s="2" t="s">
        <v>1869</v>
      </c>
      <c r="AC617" s="12">
        <f t="shared" si="54"/>
        <v>2012</v>
      </c>
      <c r="AD617" s="12">
        <f t="shared" si="55"/>
        <v>9</v>
      </c>
      <c r="AE617" s="12">
        <f t="shared" si="56"/>
        <v>6</v>
      </c>
      <c r="AF617" s="16">
        <f t="shared" si="57"/>
        <v>22</v>
      </c>
      <c r="AG617" s="16">
        <f t="shared" si="58"/>
        <v>27.8</v>
      </c>
      <c r="AH617" s="16" t="str">
        <f t="shared" si="59"/>
        <v/>
      </c>
    </row>
    <row r="618" spans="1:34" x14ac:dyDescent="0.35">
      <c r="A618" s="2" t="s">
        <v>1895</v>
      </c>
      <c r="B618" s="2" t="s">
        <v>29</v>
      </c>
      <c r="C618" s="2" t="s">
        <v>30</v>
      </c>
      <c r="D618" s="2" t="s">
        <v>187</v>
      </c>
      <c r="E618" s="2" t="s">
        <v>714</v>
      </c>
      <c r="F618" s="2" t="s">
        <v>1232</v>
      </c>
      <c r="G618" s="2" t="s">
        <v>1642</v>
      </c>
      <c r="H618" s="2" t="s">
        <v>35</v>
      </c>
      <c r="I618" s="2" t="s">
        <v>171</v>
      </c>
      <c r="J618" s="2" t="s">
        <v>37</v>
      </c>
      <c r="K618" s="2" t="s">
        <v>38</v>
      </c>
      <c r="L618" s="2" t="s">
        <v>38</v>
      </c>
      <c r="M618" s="2" t="s">
        <v>1532</v>
      </c>
      <c r="N618" s="2" t="s">
        <v>38</v>
      </c>
      <c r="O618" s="2" t="s">
        <v>38</v>
      </c>
      <c r="P618" s="2" t="s">
        <v>203</v>
      </c>
      <c r="Q618" s="2" t="s">
        <v>38</v>
      </c>
      <c r="R618" s="2" t="s">
        <v>1029</v>
      </c>
      <c r="S618" s="2" t="s">
        <v>1058</v>
      </c>
      <c r="T618" s="2" t="s">
        <v>1457</v>
      </c>
      <c r="U618" s="2" t="s">
        <v>253</v>
      </c>
      <c r="V618" s="2" t="s">
        <v>770</v>
      </c>
      <c r="W618" s="2" t="s">
        <v>38</v>
      </c>
      <c r="X618" s="3">
        <v>41159</v>
      </c>
      <c r="Y618" s="2" t="s">
        <v>1897</v>
      </c>
      <c r="Z618" s="4"/>
      <c r="AA618" s="2" t="s">
        <v>1323</v>
      </c>
      <c r="AB618" s="2" t="s">
        <v>1869</v>
      </c>
      <c r="AC618" s="12">
        <f t="shared" si="54"/>
        <v>2012</v>
      </c>
      <c r="AD618" s="12">
        <f t="shared" si="55"/>
        <v>9</v>
      </c>
      <c r="AE618" s="12">
        <f t="shared" si="56"/>
        <v>7</v>
      </c>
      <c r="AF618" s="16">
        <f t="shared" si="57"/>
        <v>21.6</v>
      </c>
      <c r="AG618" s="16">
        <f t="shared" si="58"/>
        <v>26.9</v>
      </c>
      <c r="AH618" s="16" t="str">
        <f t="shared" si="59"/>
        <v/>
      </c>
    </row>
    <row r="619" spans="1:34" x14ac:dyDescent="0.35">
      <c r="A619" s="2" t="s">
        <v>1898</v>
      </c>
      <c r="B619" s="2" t="s">
        <v>29</v>
      </c>
      <c r="C619" s="2" t="s">
        <v>30</v>
      </c>
      <c r="D619" s="2" t="s">
        <v>187</v>
      </c>
      <c r="E619" s="2" t="s">
        <v>714</v>
      </c>
      <c r="F619" s="2" t="s">
        <v>1439</v>
      </c>
      <c r="G619" s="2" t="s">
        <v>1596</v>
      </c>
      <c r="H619" s="2" t="s">
        <v>69</v>
      </c>
      <c r="I619" s="2" t="s">
        <v>77</v>
      </c>
      <c r="J619" s="2" t="s">
        <v>37</v>
      </c>
      <c r="K619" s="2" t="s">
        <v>38</v>
      </c>
      <c r="L619" s="2" t="s">
        <v>38</v>
      </c>
      <c r="M619" s="2" t="s">
        <v>1532</v>
      </c>
      <c r="N619" s="2" t="s">
        <v>38</v>
      </c>
      <c r="O619" s="2" t="s">
        <v>38</v>
      </c>
      <c r="P619" s="2" t="s">
        <v>1900</v>
      </c>
      <c r="Q619" s="2" t="s">
        <v>38</v>
      </c>
      <c r="R619" s="2" t="s">
        <v>1456</v>
      </c>
      <c r="S619" s="2" t="s">
        <v>1670</v>
      </c>
      <c r="T619" s="2" t="s">
        <v>1457</v>
      </c>
      <c r="U619" s="2" t="s">
        <v>190</v>
      </c>
      <c r="V619" s="2" t="s">
        <v>1527</v>
      </c>
      <c r="W619" s="2" t="s">
        <v>38</v>
      </c>
      <c r="X619" s="3">
        <v>41160</v>
      </c>
      <c r="Y619" s="2" t="s">
        <v>1901</v>
      </c>
      <c r="Z619" s="34"/>
      <c r="AA619" s="2" t="s">
        <v>1323</v>
      </c>
      <c r="AB619" s="2" t="s">
        <v>1869</v>
      </c>
      <c r="AC619" s="12">
        <f t="shared" si="54"/>
        <v>2012</v>
      </c>
      <c r="AD619" s="12">
        <f t="shared" si="55"/>
        <v>9</v>
      </c>
      <c r="AE619" s="12">
        <f t="shared" si="56"/>
        <v>8</v>
      </c>
      <c r="AF619" s="16">
        <f t="shared" si="57"/>
        <v>22.2</v>
      </c>
      <c r="AG619" s="16">
        <f t="shared" si="58"/>
        <v>28.5</v>
      </c>
      <c r="AH619" s="16" t="str">
        <f t="shared" si="59"/>
        <v/>
      </c>
    </row>
    <row r="620" spans="1:34" x14ac:dyDescent="0.35">
      <c r="A620" s="2" t="s">
        <v>1902</v>
      </c>
      <c r="B620" s="2" t="s">
        <v>29</v>
      </c>
      <c r="C620" s="2" t="s">
        <v>30</v>
      </c>
      <c r="D620" s="2" t="s">
        <v>187</v>
      </c>
      <c r="E620" s="2" t="s">
        <v>714</v>
      </c>
      <c r="F620" s="2" t="s">
        <v>629</v>
      </c>
      <c r="G620" s="2" t="s">
        <v>1596</v>
      </c>
      <c r="H620" s="2" t="s">
        <v>96</v>
      </c>
      <c r="I620" s="2" t="s">
        <v>31</v>
      </c>
      <c r="J620" s="2" t="s">
        <v>37</v>
      </c>
      <c r="K620" s="2" t="s">
        <v>38</v>
      </c>
      <c r="L620" s="2" t="s">
        <v>38</v>
      </c>
      <c r="M620" s="2" t="s">
        <v>1532</v>
      </c>
      <c r="N620" s="2" t="s">
        <v>38</v>
      </c>
      <c r="O620" s="2" t="s">
        <v>38</v>
      </c>
      <c r="P620" s="2" t="s">
        <v>1708</v>
      </c>
      <c r="Q620" s="2" t="s">
        <v>38</v>
      </c>
      <c r="R620" s="2" t="s">
        <v>1029</v>
      </c>
      <c r="S620" s="2" t="s">
        <v>1058</v>
      </c>
      <c r="T620" s="2" t="s">
        <v>1457</v>
      </c>
      <c r="U620" s="2" t="s">
        <v>1165</v>
      </c>
      <c r="V620" s="2" t="s">
        <v>1462</v>
      </c>
      <c r="W620" s="2" t="s">
        <v>38</v>
      </c>
      <c r="X620" s="3">
        <v>41161</v>
      </c>
      <c r="Y620" s="2" t="s">
        <v>1903</v>
      </c>
      <c r="Z620" s="4"/>
      <c r="AA620" s="2" t="s">
        <v>1323</v>
      </c>
      <c r="AB620" s="2" t="s">
        <v>1869</v>
      </c>
      <c r="AC620" s="12">
        <f t="shared" si="54"/>
        <v>2012</v>
      </c>
      <c r="AD620" s="12">
        <f t="shared" si="55"/>
        <v>9</v>
      </c>
      <c r="AE620" s="12">
        <f t="shared" si="56"/>
        <v>9</v>
      </c>
      <c r="AF620" s="16">
        <f t="shared" si="57"/>
        <v>22.3</v>
      </c>
      <c r="AG620" s="16">
        <f t="shared" si="58"/>
        <v>28.4</v>
      </c>
      <c r="AH620" s="16" t="str">
        <f t="shared" si="59"/>
        <v/>
      </c>
    </row>
    <row r="621" spans="1:34" x14ac:dyDescent="0.35">
      <c r="A621" s="2" t="s">
        <v>1905</v>
      </c>
      <c r="B621" s="2" t="s">
        <v>29</v>
      </c>
      <c r="C621" s="2" t="s">
        <v>30</v>
      </c>
      <c r="D621" s="2" t="s">
        <v>306</v>
      </c>
      <c r="E621" s="2" t="s">
        <v>714</v>
      </c>
      <c r="F621" s="2" t="s">
        <v>607</v>
      </c>
      <c r="G621" s="2" t="s">
        <v>1637</v>
      </c>
      <c r="H621" s="2" t="s">
        <v>96</v>
      </c>
      <c r="I621" s="2" t="s">
        <v>171</v>
      </c>
      <c r="J621" s="2" t="s">
        <v>37</v>
      </c>
      <c r="K621" s="2" t="s">
        <v>38</v>
      </c>
      <c r="L621" s="2" t="s">
        <v>38</v>
      </c>
      <c r="M621" s="2" t="s">
        <v>1605</v>
      </c>
      <c r="N621" s="2" t="s">
        <v>38</v>
      </c>
      <c r="O621" s="2" t="s">
        <v>38</v>
      </c>
      <c r="P621" s="2" t="s">
        <v>203</v>
      </c>
      <c r="Q621" s="2" t="s">
        <v>38</v>
      </c>
      <c r="R621" s="2" t="s">
        <v>1029</v>
      </c>
      <c r="S621" s="2" t="s">
        <v>1368</v>
      </c>
      <c r="T621" s="2" t="s">
        <v>1906</v>
      </c>
      <c r="U621" s="2" t="s">
        <v>1880</v>
      </c>
      <c r="V621" s="2" t="s">
        <v>770</v>
      </c>
      <c r="W621" s="2" t="s">
        <v>38</v>
      </c>
      <c r="X621" s="3">
        <v>41162</v>
      </c>
      <c r="Y621" s="2" t="s">
        <v>1907</v>
      </c>
      <c r="Z621" s="34"/>
      <c r="AA621" s="2" t="s">
        <v>1323</v>
      </c>
      <c r="AB621" s="2" t="s">
        <v>1869</v>
      </c>
      <c r="AC621" s="12">
        <f t="shared" si="54"/>
        <v>2012</v>
      </c>
      <c r="AD621" s="12">
        <f t="shared" si="55"/>
        <v>9</v>
      </c>
      <c r="AE621" s="12">
        <f t="shared" si="56"/>
        <v>10</v>
      </c>
      <c r="AF621" s="16">
        <f t="shared" si="57"/>
        <v>21.6</v>
      </c>
      <c r="AG621" s="16">
        <f t="shared" si="58"/>
        <v>26.9</v>
      </c>
      <c r="AH621" s="16" t="str">
        <f t="shared" si="59"/>
        <v/>
      </c>
    </row>
    <row r="622" spans="1:34" x14ac:dyDescent="0.35">
      <c r="A622" s="2" t="s">
        <v>1909</v>
      </c>
      <c r="B622" s="2" t="s">
        <v>29</v>
      </c>
      <c r="C622" s="2" t="s">
        <v>30</v>
      </c>
      <c r="D622" s="2" t="s">
        <v>214</v>
      </c>
      <c r="E622" s="2" t="s">
        <v>579</v>
      </c>
      <c r="F622" s="2" t="s">
        <v>818</v>
      </c>
      <c r="G622" s="2" t="s">
        <v>1642</v>
      </c>
      <c r="H622" s="2" t="s">
        <v>35</v>
      </c>
      <c r="I622" s="2" t="s">
        <v>187</v>
      </c>
      <c r="J622" s="2" t="s">
        <v>37</v>
      </c>
      <c r="K622" s="2" t="s">
        <v>38</v>
      </c>
      <c r="L622" s="2" t="s">
        <v>38</v>
      </c>
      <c r="M622" s="2" t="s">
        <v>1532</v>
      </c>
      <c r="N622" s="2" t="s">
        <v>38</v>
      </c>
      <c r="O622" s="2" t="s">
        <v>38</v>
      </c>
      <c r="P622" s="2" t="s">
        <v>218</v>
      </c>
      <c r="Q622" s="2" t="s">
        <v>38</v>
      </c>
      <c r="R622" s="2" t="s">
        <v>1029</v>
      </c>
      <c r="S622" s="2" t="s">
        <v>1058</v>
      </c>
      <c r="T622" s="2" t="s">
        <v>1457</v>
      </c>
      <c r="U622" s="2" t="s">
        <v>796</v>
      </c>
      <c r="V622" s="2" t="s">
        <v>1358</v>
      </c>
      <c r="W622" s="2" t="s">
        <v>38</v>
      </c>
      <c r="X622" s="3">
        <v>41163</v>
      </c>
      <c r="Y622" s="2" t="s">
        <v>1911</v>
      </c>
      <c r="Z622" s="4"/>
      <c r="AA622" s="2" t="s">
        <v>1323</v>
      </c>
      <c r="AB622" s="2" t="s">
        <v>1869</v>
      </c>
      <c r="AC622" s="12">
        <f t="shared" si="54"/>
        <v>2012</v>
      </c>
      <c r="AD622" s="12">
        <f t="shared" si="55"/>
        <v>9</v>
      </c>
      <c r="AE622" s="12">
        <f t="shared" si="56"/>
        <v>11</v>
      </c>
      <c r="AF622" s="16">
        <f t="shared" si="57"/>
        <v>20.399999999999999</v>
      </c>
      <c r="AG622" s="16">
        <f t="shared" si="58"/>
        <v>25.9</v>
      </c>
      <c r="AH622" s="16" t="str">
        <f t="shared" si="59"/>
        <v/>
      </c>
    </row>
    <row r="623" spans="1:34" x14ac:dyDescent="0.35">
      <c r="A623" s="2" t="s">
        <v>1912</v>
      </c>
      <c r="B623" s="2" t="s">
        <v>29</v>
      </c>
      <c r="C623" s="2" t="s">
        <v>30</v>
      </c>
      <c r="D623" s="2" t="s">
        <v>187</v>
      </c>
      <c r="E623" s="2" t="s">
        <v>579</v>
      </c>
      <c r="F623" s="2" t="s">
        <v>676</v>
      </c>
      <c r="G623" s="2" t="s">
        <v>34</v>
      </c>
      <c r="H623" s="2" t="s">
        <v>87</v>
      </c>
      <c r="I623" s="2" t="s">
        <v>31</v>
      </c>
      <c r="J623" s="2" t="s">
        <v>37</v>
      </c>
      <c r="K623" s="2" t="s">
        <v>38</v>
      </c>
      <c r="L623" s="2" t="s">
        <v>38</v>
      </c>
      <c r="M623" s="2" t="s">
        <v>1605</v>
      </c>
      <c r="N623" s="2" t="s">
        <v>38</v>
      </c>
      <c r="O623" s="2" t="s">
        <v>38</v>
      </c>
      <c r="P623" s="2" t="s">
        <v>1661</v>
      </c>
      <c r="Q623" s="2" t="s">
        <v>38</v>
      </c>
      <c r="R623" s="2" t="s">
        <v>41</v>
      </c>
      <c r="S623" s="2" t="s">
        <v>1210</v>
      </c>
      <c r="T623" s="2" t="s">
        <v>1606</v>
      </c>
      <c r="U623" s="2" t="s">
        <v>1165</v>
      </c>
      <c r="V623" s="2" t="s">
        <v>1352</v>
      </c>
      <c r="W623" s="2" t="s">
        <v>38</v>
      </c>
      <c r="X623" s="3">
        <v>41164</v>
      </c>
      <c r="Y623" s="2" t="s">
        <v>1914</v>
      </c>
      <c r="Z623" s="34"/>
      <c r="AA623" s="2" t="s">
        <v>1323</v>
      </c>
      <c r="AB623" s="2" t="s">
        <v>1869</v>
      </c>
      <c r="AC623" s="12">
        <f t="shared" si="54"/>
        <v>2012</v>
      </c>
      <c r="AD623" s="12">
        <f t="shared" si="55"/>
        <v>9</v>
      </c>
      <c r="AE623" s="12">
        <f t="shared" si="56"/>
        <v>12</v>
      </c>
      <c r="AF623" s="16">
        <f t="shared" si="57"/>
        <v>19.899999999999999</v>
      </c>
      <c r="AG623" s="16">
        <f t="shared" si="58"/>
        <v>28.3</v>
      </c>
      <c r="AH623" s="16" t="str">
        <f t="shared" si="59"/>
        <v/>
      </c>
    </row>
    <row r="624" spans="1:34" x14ac:dyDescent="0.35">
      <c r="A624" s="2" t="s">
        <v>1915</v>
      </c>
      <c r="B624" s="2" t="s">
        <v>29</v>
      </c>
      <c r="C624" s="2" t="s">
        <v>30</v>
      </c>
      <c r="D624" s="2" t="s">
        <v>187</v>
      </c>
      <c r="E624" s="2" t="s">
        <v>579</v>
      </c>
      <c r="F624" s="2" t="s">
        <v>861</v>
      </c>
      <c r="G624" s="2" t="s">
        <v>34</v>
      </c>
      <c r="H624" s="2" t="s">
        <v>144</v>
      </c>
      <c r="I624" s="2" t="s">
        <v>31</v>
      </c>
      <c r="J624" s="2" t="s">
        <v>37</v>
      </c>
      <c r="K624" s="2" t="s">
        <v>38</v>
      </c>
      <c r="L624" s="2" t="s">
        <v>38</v>
      </c>
      <c r="M624" s="2" t="s">
        <v>1532</v>
      </c>
      <c r="N624" s="2" t="s">
        <v>38</v>
      </c>
      <c r="O624" s="2" t="s">
        <v>38</v>
      </c>
      <c r="P624" s="2" t="s">
        <v>1855</v>
      </c>
      <c r="Q624" s="2" t="s">
        <v>38</v>
      </c>
      <c r="R624" s="2" t="s">
        <v>1367</v>
      </c>
      <c r="S624" s="2" t="s">
        <v>488</v>
      </c>
      <c r="T624" s="2" t="s">
        <v>1472</v>
      </c>
      <c r="U624" s="2" t="s">
        <v>253</v>
      </c>
      <c r="V624" s="2" t="s">
        <v>1053</v>
      </c>
      <c r="W624" s="2" t="s">
        <v>38</v>
      </c>
      <c r="X624" s="3">
        <v>41165</v>
      </c>
      <c r="Y624" s="2" t="s">
        <v>1918</v>
      </c>
      <c r="Z624" s="4"/>
      <c r="AA624" s="2" t="s">
        <v>1323</v>
      </c>
      <c r="AB624" s="2" t="s">
        <v>1869</v>
      </c>
      <c r="AC624" s="12">
        <f t="shared" si="54"/>
        <v>2012</v>
      </c>
      <c r="AD624" s="12">
        <f t="shared" si="55"/>
        <v>9</v>
      </c>
      <c r="AE624" s="12">
        <f t="shared" si="56"/>
        <v>13</v>
      </c>
      <c r="AF624" s="16">
        <f t="shared" si="57"/>
        <v>20.100000000000001</v>
      </c>
      <c r="AG624" s="16">
        <f t="shared" si="58"/>
        <v>27.8</v>
      </c>
      <c r="AH624" s="16" t="str">
        <f t="shared" si="59"/>
        <v/>
      </c>
    </row>
    <row r="625" spans="1:34" x14ac:dyDescent="0.35">
      <c r="A625" s="2" t="s">
        <v>1919</v>
      </c>
      <c r="B625" s="2" t="s">
        <v>29</v>
      </c>
      <c r="C625" s="2" t="s">
        <v>30</v>
      </c>
      <c r="D625" s="2" t="s">
        <v>187</v>
      </c>
      <c r="E625" s="2" t="s">
        <v>579</v>
      </c>
      <c r="F625" s="2" t="s">
        <v>676</v>
      </c>
      <c r="G625" s="2" t="s">
        <v>1460</v>
      </c>
      <c r="H625" s="2" t="s">
        <v>153</v>
      </c>
      <c r="I625" s="2" t="s">
        <v>31</v>
      </c>
      <c r="J625" s="2" t="s">
        <v>37</v>
      </c>
      <c r="K625" s="2" t="s">
        <v>38</v>
      </c>
      <c r="L625" s="2" t="s">
        <v>38</v>
      </c>
      <c r="M625" s="2" t="s">
        <v>1532</v>
      </c>
      <c r="N625" s="2" t="s">
        <v>38</v>
      </c>
      <c r="O625" s="2" t="s">
        <v>38</v>
      </c>
      <c r="P625" s="2" t="s">
        <v>1855</v>
      </c>
      <c r="Q625" s="2" t="s">
        <v>38</v>
      </c>
      <c r="R625" s="2" t="s">
        <v>1029</v>
      </c>
      <c r="S625" s="2" t="s">
        <v>1081</v>
      </c>
      <c r="T625" s="2" t="s">
        <v>1472</v>
      </c>
      <c r="U625" s="2" t="s">
        <v>346</v>
      </c>
      <c r="V625" s="2" t="s">
        <v>1291</v>
      </c>
      <c r="W625" s="2" t="s">
        <v>38</v>
      </c>
      <c r="X625" s="3">
        <v>41166</v>
      </c>
      <c r="Y625" s="2" t="s">
        <v>1922</v>
      </c>
      <c r="Z625" s="34"/>
      <c r="AA625" s="2" t="s">
        <v>1323</v>
      </c>
      <c r="AB625" s="2" t="s">
        <v>1869</v>
      </c>
      <c r="AC625" s="12">
        <f t="shared" si="54"/>
        <v>2012</v>
      </c>
      <c r="AD625" s="12">
        <f t="shared" si="55"/>
        <v>9</v>
      </c>
      <c r="AE625" s="12">
        <f t="shared" si="56"/>
        <v>14</v>
      </c>
      <c r="AF625" s="16">
        <f t="shared" si="57"/>
        <v>20.3</v>
      </c>
      <c r="AG625" s="16">
        <f t="shared" si="58"/>
        <v>27.8</v>
      </c>
      <c r="AH625" s="16" t="str">
        <f t="shared" si="59"/>
        <v/>
      </c>
    </row>
    <row r="626" spans="1:34" x14ac:dyDescent="0.35">
      <c r="A626" s="2" t="s">
        <v>1923</v>
      </c>
      <c r="B626" s="2" t="s">
        <v>29</v>
      </c>
      <c r="C626" s="2" t="s">
        <v>30</v>
      </c>
      <c r="D626" s="2" t="s">
        <v>187</v>
      </c>
      <c r="E626" s="2" t="s">
        <v>579</v>
      </c>
      <c r="F626" s="2" t="s">
        <v>826</v>
      </c>
      <c r="G626" s="2" t="s">
        <v>34</v>
      </c>
      <c r="H626" s="2" t="s">
        <v>276</v>
      </c>
      <c r="I626" s="2" t="s">
        <v>31</v>
      </c>
      <c r="J626" s="2" t="s">
        <v>37</v>
      </c>
      <c r="K626" s="2" t="s">
        <v>38</v>
      </c>
      <c r="L626" s="2" t="s">
        <v>38</v>
      </c>
      <c r="M626" s="2" t="s">
        <v>1532</v>
      </c>
      <c r="N626" s="2" t="s">
        <v>38</v>
      </c>
      <c r="O626" s="2" t="s">
        <v>38</v>
      </c>
      <c r="P626" s="2" t="s">
        <v>1745</v>
      </c>
      <c r="Q626" s="2" t="s">
        <v>38</v>
      </c>
      <c r="R626" s="2" t="s">
        <v>1367</v>
      </c>
      <c r="S626" s="2" t="s">
        <v>488</v>
      </c>
      <c r="T626" s="2" t="s">
        <v>1472</v>
      </c>
      <c r="U626" s="2" t="s">
        <v>346</v>
      </c>
      <c r="V626" s="2" t="s">
        <v>581</v>
      </c>
      <c r="W626" s="2" t="s">
        <v>38</v>
      </c>
      <c r="X626" s="3">
        <v>41167</v>
      </c>
      <c r="Y626" s="2" t="s">
        <v>1926</v>
      </c>
      <c r="Z626" s="34"/>
      <c r="AA626" s="2" t="s">
        <v>1323</v>
      </c>
      <c r="AB626" s="2" t="s">
        <v>1869</v>
      </c>
      <c r="AC626" s="12">
        <f t="shared" si="54"/>
        <v>2012</v>
      </c>
      <c r="AD626" s="12">
        <f t="shared" si="55"/>
        <v>9</v>
      </c>
      <c r="AE626" s="12">
        <f t="shared" si="56"/>
        <v>15</v>
      </c>
      <c r="AF626" s="16">
        <f t="shared" si="57"/>
        <v>19.600000000000001</v>
      </c>
      <c r="AG626" s="16">
        <f t="shared" si="58"/>
        <v>28.1</v>
      </c>
      <c r="AH626" s="16" t="str">
        <f t="shared" si="59"/>
        <v/>
      </c>
    </row>
    <row r="627" spans="1:34" x14ac:dyDescent="0.35">
      <c r="A627" s="2" t="s">
        <v>1927</v>
      </c>
      <c r="B627" s="2" t="s">
        <v>29</v>
      </c>
      <c r="C627" s="2" t="s">
        <v>30</v>
      </c>
      <c r="D627" s="2" t="s">
        <v>187</v>
      </c>
      <c r="E627" s="2" t="s">
        <v>579</v>
      </c>
      <c r="F627" s="2" t="s">
        <v>1355</v>
      </c>
      <c r="G627" s="2" t="s">
        <v>34</v>
      </c>
      <c r="H627" s="2" t="s">
        <v>276</v>
      </c>
      <c r="I627" s="2" t="s">
        <v>77</v>
      </c>
      <c r="J627" s="2" t="s">
        <v>37</v>
      </c>
      <c r="K627" s="2" t="s">
        <v>38</v>
      </c>
      <c r="L627" s="2" t="s">
        <v>38</v>
      </c>
      <c r="M627" s="2" t="s">
        <v>1532</v>
      </c>
      <c r="N627" s="2" t="s">
        <v>38</v>
      </c>
      <c r="O627" s="2" t="s">
        <v>38</v>
      </c>
      <c r="P627" s="2" t="s">
        <v>1691</v>
      </c>
      <c r="Q627" s="2" t="s">
        <v>38</v>
      </c>
      <c r="R627" s="2" t="s">
        <v>41</v>
      </c>
      <c r="S627" s="2" t="s">
        <v>1556</v>
      </c>
      <c r="T627" s="2" t="s">
        <v>1457</v>
      </c>
      <c r="U627" s="2" t="s">
        <v>253</v>
      </c>
      <c r="V627" s="2" t="s">
        <v>1358</v>
      </c>
      <c r="W627" s="2" t="s">
        <v>38</v>
      </c>
      <c r="X627" s="3">
        <v>41168</v>
      </c>
      <c r="Y627" s="2" t="s">
        <v>1929</v>
      </c>
      <c r="Z627" s="4"/>
      <c r="AA627" s="2" t="s">
        <v>1323</v>
      </c>
      <c r="AB627" s="2" t="s">
        <v>1869</v>
      </c>
      <c r="AC627" s="12">
        <f t="shared" si="54"/>
        <v>2012</v>
      </c>
      <c r="AD627" s="12">
        <f t="shared" si="55"/>
        <v>9</v>
      </c>
      <c r="AE627" s="12">
        <f t="shared" si="56"/>
        <v>16</v>
      </c>
      <c r="AF627" s="16">
        <f t="shared" si="57"/>
        <v>20.399999999999999</v>
      </c>
      <c r="AG627" s="16">
        <f t="shared" si="58"/>
        <v>28.7</v>
      </c>
      <c r="AH627" s="16" t="str">
        <f t="shared" si="59"/>
        <v/>
      </c>
    </row>
    <row r="628" spans="1:34" x14ac:dyDescent="0.35">
      <c r="A628" s="2" t="s">
        <v>1930</v>
      </c>
      <c r="B628" s="2" t="s">
        <v>29</v>
      </c>
      <c r="C628" s="2" t="s">
        <v>30</v>
      </c>
      <c r="D628" s="2" t="s">
        <v>187</v>
      </c>
      <c r="E628" s="2" t="s">
        <v>579</v>
      </c>
      <c r="F628" s="2" t="s">
        <v>729</v>
      </c>
      <c r="G628" s="2" t="s">
        <v>34</v>
      </c>
      <c r="H628" s="2" t="s">
        <v>240</v>
      </c>
      <c r="I628" s="2" t="s">
        <v>77</v>
      </c>
      <c r="J628" s="2" t="s">
        <v>37</v>
      </c>
      <c r="K628" s="2" t="s">
        <v>38</v>
      </c>
      <c r="L628" s="2" t="s">
        <v>38</v>
      </c>
      <c r="M628" s="2" t="s">
        <v>39</v>
      </c>
      <c r="N628" s="2" t="s">
        <v>38</v>
      </c>
      <c r="O628" s="2" t="s">
        <v>38</v>
      </c>
      <c r="P628" s="2" t="s">
        <v>506</v>
      </c>
      <c r="Q628" s="2" t="s">
        <v>38</v>
      </c>
      <c r="R628" s="2" t="s">
        <v>41</v>
      </c>
      <c r="S628" s="2" t="s">
        <v>1931</v>
      </c>
      <c r="T628" s="2" t="s">
        <v>1406</v>
      </c>
      <c r="U628" s="2" t="s">
        <v>253</v>
      </c>
      <c r="V628" s="2" t="s">
        <v>1053</v>
      </c>
      <c r="W628" s="2" t="s">
        <v>38</v>
      </c>
      <c r="X628" s="3">
        <v>41169</v>
      </c>
      <c r="Y628" s="2" t="s">
        <v>1932</v>
      </c>
      <c r="Z628" s="34"/>
      <c r="AA628" s="2" t="s">
        <v>1323</v>
      </c>
      <c r="AB628" s="2" t="s">
        <v>1869</v>
      </c>
      <c r="AC628" s="12">
        <f t="shared" si="54"/>
        <v>2012</v>
      </c>
      <c r="AD628" s="12">
        <f t="shared" si="55"/>
        <v>9</v>
      </c>
      <c r="AE628" s="12">
        <f t="shared" si="56"/>
        <v>17</v>
      </c>
      <c r="AF628" s="16">
        <f t="shared" si="57"/>
        <v>20.100000000000001</v>
      </c>
      <c r="AG628" s="16">
        <f t="shared" si="58"/>
        <v>28.9</v>
      </c>
      <c r="AH628" s="16" t="str">
        <f t="shared" si="59"/>
        <v/>
      </c>
    </row>
    <row r="629" spans="1:34" x14ac:dyDescent="0.35">
      <c r="A629" s="2" t="s">
        <v>1934</v>
      </c>
      <c r="B629" s="2" t="s">
        <v>29</v>
      </c>
      <c r="C629" s="2" t="s">
        <v>30</v>
      </c>
      <c r="D629" s="2" t="s">
        <v>214</v>
      </c>
      <c r="E629" s="2" t="s">
        <v>579</v>
      </c>
      <c r="F629" s="2" t="s">
        <v>800</v>
      </c>
      <c r="G629" s="2" t="s">
        <v>1696</v>
      </c>
      <c r="H629" s="2" t="s">
        <v>379</v>
      </c>
      <c r="I629" s="2" t="s">
        <v>111</v>
      </c>
      <c r="J629" s="2" t="s">
        <v>37</v>
      </c>
      <c r="K629" s="2" t="s">
        <v>38</v>
      </c>
      <c r="L629" s="2" t="s">
        <v>38</v>
      </c>
      <c r="M629" s="2" t="s">
        <v>1605</v>
      </c>
      <c r="N629" s="2" t="s">
        <v>38</v>
      </c>
      <c r="O629" s="2" t="s">
        <v>38</v>
      </c>
      <c r="P629" s="2" t="s">
        <v>264</v>
      </c>
      <c r="Q629" s="2" t="s">
        <v>38</v>
      </c>
      <c r="R629" s="2" t="s">
        <v>1029</v>
      </c>
      <c r="S629" s="2" t="s">
        <v>985</v>
      </c>
      <c r="T629" s="2" t="s">
        <v>1649</v>
      </c>
      <c r="U629" s="2" t="s">
        <v>778</v>
      </c>
      <c r="V629" s="2" t="s">
        <v>1843</v>
      </c>
      <c r="W629" s="2" t="s">
        <v>38</v>
      </c>
      <c r="X629" s="3">
        <v>41170</v>
      </c>
      <c r="Y629" s="2" t="s">
        <v>1936</v>
      </c>
      <c r="Z629" s="4"/>
      <c r="AA629" s="2" t="s">
        <v>1323</v>
      </c>
      <c r="AB629" s="2" t="s">
        <v>1869</v>
      </c>
      <c r="AC629" s="12">
        <f t="shared" si="54"/>
        <v>2012</v>
      </c>
      <c r="AD629" s="12">
        <f t="shared" si="55"/>
        <v>9</v>
      </c>
      <c r="AE629" s="12">
        <f t="shared" si="56"/>
        <v>18</v>
      </c>
      <c r="AF629" s="16">
        <f t="shared" si="57"/>
        <v>19.7</v>
      </c>
      <c r="AG629" s="16">
        <f t="shared" si="58"/>
        <v>30</v>
      </c>
      <c r="AH629" s="16" t="str">
        <f t="shared" si="59"/>
        <v/>
      </c>
    </row>
    <row r="630" spans="1:34" x14ac:dyDescent="0.35">
      <c r="A630" s="2" t="s">
        <v>1937</v>
      </c>
      <c r="B630" s="2" t="s">
        <v>29</v>
      </c>
      <c r="C630" s="2" t="s">
        <v>30</v>
      </c>
      <c r="D630" s="2" t="s">
        <v>187</v>
      </c>
      <c r="E630" s="2" t="s">
        <v>50</v>
      </c>
      <c r="F630" s="2" t="s">
        <v>901</v>
      </c>
      <c r="G630" s="2" t="s">
        <v>1625</v>
      </c>
      <c r="H630" s="2" t="s">
        <v>947</v>
      </c>
      <c r="I630" s="2" t="s">
        <v>77</v>
      </c>
      <c r="J630" s="2" t="s">
        <v>37</v>
      </c>
      <c r="K630" s="2" t="s">
        <v>38</v>
      </c>
      <c r="L630" s="2" t="s">
        <v>38</v>
      </c>
      <c r="M630" s="2" t="s">
        <v>1605</v>
      </c>
      <c r="N630" s="2" t="s">
        <v>38</v>
      </c>
      <c r="O630" s="2" t="s">
        <v>38</v>
      </c>
      <c r="P630" s="2" t="s">
        <v>1373</v>
      </c>
      <c r="Q630" s="2" t="s">
        <v>38</v>
      </c>
      <c r="R630" s="2" t="s">
        <v>1029</v>
      </c>
      <c r="S630" s="2" t="s">
        <v>1461</v>
      </c>
      <c r="T630" s="2" t="s">
        <v>1479</v>
      </c>
      <c r="U630" s="2" t="s">
        <v>891</v>
      </c>
      <c r="V630" s="2" t="s">
        <v>1398</v>
      </c>
      <c r="W630" s="2" t="s">
        <v>38</v>
      </c>
      <c r="X630" s="3">
        <v>41171</v>
      </c>
      <c r="Y630" s="2" t="s">
        <v>1940</v>
      </c>
      <c r="Z630" s="4"/>
      <c r="AA630" s="2" t="s">
        <v>1323</v>
      </c>
      <c r="AB630" s="2" t="s">
        <v>1869</v>
      </c>
      <c r="AC630" s="12">
        <f t="shared" si="54"/>
        <v>2012</v>
      </c>
      <c r="AD630" s="12">
        <f t="shared" si="55"/>
        <v>9</v>
      </c>
      <c r="AE630" s="12">
        <f t="shared" si="56"/>
        <v>19</v>
      </c>
      <c r="AF630" s="16">
        <f t="shared" si="57"/>
        <v>21.5</v>
      </c>
      <c r="AG630" s="16">
        <f t="shared" si="58"/>
        <v>28.8</v>
      </c>
      <c r="AH630" s="16" t="str">
        <f t="shared" si="59"/>
        <v/>
      </c>
    </row>
    <row r="631" spans="1:34" x14ac:dyDescent="0.35">
      <c r="A631" s="2" t="s">
        <v>1941</v>
      </c>
      <c r="B631" s="2" t="s">
        <v>29</v>
      </c>
      <c r="C631" s="2" t="s">
        <v>30</v>
      </c>
      <c r="D631" s="2" t="s">
        <v>171</v>
      </c>
      <c r="E631" s="2" t="s">
        <v>579</v>
      </c>
      <c r="F631" s="2" t="s">
        <v>696</v>
      </c>
      <c r="G631" s="2" t="s">
        <v>34</v>
      </c>
      <c r="H631" s="2" t="s">
        <v>87</v>
      </c>
      <c r="I631" s="2" t="s">
        <v>36</v>
      </c>
      <c r="J631" s="2" t="s">
        <v>37</v>
      </c>
      <c r="K631" s="2" t="s">
        <v>38</v>
      </c>
      <c r="L631" s="2" t="s">
        <v>38</v>
      </c>
      <c r="M631" s="2" t="s">
        <v>39</v>
      </c>
      <c r="N631" s="2" t="s">
        <v>38</v>
      </c>
      <c r="O631" s="2" t="s">
        <v>38</v>
      </c>
      <c r="P631" s="2" t="s">
        <v>80</v>
      </c>
      <c r="Q631" s="2" t="s">
        <v>38</v>
      </c>
      <c r="R631" s="2" t="s">
        <v>41</v>
      </c>
      <c r="S631" s="2" t="s">
        <v>1556</v>
      </c>
      <c r="T631" s="2" t="s">
        <v>1457</v>
      </c>
      <c r="U631" s="2" t="s">
        <v>265</v>
      </c>
      <c r="V631" s="2" t="s">
        <v>1291</v>
      </c>
      <c r="W631" s="2" t="s">
        <v>38</v>
      </c>
      <c r="X631" s="3">
        <v>41172</v>
      </c>
      <c r="Y631" s="2" t="s">
        <v>1943</v>
      </c>
      <c r="Z631" s="34"/>
      <c r="AA631" s="2" t="s">
        <v>1323</v>
      </c>
      <c r="AB631" s="2" t="s">
        <v>1869</v>
      </c>
      <c r="AC631" s="12">
        <f t="shared" si="54"/>
        <v>2012</v>
      </c>
      <c r="AD631" s="12">
        <f t="shared" si="55"/>
        <v>9</v>
      </c>
      <c r="AE631" s="12">
        <f t="shared" si="56"/>
        <v>20</v>
      </c>
      <c r="AF631" s="16">
        <f t="shared" si="57"/>
        <v>20.3</v>
      </c>
      <c r="AG631" s="16">
        <f t="shared" si="58"/>
        <v>30.9</v>
      </c>
      <c r="AH631" s="16" t="str">
        <f t="shared" si="59"/>
        <v/>
      </c>
    </row>
    <row r="632" spans="1:34" x14ac:dyDescent="0.35">
      <c r="A632" s="2" t="s">
        <v>1944</v>
      </c>
      <c r="B632" s="2" t="s">
        <v>29</v>
      </c>
      <c r="C632" s="2" t="s">
        <v>30</v>
      </c>
      <c r="D632" s="2" t="s">
        <v>187</v>
      </c>
      <c r="E632" s="2" t="s">
        <v>714</v>
      </c>
      <c r="F632" s="2" t="s">
        <v>841</v>
      </c>
      <c r="G632" s="2" t="s">
        <v>1460</v>
      </c>
      <c r="H632" s="2" t="s">
        <v>96</v>
      </c>
      <c r="I632" s="2" t="s">
        <v>31</v>
      </c>
      <c r="J632" s="2" t="s">
        <v>37</v>
      </c>
      <c r="K632" s="2" t="s">
        <v>38</v>
      </c>
      <c r="L632" s="2" t="s">
        <v>38</v>
      </c>
      <c r="M632" s="2" t="s">
        <v>39</v>
      </c>
      <c r="N632" s="2" t="s">
        <v>38</v>
      </c>
      <c r="O632" s="2" t="s">
        <v>38</v>
      </c>
      <c r="P632" s="2" t="s">
        <v>189</v>
      </c>
      <c r="Q632" s="2" t="s">
        <v>38</v>
      </c>
      <c r="R632" s="2" t="s">
        <v>1029</v>
      </c>
      <c r="S632" s="2" t="s">
        <v>915</v>
      </c>
      <c r="T632" s="2" t="s">
        <v>1402</v>
      </c>
      <c r="U632" s="2" t="s">
        <v>1165</v>
      </c>
      <c r="V632" s="2" t="s">
        <v>1524</v>
      </c>
      <c r="W632" s="2" t="s">
        <v>38</v>
      </c>
      <c r="X632" s="3">
        <v>41173</v>
      </c>
      <c r="Y632" s="2" t="s">
        <v>1945</v>
      </c>
      <c r="Z632" s="4"/>
      <c r="AA632" s="2" t="s">
        <v>1323</v>
      </c>
      <c r="AB632" s="2" t="s">
        <v>1869</v>
      </c>
      <c r="AC632" s="12">
        <f t="shared" si="54"/>
        <v>2012</v>
      </c>
      <c r="AD632" s="12">
        <f t="shared" si="55"/>
        <v>9</v>
      </c>
      <c r="AE632" s="12">
        <f t="shared" si="56"/>
        <v>21</v>
      </c>
      <c r="AF632" s="16">
        <f t="shared" si="57"/>
        <v>21.7</v>
      </c>
      <c r="AG632" s="16">
        <f t="shared" si="58"/>
        <v>28</v>
      </c>
      <c r="AH632" s="16" t="str">
        <f t="shared" si="59"/>
        <v/>
      </c>
    </row>
    <row r="633" spans="1:34" x14ac:dyDescent="0.35">
      <c r="A633" s="2" t="s">
        <v>1948</v>
      </c>
      <c r="B633" s="2" t="s">
        <v>29</v>
      </c>
      <c r="C633" s="2" t="s">
        <v>30</v>
      </c>
      <c r="D633" s="2" t="s">
        <v>171</v>
      </c>
      <c r="E633" s="2" t="s">
        <v>579</v>
      </c>
      <c r="F633" s="2" t="s">
        <v>1389</v>
      </c>
      <c r="G633" s="2" t="s">
        <v>34</v>
      </c>
      <c r="H633" s="2" t="s">
        <v>209</v>
      </c>
      <c r="I633" s="2" t="s">
        <v>36</v>
      </c>
      <c r="J633" s="2" t="s">
        <v>37</v>
      </c>
      <c r="K633" s="2" t="s">
        <v>38</v>
      </c>
      <c r="L633" s="2" t="s">
        <v>38</v>
      </c>
      <c r="M633" s="2" t="s">
        <v>1542</v>
      </c>
      <c r="N633" s="2" t="s">
        <v>38</v>
      </c>
      <c r="O633" s="2" t="s">
        <v>38</v>
      </c>
      <c r="P633" s="2" t="s">
        <v>40</v>
      </c>
      <c r="Q633" s="2" t="s">
        <v>38</v>
      </c>
      <c r="R633" s="2" t="s">
        <v>41</v>
      </c>
      <c r="S633" s="2" t="s">
        <v>1119</v>
      </c>
      <c r="T633" s="2" t="s">
        <v>1618</v>
      </c>
      <c r="U633" s="2" t="s">
        <v>1949</v>
      </c>
      <c r="V633" s="2" t="s">
        <v>1358</v>
      </c>
      <c r="W633" s="2" t="s">
        <v>38</v>
      </c>
      <c r="X633" s="3">
        <v>41174</v>
      </c>
      <c r="Y633" s="2" t="s">
        <v>1950</v>
      </c>
      <c r="Z633" s="34"/>
      <c r="AA633" s="2" t="s">
        <v>1323</v>
      </c>
      <c r="AB633" s="2" t="s">
        <v>1869</v>
      </c>
      <c r="AC633" s="12">
        <f t="shared" si="54"/>
        <v>2012</v>
      </c>
      <c r="AD633" s="12">
        <f t="shared" si="55"/>
        <v>9</v>
      </c>
      <c r="AE633" s="12">
        <f t="shared" si="56"/>
        <v>22</v>
      </c>
      <c r="AF633" s="16">
        <f t="shared" si="57"/>
        <v>20.399999999999999</v>
      </c>
      <c r="AG633" s="16">
        <f t="shared" si="58"/>
        <v>30.6</v>
      </c>
      <c r="AH633" s="16" t="str">
        <f t="shared" si="59"/>
        <v/>
      </c>
    </row>
    <row r="634" spans="1:34" x14ac:dyDescent="0.35">
      <c r="A634" s="2" t="s">
        <v>1952</v>
      </c>
      <c r="B634" s="2" t="s">
        <v>29</v>
      </c>
      <c r="C634" s="2" t="s">
        <v>30</v>
      </c>
      <c r="D634" s="2" t="s">
        <v>31</v>
      </c>
      <c r="E634" s="2" t="s">
        <v>579</v>
      </c>
      <c r="F634" s="2" t="s">
        <v>841</v>
      </c>
      <c r="G634" s="2" t="s">
        <v>34</v>
      </c>
      <c r="H634" s="2" t="s">
        <v>734</v>
      </c>
      <c r="I634" s="2" t="s">
        <v>111</v>
      </c>
      <c r="J634" s="2" t="s">
        <v>37</v>
      </c>
      <c r="K634" s="2" t="s">
        <v>38</v>
      </c>
      <c r="L634" s="2" t="s">
        <v>38</v>
      </c>
      <c r="M634" s="2" t="s">
        <v>39</v>
      </c>
      <c r="N634" s="2" t="s">
        <v>38</v>
      </c>
      <c r="O634" s="2" t="s">
        <v>38</v>
      </c>
      <c r="P634" s="2" t="s">
        <v>440</v>
      </c>
      <c r="Q634" s="2" t="s">
        <v>38</v>
      </c>
      <c r="R634" s="2" t="s">
        <v>41</v>
      </c>
      <c r="S634" s="2" t="s">
        <v>735</v>
      </c>
      <c r="T634" s="2" t="s">
        <v>345</v>
      </c>
      <c r="U634" s="2" t="s">
        <v>418</v>
      </c>
      <c r="V634" s="2" t="s">
        <v>1843</v>
      </c>
      <c r="W634" s="2" t="s">
        <v>38</v>
      </c>
      <c r="X634" s="3">
        <v>41175</v>
      </c>
      <c r="Y634" s="2" t="s">
        <v>1953</v>
      </c>
      <c r="Z634" s="4"/>
      <c r="AA634" s="2" t="s">
        <v>1323</v>
      </c>
      <c r="AB634" s="2" t="s">
        <v>1869</v>
      </c>
      <c r="AC634" s="12">
        <f t="shared" si="54"/>
        <v>2012</v>
      </c>
      <c r="AD634" s="12">
        <f t="shared" si="55"/>
        <v>9</v>
      </c>
      <c r="AE634" s="12">
        <f t="shared" si="56"/>
        <v>23</v>
      </c>
      <c r="AF634" s="16">
        <f t="shared" si="57"/>
        <v>19.7</v>
      </c>
      <c r="AG634" s="16">
        <f t="shared" si="58"/>
        <v>30.1</v>
      </c>
      <c r="AH634" s="16" t="str">
        <f t="shared" si="59"/>
        <v/>
      </c>
    </row>
    <row r="635" spans="1:34" x14ac:dyDescent="0.35">
      <c r="A635" s="2" t="s">
        <v>1956</v>
      </c>
      <c r="B635" s="2" t="s">
        <v>29</v>
      </c>
      <c r="C635" s="2" t="s">
        <v>30</v>
      </c>
      <c r="D635" s="2" t="s">
        <v>171</v>
      </c>
      <c r="E635" s="2" t="s">
        <v>51</v>
      </c>
      <c r="F635" s="2" t="s">
        <v>800</v>
      </c>
      <c r="G635" s="2" t="s">
        <v>34</v>
      </c>
      <c r="H635" s="2" t="s">
        <v>240</v>
      </c>
      <c r="I635" s="2" t="s">
        <v>111</v>
      </c>
      <c r="J635" s="2" t="s">
        <v>37</v>
      </c>
      <c r="K635" s="2" t="s">
        <v>38</v>
      </c>
      <c r="L635" s="2" t="s">
        <v>38</v>
      </c>
      <c r="M635" s="2" t="s">
        <v>39</v>
      </c>
      <c r="N635" s="2" t="s">
        <v>38</v>
      </c>
      <c r="O635" s="2" t="s">
        <v>38</v>
      </c>
      <c r="P635" s="2" t="s">
        <v>516</v>
      </c>
      <c r="Q635" s="2" t="s">
        <v>38</v>
      </c>
      <c r="R635" s="2" t="s">
        <v>41</v>
      </c>
      <c r="S635" s="2" t="s">
        <v>344</v>
      </c>
      <c r="T635" s="2" t="s">
        <v>345</v>
      </c>
      <c r="U635" s="2" t="s">
        <v>927</v>
      </c>
      <c r="V635" s="2" t="s">
        <v>933</v>
      </c>
      <c r="W635" s="2" t="s">
        <v>38</v>
      </c>
      <c r="X635" s="3">
        <v>41176</v>
      </c>
      <c r="Y635" s="2" t="s">
        <v>1957</v>
      </c>
      <c r="Z635" s="34"/>
      <c r="AA635" s="2" t="s">
        <v>1323</v>
      </c>
      <c r="AB635" s="2" t="s">
        <v>1869</v>
      </c>
      <c r="AC635" s="12">
        <f t="shared" si="54"/>
        <v>2012</v>
      </c>
      <c r="AD635" s="12">
        <f t="shared" si="55"/>
        <v>9</v>
      </c>
      <c r="AE635" s="12">
        <f t="shared" si="56"/>
        <v>24</v>
      </c>
      <c r="AF635" s="16">
        <f t="shared" si="57"/>
        <v>16.899999999999999</v>
      </c>
      <c r="AG635" s="16">
        <f t="shared" si="58"/>
        <v>29.8</v>
      </c>
      <c r="AH635" s="16" t="str">
        <f t="shared" si="59"/>
        <v/>
      </c>
    </row>
    <row r="636" spans="1:34" x14ac:dyDescent="0.35">
      <c r="A636" s="2" t="s">
        <v>1961</v>
      </c>
      <c r="B636" s="2" t="s">
        <v>29</v>
      </c>
      <c r="C636" s="2" t="s">
        <v>30</v>
      </c>
      <c r="D636" s="2" t="s">
        <v>31</v>
      </c>
      <c r="E636" s="2" t="s">
        <v>55</v>
      </c>
      <c r="F636" s="2" t="s">
        <v>547</v>
      </c>
      <c r="G636" s="2" t="s">
        <v>34</v>
      </c>
      <c r="H636" s="2" t="s">
        <v>240</v>
      </c>
      <c r="I636" s="2" t="s">
        <v>111</v>
      </c>
      <c r="J636" s="2" t="s">
        <v>37</v>
      </c>
      <c r="K636" s="2" t="s">
        <v>38</v>
      </c>
      <c r="L636" s="2" t="s">
        <v>38</v>
      </c>
      <c r="M636" s="2" t="s">
        <v>39</v>
      </c>
      <c r="N636" s="2" t="s">
        <v>38</v>
      </c>
      <c r="O636" s="2" t="s">
        <v>38</v>
      </c>
      <c r="P636" s="2" t="s">
        <v>416</v>
      </c>
      <c r="Q636" s="2" t="s">
        <v>38</v>
      </c>
      <c r="R636" s="2" t="s">
        <v>41</v>
      </c>
      <c r="S636" s="2" t="s">
        <v>735</v>
      </c>
      <c r="T636" s="2" t="s">
        <v>345</v>
      </c>
      <c r="U636" s="2" t="s">
        <v>418</v>
      </c>
      <c r="V636" s="2" t="s">
        <v>928</v>
      </c>
      <c r="W636" s="2" t="s">
        <v>38</v>
      </c>
      <c r="X636" s="3">
        <v>41177</v>
      </c>
      <c r="Y636" s="2" t="s">
        <v>1962</v>
      </c>
      <c r="Z636" s="4"/>
      <c r="AA636" s="2" t="s">
        <v>1323</v>
      </c>
      <c r="AB636" s="2" t="s">
        <v>1869</v>
      </c>
      <c r="AC636" s="12">
        <f t="shared" si="54"/>
        <v>2012</v>
      </c>
      <c r="AD636" s="12">
        <f t="shared" si="55"/>
        <v>9</v>
      </c>
      <c r="AE636" s="12">
        <f t="shared" si="56"/>
        <v>25</v>
      </c>
      <c r="AF636" s="16">
        <f t="shared" si="57"/>
        <v>18.3</v>
      </c>
      <c r="AG636" s="16">
        <f t="shared" si="58"/>
        <v>29.9</v>
      </c>
      <c r="AH636" s="16" t="str">
        <f t="shared" si="59"/>
        <v/>
      </c>
    </row>
    <row r="637" spans="1:34" x14ac:dyDescent="0.35">
      <c r="A637" s="2" t="s">
        <v>1966</v>
      </c>
      <c r="B637" s="2" t="s">
        <v>29</v>
      </c>
      <c r="C637" s="2" t="s">
        <v>30</v>
      </c>
      <c r="D637" s="2" t="s">
        <v>31</v>
      </c>
      <c r="E637" s="2" t="s">
        <v>579</v>
      </c>
      <c r="F637" s="2" t="s">
        <v>95</v>
      </c>
      <c r="G637" s="2" t="s">
        <v>34</v>
      </c>
      <c r="H637" s="2" t="s">
        <v>308</v>
      </c>
      <c r="I637" s="2" t="s">
        <v>36</v>
      </c>
      <c r="J637" s="2" t="s">
        <v>37</v>
      </c>
      <c r="K637" s="2" t="s">
        <v>38</v>
      </c>
      <c r="L637" s="2" t="s">
        <v>38</v>
      </c>
      <c r="M637" s="2" t="s">
        <v>39</v>
      </c>
      <c r="N637" s="2" t="s">
        <v>38</v>
      </c>
      <c r="O637" s="2" t="s">
        <v>38</v>
      </c>
      <c r="P637" s="2" t="s">
        <v>277</v>
      </c>
      <c r="Q637" s="2" t="s">
        <v>38</v>
      </c>
      <c r="R637" s="2" t="s">
        <v>41</v>
      </c>
      <c r="S637" s="2" t="s">
        <v>1160</v>
      </c>
      <c r="T637" s="2" t="s">
        <v>362</v>
      </c>
      <c r="U637" s="2" t="s">
        <v>1969</v>
      </c>
      <c r="V637" s="2" t="s">
        <v>1305</v>
      </c>
      <c r="W637" s="2" t="s">
        <v>38</v>
      </c>
      <c r="X637" s="3">
        <v>41178</v>
      </c>
      <c r="Y637" s="2" t="s">
        <v>1970</v>
      </c>
      <c r="Z637" s="34"/>
      <c r="AA637" s="2" t="s">
        <v>1323</v>
      </c>
      <c r="AB637" s="2" t="s">
        <v>1869</v>
      </c>
      <c r="AC637" s="12">
        <f t="shared" si="54"/>
        <v>2012</v>
      </c>
      <c r="AD637" s="12">
        <f t="shared" si="55"/>
        <v>9</v>
      </c>
      <c r="AE637" s="12">
        <f t="shared" si="56"/>
        <v>26</v>
      </c>
      <c r="AF637" s="16">
        <f t="shared" si="57"/>
        <v>19.8</v>
      </c>
      <c r="AG637" s="16">
        <f t="shared" si="58"/>
        <v>31.1</v>
      </c>
      <c r="AH637" s="16" t="str">
        <f t="shared" si="59"/>
        <v/>
      </c>
    </row>
    <row r="638" spans="1:34" x14ac:dyDescent="0.35">
      <c r="A638" s="2" t="s">
        <v>1971</v>
      </c>
      <c r="B638" s="2" t="s">
        <v>29</v>
      </c>
      <c r="C638" s="2" t="s">
        <v>30</v>
      </c>
      <c r="D638" s="2" t="s">
        <v>31</v>
      </c>
      <c r="E638" s="2" t="s">
        <v>579</v>
      </c>
      <c r="F638" s="2" t="s">
        <v>33</v>
      </c>
      <c r="G638" s="2" t="s">
        <v>34</v>
      </c>
      <c r="H638" s="2" t="s">
        <v>295</v>
      </c>
      <c r="I638" s="2" t="s">
        <v>36</v>
      </c>
      <c r="J638" s="2" t="s">
        <v>37</v>
      </c>
      <c r="K638" s="2" t="s">
        <v>38</v>
      </c>
      <c r="L638" s="2" t="s">
        <v>38</v>
      </c>
      <c r="M638" s="2" t="s">
        <v>39</v>
      </c>
      <c r="N638" s="2" t="s">
        <v>38</v>
      </c>
      <c r="O638" s="2" t="s">
        <v>38</v>
      </c>
      <c r="P638" s="2" t="s">
        <v>97</v>
      </c>
      <c r="Q638" s="2" t="s">
        <v>38</v>
      </c>
      <c r="R638" s="2" t="s">
        <v>41</v>
      </c>
      <c r="S638" s="2" t="s">
        <v>972</v>
      </c>
      <c r="T638" s="2" t="s">
        <v>1343</v>
      </c>
      <c r="U638" s="2" t="s">
        <v>278</v>
      </c>
      <c r="V638" s="2" t="s">
        <v>1291</v>
      </c>
      <c r="W638" s="2" t="s">
        <v>38</v>
      </c>
      <c r="X638" s="3">
        <v>41179</v>
      </c>
      <c r="Y638" s="2" t="s">
        <v>1972</v>
      </c>
      <c r="Z638" s="34"/>
      <c r="AA638" s="2" t="s">
        <v>1323</v>
      </c>
      <c r="AB638" s="2" t="s">
        <v>1869</v>
      </c>
      <c r="AC638" s="12">
        <f t="shared" si="54"/>
        <v>2012</v>
      </c>
      <c r="AD638" s="12">
        <f t="shared" si="55"/>
        <v>9</v>
      </c>
      <c r="AE638" s="12">
        <f t="shared" si="56"/>
        <v>27</v>
      </c>
      <c r="AF638" s="16">
        <f t="shared" si="57"/>
        <v>20.3</v>
      </c>
      <c r="AG638" s="16">
        <f t="shared" si="58"/>
        <v>31.4</v>
      </c>
      <c r="AH638" s="16" t="str">
        <f t="shared" si="59"/>
        <v/>
      </c>
    </row>
    <row r="639" spans="1:34" x14ac:dyDescent="0.35">
      <c r="A639" s="2" t="s">
        <v>1976</v>
      </c>
      <c r="B639" s="2" t="s">
        <v>29</v>
      </c>
      <c r="C639" s="2" t="s">
        <v>30</v>
      </c>
      <c r="D639" s="2" t="s">
        <v>31</v>
      </c>
      <c r="E639" s="2" t="s">
        <v>579</v>
      </c>
      <c r="F639" s="2" t="s">
        <v>785</v>
      </c>
      <c r="G639" s="2" t="s">
        <v>34</v>
      </c>
      <c r="H639" s="2" t="s">
        <v>295</v>
      </c>
      <c r="I639" s="2" t="s">
        <v>36</v>
      </c>
      <c r="J639" s="2" t="s">
        <v>37</v>
      </c>
      <c r="K639" s="2" t="s">
        <v>38</v>
      </c>
      <c r="L639" s="2" t="s">
        <v>38</v>
      </c>
      <c r="M639" s="2" t="s">
        <v>39</v>
      </c>
      <c r="N639" s="2" t="s">
        <v>38</v>
      </c>
      <c r="O639" s="2" t="s">
        <v>38</v>
      </c>
      <c r="P639" s="2" t="s">
        <v>277</v>
      </c>
      <c r="Q639" s="2" t="s">
        <v>38</v>
      </c>
      <c r="R639" s="2" t="s">
        <v>41</v>
      </c>
      <c r="S639" s="2" t="s">
        <v>1051</v>
      </c>
      <c r="T639" s="2" t="s">
        <v>1397</v>
      </c>
      <c r="U639" s="2" t="s">
        <v>418</v>
      </c>
      <c r="V639" s="2" t="s">
        <v>1843</v>
      </c>
      <c r="W639" s="2" t="s">
        <v>38</v>
      </c>
      <c r="X639" s="3">
        <v>41180</v>
      </c>
      <c r="Y639" s="2" t="s">
        <v>1977</v>
      </c>
      <c r="Z639" s="4"/>
      <c r="AA639" s="2" t="s">
        <v>1323</v>
      </c>
      <c r="AB639" s="2" t="s">
        <v>1869</v>
      </c>
      <c r="AC639" s="12">
        <f t="shared" si="54"/>
        <v>2012</v>
      </c>
      <c r="AD639" s="12">
        <f t="shared" si="55"/>
        <v>9</v>
      </c>
      <c r="AE639" s="12">
        <f t="shared" si="56"/>
        <v>28</v>
      </c>
      <c r="AF639" s="16">
        <f t="shared" si="57"/>
        <v>19.7</v>
      </c>
      <c r="AG639" s="16">
        <f t="shared" si="58"/>
        <v>31.1</v>
      </c>
      <c r="AH639" s="16" t="str">
        <f t="shared" si="59"/>
        <v/>
      </c>
    </row>
    <row r="640" spans="1:34" x14ac:dyDescent="0.35">
      <c r="A640" s="2" t="s">
        <v>1979</v>
      </c>
      <c r="B640" s="2" t="s">
        <v>29</v>
      </c>
      <c r="C640" s="2" t="s">
        <v>30</v>
      </c>
      <c r="D640" s="2" t="s">
        <v>171</v>
      </c>
      <c r="E640" s="2" t="s">
        <v>714</v>
      </c>
      <c r="F640" s="2" t="s">
        <v>1535</v>
      </c>
      <c r="G640" s="2" t="s">
        <v>1460</v>
      </c>
      <c r="H640" s="2" t="s">
        <v>54</v>
      </c>
      <c r="I640" s="2" t="s">
        <v>128</v>
      </c>
      <c r="J640" s="2" t="s">
        <v>37</v>
      </c>
      <c r="K640" s="2" t="s">
        <v>38</v>
      </c>
      <c r="L640" s="2" t="s">
        <v>38</v>
      </c>
      <c r="M640" s="2" t="s">
        <v>39</v>
      </c>
      <c r="N640" s="2" t="s">
        <v>38</v>
      </c>
      <c r="O640" s="2" t="s">
        <v>38</v>
      </c>
      <c r="P640" s="2" t="s">
        <v>145</v>
      </c>
      <c r="Q640" s="2" t="s">
        <v>38</v>
      </c>
      <c r="R640" s="2" t="s">
        <v>1029</v>
      </c>
      <c r="S640" s="2" t="s">
        <v>975</v>
      </c>
      <c r="T640" s="2" t="s">
        <v>1981</v>
      </c>
      <c r="U640" s="2" t="s">
        <v>996</v>
      </c>
      <c r="V640" s="2" t="s">
        <v>1743</v>
      </c>
      <c r="W640" s="2" t="s">
        <v>38</v>
      </c>
      <c r="X640" s="3">
        <v>41181</v>
      </c>
      <c r="Y640" s="2" t="s">
        <v>1982</v>
      </c>
      <c r="Z640" s="4"/>
      <c r="AA640" s="2" t="s">
        <v>1323</v>
      </c>
      <c r="AB640" s="2" t="s">
        <v>1869</v>
      </c>
      <c r="AC640" s="12">
        <f t="shared" si="54"/>
        <v>2012</v>
      </c>
      <c r="AD640" s="12">
        <f t="shared" si="55"/>
        <v>9</v>
      </c>
      <c r="AE640" s="12">
        <f t="shared" si="56"/>
        <v>29</v>
      </c>
      <c r="AF640" s="16">
        <f t="shared" si="57"/>
        <v>21.8</v>
      </c>
      <c r="AG640" s="16">
        <f t="shared" si="58"/>
        <v>31.9</v>
      </c>
      <c r="AH640" s="16" t="str">
        <f t="shared" si="59"/>
        <v/>
      </c>
    </row>
    <row r="641" spans="1:34" x14ac:dyDescent="0.35">
      <c r="A641" s="2" t="s">
        <v>1983</v>
      </c>
      <c r="B641" s="2" t="s">
        <v>29</v>
      </c>
      <c r="C641" s="2" t="s">
        <v>30</v>
      </c>
      <c r="D641" s="2" t="s">
        <v>77</v>
      </c>
      <c r="E641" s="2" t="s">
        <v>50</v>
      </c>
      <c r="F641" s="2" t="s">
        <v>1355</v>
      </c>
      <c r="G641" s="2" t="s">
        <v>34</v>
      </c>
      <c r="H641" s="2" t="s">
        <v>180</v>
      </c>
      <c r="I641" s="2" t="s">
        <v>128</v>
      </c>
      <c r="J641" s="2" t="s">
        <v>37</v>
      </c>
      <c r="K641" s="2" t="s">
        <v>38</v>
      </c>
      <c r="L641" s="2" t="s">
        <v>38</v>
      </c>
      <c r="M641" s="2" t="s">
        <v>39</v>
      </c>
      <c r="N641" s="2" t="s">
        <v>38</v>
      </c>
      <c r="O641" s="2" t="s">
        <v>38</v>
      </c>
      <c r="P641" s="2" t="s">
        <v>487</v>
      </c>
      <c r="Q641" s="2" t="s">
        <v>38</v>
      </c>
      <c r="R641" s="2" t="s">
        <v>41</v>
      </c>
      <c r="S641" s="2" t="s">
        <v>1985</v>
      </c>
      <c r="T641" s="2" t="s">
        <v>43</v>
      </c>
      <c r="U641" s="2" t="s">
        <v>1986</v>
      </c>
      <c r="V641" s="2" t="s">
        <v>1364</v>
      </c>
      <c r="W641" s="2" t="s">
        <v>38</v>
      </c>
      <c r="X641" s="3">
        <v>41182</v>
      </c>
      <c r="Y641" s="2" t="s">
        <v>1987</v>
      </c>
      <c r="Z641" s="34"/>
      <c r="AA641" s="2" t="s">
        <v>1988</v>
      </c>
      <c r="AB641" s="2" t="s">
        <v>1989</v>
      </c>
      <c r="AC641" s="12">
        <f t="shared" si="54"/>
        <v>2012</v>
      </c>
      <c r="AD641" s="12">
        <f t="shared" si="55"/>
        <v>9</v>
      </c>
      <c r="AE641" s="12">
        <f t="shared" si="56"/>
        <v>30</v>
      </c>
      <c r="AF641" s="16">
        <f t="shared" si="57"/>
        <v>20.7</v>
      </c>
      <c r="AG641" s="16">
        <f t="shared" si="58"/>
        <v>31.8</v>
      </c>
      <c r="AH641" s="16" t="str">
        <f t="shared" si="59"/>
        <v/>
      </c>
    </row>
    <row r="642" spans="1:34" x14ac:dyDescent="0.35">
      <c r="A642" s="2" t="s">
        <v>1990</v>
      </c>
      <c r="B642" s="2" t="s">
        <v>29</v>
      </c>
      <c r="C642" s="2" t="s">
        <v>30</v>
      </c>
      <c r="D642" s="2" t="s">
        <v>187</v>
      </c>
      <c r="E642" s="2" t="s">
        <v>714</v>
      </c>
      <c r="F642" s="2" t="s">
        <v>826</v>
      </c>
      <c r="G642" s="2" t="s">
        <v>1991</v>
      </c>
      <c r="H642" s="2" t="s">
        <v>331</v>
      </c>
      <c r="I642" s="2" t="s">
        <v>111</v>
      </c>
      <c r="J642" s="2" t="s">
        <v>37</v>
      </c>
      <c r="K642" s="2" t="s">
        <v>38</v>
      </c>
      <c r="L642" s="2" t="s">
        <v>38</v>
      </c>
      <c r="M642" s="2" t="s">
        <v>39</v>
      </c>
      <c r="N642" s="2" t="s">
        <v>38</v>
      </c>
      <c r="O642" s="2" t="s">
        <v>38</v>
      </c>
      <c r="P642" s="2" t="s">
        <v>440</v>
      </c>
      <c r="Q642" s="2" t="s">
        <v>38</v>
      </c>
      <c r="R642" s="2" t="s">
        <v>1029</v>
      </c>
      <c r="S642" s="2" t="s">
        <v>58</v>
      </c>
      <c r="T642" s="2" t="s">
        <v>1992</v>
      </c>
      <c r="U642" s="2" t="s">
        <v>891</v>
      </c>
      <c r="V642" s="2" t="s">
        <v>716</v>
      </c>
      <c r="W642" s="2" t="s">
        <v>38</v>
      </c>
      <c r="X642" s="3">
        <v>41183</v>
      </c>
      <c r="Y642" s="2" t="s">
        <v>1993</v>
      </c>
      <c r="Z642" s="4"/>
      <c r="AA642" s="2" t="s">
        <v>1988</v>
      </c>
      <c r="AB642" s="2" t="s">
        <v>1989</v>
      </c>
      <c r="AC642" s="12">
        <f t="shared" ref="AC642:AC705" si="60">YEAR(X642)</f>
        <v>2012</v>
      </c>
      <c r="AD642" s="12">
        <f t="shared" ref="AD642:AD705" si="61">MONTH(X642)</f>
        <v>10</v>
      </c>
      <c r="AE642" s="12">
        <f t="shared" ref="AE642:AE705" si="62">DAY(X642)</f>
        <v>1</v>
      </c>
      <c r="AF642" s="16">
        <f t="shared" ref="AF642:AF705" si="63">IF(LEN(V642)&gt;0,V642/10,"")</f>
        <v>22.4</v>
      </c>
      <c r="AG642" s="16">
        <f t="shared" ref="AG642:AG705" si="64">IF(LEN(P642)&gt;0,P642/10,"")</f>
        <v>30.1</v>
      </c>
      <c r="AH642" s="16" t="str">
        <f t="shared" ref="AH642:AH705" si="65">IF(LEN(Q642)&gt;0,Q642/10,"")</f>
        <v/>
      </c>
    </row>
    <row r="643" spans="1:34" x14ac:dyDescent="0.35">
      <c r="A643" s="2" t="s">
        <v>1995</v>
      </c>
      <c r="B643" s="2" t="s">
        <v>29</v>
      </c>
      <c r="C643" s="2" t="s">
        <v>30</v>
      </c>
      <c r="D643" s="2" t="s">
        <v>200</v>
      </c>
      <c r="E643" s="2" t="s">
        <v>714</v>
      </c>
      <c r="F643" s="2" t="s">
        <v>818</v>
      </c>
      <c r="G643" s="2" t="s">
        <v>34</v>
      </c>
      <c r="H643" s="2" t="s">
        <v>35</v>
      </c>
      <c r="I643" s="2" t="s">
        <v>36</v>
      </c>
      <c r="J643" s="2" t="s">
        <v>37</v>
      </c>
      <c r="K643" s="2" t="s">
        <v>38</v>
      </c>
      <c r="L643" s="2" t="s">
        <v>38</v>
      </c>
      <c r="M643" s="2" t="s">
        <v>39</v>
      </c>
      <c r="N643" s="2" t="s">
        <v>38</v>
      </c>
      <c r="O643" s="2" t="s">
        <v>38</v>
      </c>
      <c r="P643" s="2" t="s">
        <v>1839</v>
      </c>
      <c r="Q643" s="2" t="s">
        <v>38</v>
      </c>
      <c r="R643" s="2" t="s">
        <v>41</v>
      </c>
      <c r="S643" s="2" t="s">
        <v>1998</v>
      </c>
      <c r="T643" s="2" t="s">
        <v>1397</v>
      </c>
      <c r="U643" s="2" t="s">
        <v>858</v>
      </c>
      <c r="V643" s="2" t="s">
        <v>1524</v>
      </c>
      <c r="W643" s="2" t="s">
        <v>38</v>
      </c>
      <c r="X643" s="3">
        <v>41184</v>
      </c>
      <c r="Y643" s="2" t="s">
        <v>1999</v>
      </c>
      <c r="Z643" s="34"/>
      <c r="AA643" s="2" t="s">
        <v>1988</v>
      </c>
      <c r="AB643" s="2" t="s">
        <v>1989</v>
      </c>
      <c r="AC643" s="12">
        <f t="shared" si="60"/>
        <v>2012</v>
      </c>
      <c r="AD643" s="12">
        <f t="shared" si="61"/>
        <v>10</v>
      </c>
      <c r="AE643" s="12">
        <f t="shared" si="62"/>
        <v>2</v>
      </c>
      <c r="AF643" s="16">
        <f t="shared" si="63"/>
        <v>21.7</v>
      </c>
      <c r="AG643" s="16">
        <f t="shared" si="64"/>
        <v>30.8</v>
      </c>
      <c r="AH643" s="16" t="str">
        <f t="shared" si="65"/>
        <v/>
      </c>
    </row>
    <row r="644" spans="1:34" x14ac:dyDescent="0.35">
      <c r="A644" s="2" t="s">
        <v>2000</v>
      </c>
      <c r="B644" s="2" t="s">
        <v>29</v>
      </c>
      <c r="C644" s="2" t="s">
        <v>30</v>
      </c>
      <c r="D644" s="2" t="s">
        <v>200</v>
      </c>
      <c r="E644" s="2" t="s">
        <v>714</v>
      </c>
      <c r="F644" s="2" t="s">
        <v>676</v>
      </c>
      <c r="G644" s="2" t="s">
        <v>34</v>
      </c>
      <c r="H644" s="2" t="s">
        <v>79</v>
      </c>
      <c r="I644" s="2" t="s">
        <v>111</v>
      </c>
      <c r="J644" s="2" t="s">
        <v>37</v>
      </c>
      <c r="K644" s="2" t="s">
        <v>38</v>
      </c>
      <c r="L644" s="2" t="s">
        <v>38</v>
      </c>
      <c r="M644" s="2" t="s">
        <v>39</v>
      </c>
      <c r="N644" s="2" t="s">
        <v>38</v>
      </c>
      <c r="O644" s="2" t="s">
        <v>38</v>
      </c>
      <c r="P644" s="2" t="s">
        <v>440</v>
      </c>
      <c r="Q644" s="2" t="s">
        <v>38</v>
      </c>
      <c r="R644" s="2" t="s">
        <v>41</v>
      </c>
      <c r="S644" s="2" t="s">
        <v>2001</v>
      </c>
      <c r="T644" s="2" t="s">
        <v>1557</v>
      </c>
      <c r="U644" s="2" t="s">
        <v>236</v>
      </c>
      <c r="V644" s="2" t="s">
        <v>1600</v>
      </c>
      <c r="W644" s="2" t="s">
        <v>38</v>
      </c>
      <c r="X644" s="3">
        <v>41185</v>
      </c>
      <c r="Y644" s="2" t="s">
        <v>2002</v>
      </c>
      <c r="Z644" s="4"/>
      <c r="AA644" s="2" t="s">
        <v>1988</v>
      </c>
      <c r="AB644" s="2" t="s">
        <v>1989</v>
      </c>
      <c r="AC644" s="12">
        <f t="shared" si="60"/>
        <v>2012</v>
      </c>
      <c r="AD644" s="12">
        <f t="shared" si="61"/>
        <v>10</v>
      </c>
      <c r="AE644" s="12">
        <f t="shared" si="62"/>
        <v>3</v>
      </c>
      <c r="AF644" s="16">
        <f t="shared" si="63"/>
        <v>21.9</v>
      </c>
      <c r="AG644" s="16">
        <f t="shared" si="64"/>
        <v>30.1</v>
      </c>
      <c r="AH644" s="16" t="str">
        <f t="shared" si="65"/>
        <v/>
      </c>
    </row>
    <row r="645" spans="1:34" x14ac:dyDescent="0.35">
      <c r="A645" s="2" t="s">
        <v>2004</v>
      </c>
      <c r="B645" s="2" t="s">
        <v>29</v>
      </c>
      <c r="C645" s="2" t="s">
        <v>30</v>
      </c>
      <c r="D645" s="2" t="s">
        <v>214</v>
      </c>
      <c r="E645" s="2" t="s">
        <v>306</v>
      </c>
      <c r="F645" s="2" t="s">
        <v>841</v>
      </c>
      <c r="G645" s="2" t="s">
        <v>1376</v>
      </c>
      <c r="H645" s="2" t="s">
        <v>379</v>
      </c>
      <c r="I645" s="2" t="s">
        <v>36</v>
      </c>
      <c r="J645" s="2" t="s">
        <v>37</v>
      </c>
      <c r="K645" s="2" t="s">
        <v>38</v>
      </c>
      <c r="L645" s="2" t="s">
        <v>38</v>
      </c>
      <c r="M645" s="2" t="s">
        <v>39</v>
      </c>
      <c r="N645" s="2" t="s">
        <v>38</v>
      </c>
      <c r="O645" s="2" t="s">
        <v>38</v>
      </c>
      <c r="P645" s="2" t="s">
        <v>452</v>
      </c>
      <c r="Q645" s="2" t="s">
        <v>38</v>
      </c>
      <c r="R645" s="2" t="s">
        <v>1029</v>
      </c>
      <c r="S645" s="2" t="s">
        <v>58</v>
      </c>
      <c r="T645" s="2" t="s">
        <v>1383</v>
      </c>
      <c r="U645" s="2" t="s">
        <v>1671</v>
      </c>
      <c r="V645" s="2" t="s">
        <v>1517</v>
      </c>
      <c r="W645" s="2" t="s">
        <v>38</v>
      </c>
      <c r="X645" s="3">
        <v>41186</v>
      </c>
      <c r="Y645" s="2" t="s">
        <v>2005</v>
      </c>
      <c r="Z645" s="34"/>
      <c r="AA645" s="2" t="s">
        <v>1988</v>
      </c>
      <c r="AB645" s="2" t="s">
        <v>1989</v>
      </c>
      <c r="AC645" s="12">
        <f t="shared" si="60"/>
        <v>2012</v>
      </c>
      <c r="AD645" s="12">
        <f t="shared" si="61"/>
        <v>10</v>
      </c>
      <c r="AE645" s="12">
        <f t="shared" si="62"/>
        <v>4</v>
      </c>
      <c r="AF645" s="16">
        <f t="shared" si="63"/>
        <v>23</v>
      </c>
      <c r="AG645" s="16">
        <f t="shared" si="64"/>
        <v>30.5</v>
      </c>
      <c r="AH645" s="16" t="str">
        <f t="shared" si="65"/>
        <v/>
      </c>
    </row>
    <row r="646" spans="1:34" x14ac:dyDescent="0.35">
      <c r="A646" s="2" t="s">
        <v>2007</v>
      </c>
      <c r="B646" s="2" t="s">
        <v>29</v>
      </c>
      <c r="C646" s="2" t="s">
        <v>30</v>
      </c>
      <c r="D646" s="2" t="s">
        <v>171</v>
      </c>
      <c r="E646" s="2" t="s">
        <v>714</v>
      </c>
      <c r="F646" s="2" t="s">
        <v>600</v>
      </c>
      <c r="G646" s="2" t="s">
        <v>2010</v>
      </c>
      <c r="H646" s="2" t="s">
        <v>79</v>
      </c>
      <c r="I646" s="2" t="s">
        <v>111</v>
      </c>
      <c r="J646" s="2" t="s">
        <v>37</v>
      </c>
      <c r="K646" s="2" t="s">
        <v>38</v>
      </c>
      <c r="L646" s="2" t="s">
        <v>38</v>
      </c>
      <c r="M646" s="2" t="s">
        <v>39</v>
      </c>
      <c r="N646" s="2" t="s">
        <v>38</v>
      </c>
      <c r="O646" s="2" t="s">
        <v>38</v>
      </c>
      <c r="P646" s="2" t="s">
        <v>440</v>
      </c>
      <c r="Q646" s="2" t="s">
        <v>38</v>
      </c>
      <c r="R646" s="2" t="s">
        <v>1076</v>
      </c>
      <c r="S646" s="2" t="s">
        <v>995</v>
      </c>
      <c r="T646" s="2" t="s">
        <v>2011</v>
      </c>
      <c r="U646" s="2" t="s">
        <v>175</v>
      </c>
      <c r="V646" s="2" t="s">
        <v>1507</v>
      </c>
      <c r="W646" s="2" t="s">
        <v>38</v>
      </c>
      <c r="X646" s="3">
        <v>41187</v>
      </c>
      <c r="Y646" s="2" t="s">
        <v>2012</v>
      </c>
      <c r="Z646" s="34"/>
      <c r="AA646" s="2" t="s">
        <v>1988</v>
      </c>
      <c r="AB646" s="2" t="s">
        <v>1989</v>
      </c>
      <c r="AC646" s="12">
        <f t="shared" si="60"/>
        <v>2012</v>
      </c>
      <c r="AD646" s="12">
        <f t="shared" si="61"/>
        <v>10</v>
      </c>
      <c r="AE646" s="12">
        <f t="shared" si="62"/>
        <v>5</v>
      </c>
      <c r="AF646" s="16">
        <f t="shared" si="63"/>
        <v>22</v>
      </c>
      <c r="AG646" s="16">
        <f t="shared" si="64"/>
        <v>30.1</v>
      </c>
      <c r="AH646" s="16" t="str">
        <f t="shared" si="65"/>
        <v/>
      </c>
    </row>
    <row r="647" spans="1:34" x14ac:dyDescent="0.35">
      <c r="A647" s="2" t="s">
        <v>2013</v>
      </c>
      <c r="B647" s="2" t="s">
        <v>29</v>
      </c>
      <c r="C647" s="2" t="s">
        <v>30</v>
      </c>
      <c r="D647" s="2" t="s">
        <v>31</v>
      </c>
      <c r="E647" s="2" t="s">
        <v>50</v>
      </c>
      <c r="F647" s="2" t="s">
        <v>1277</v>
      </c>
      <c r="G647" s="2" t="s">
        <v>34</v>
      </c>
      <c r="H647" s="2" t="s">
        <v>209</v>
      </c>
      <c r="I647" s="2" t="s">
        <v>36</v>
      </c>
      <c r="J647" s="2" t="s">
        <v>37</v>
      </c>
      <c r="K647" s="2" t="s">
        <v>38</v>
      </c>
      <c r="L647" s="2" t="s">
        <v>38</v>
      </c>
      <c r="M647" s="2" t="s">
        <v>39</v>
      </c>
      <c r="N647" s="2" t="s">
        <v>38</v>
      </c>
      <c r="O647" s="2" t="s">
        <v>38</v>
      </c>
      <c r="P647" s="2" t="s">
        <v>277</v>
      </c>
      <c r="Q647" s="2" t="s">
        <v>38</v>
      </c>
      <c r="R647" s="2" t="s">
        <v>41</v>
      </c>
      <c r="S647" s="2" t="s">
        <v>1003</v>
      </c>
      <c r="T647" s="2" t="s">
        <v>1181</v>
      </c>
      <c r="U647" s="2" t="s">
        <v>100</v>
      </c>
      <c r="V647" s="2" t="s">
        <v>1480</v>
      </c>
      <c r="W647" s="2" t="s">
        <v>38</v>
      </c>
      <c r="X647" s="3">
        <v>41188</v>
      </c>
      <c r="Y647" s="2" t="s">
        <v>2015</v>
      </c>
      <c r="Z647" s="4"/>
      <c r="AA647" s="2" t="s">
        <v>1988</v>
      </c>
      <c r="AB647" s="2" t="s">
        <v>1989</v>
      </c>
      <c r="AC647" s="12">
        <f t="shared" si="60"/>
        <v>2012</v>
      </c>
      <c r="AD647" s="12">
        <f t="shared" si="61"/>
        <v>10</v>
      </c>
      <c r="AE647" s="12">
        <f t="shared" si="62"/>
        <v>6</v>
      </c>
      <c r="AF647" s="16">
        <f t="shared" si="63"/>
        <v>21.1</v>
      </c>
      <c r="AG647" s="16">
        <f t="shared" si="64"/>
        <v>31.1</v>
      </c>
      <c r="AH647" s="16" t="str">
        <f t="shared" si="65"/>
        <v/>
      </c>
    </row>
    <row r="648" spans="1:34" x14ac:dyDescent="0.35">
      <c r="A648" s="2" t="s">
        <v>2016</v>
      </c>
      <c r="B648" s="2" t="s">
        <v>29</v>
      </c>
      <c r="C648" s="2" t="s">
        <v>30</v>
      </c>
      <c r="D648" s="2" t="s">
        <v>171</v>
      </c>
      <c r="E648" s="2" t="s">
        <v>306</v>
      </c>
      <c r="F648" s="2" t="s">
        <v>307</v>
      </c>
      <c r="G648" s="2" t="s">
        <v>34</v>
      </c>
      <c r="H648" s="2" t="s">
        <v>79</v>
      </c>
      <c r="I648" s="2" t="s">
        <v>36</v>
      </c>
      <c r="J648" s="2" t="s">
        <v>37</v>
      </c>
      <c r="K648" s="2" t="s">
        <v>38</v>
      </c>
      <c r="L648" s="2" t="s">
        <v>38</v>
      </c>
      <c r="M648" s="2" t="s">
        <v>39</v>
      </c>
      <c r="N648" s="2" t="s">
        <v>38</v>
      </c>
      <c r="O648" s="2" t="s">
        <v>38</v>
      </c>
      <c r="P648" s="2" t="s">
        <v>80</v>
      </c>
      <c r="Q648" s="2" t="s">
        <v>38</v>
      </c>
      <c r="R648" s="2" t="s">
        <v>41</v>
      </c>
      <c r="S648" s="2" t="s">
        <v>58</v>
      </c>
      <c r="T648" s="2" t="s">
        <v>1688</v>
      </c>
      <c r="U648" s="2" t="s">
        <v>381</v>
      </c>
      <c r="V648" s="2" t="s">
        <v>1774</v>
      </c>
      <c r="W648" s="2" t="s">
        <v>38</v>
      </c>
      <c r="X648" s="3">
        <v>41189</v>
      </c>
      <c r="Y648" s="2" t="s">
        <v>2020</v>
      </c>
      <c r="Z648" s="34"/>
      <c r="AA648" s="2" t="s">
        <v>1988</v>
      </c>
      <c r="AB648" s="2" t="s">
        <v>1989</v>
      </c>
      <c r="AC648" s="12">
        <f t="shared" si="60"/>
        <v>2012</v>
      </c>
      <c r="AD648" s="12">
        <f t="shared" si="61"/>
        <v>10</v>
      </c>
      <c r="AE648" s="12">
        <f t="shared" si="62"/>
        <v>7</v>
      </c>
      <c r="AF648" s="16">
        <f t="shared" si="63"/>
        <v>22.5</v>
      </c>
      <c r="AG648" s="16">
        <f t="shared" si="64"/>
        <v>30.9</v>
      </c>
      <c r="AH648" s="16" t="str">
        <f t="shared" si="65"/>
        <v/>
      </c>
    </row>
    <row r="649" spans="1:34" x14ac:dyDescent="0.35">
      <c r="A649" s="2" t="s">
        <v>2021</v>
      </c>
      <c r="B649" s="2" t="s">
        <v>29</v>
      </c>
      <c r="C649" s="2" t="s">
        <v>30</v>
      </c>
      <c r="D649" s="2" t="s">
        <v>77</v>
      </c>
      <c r="E649" s="2" t="s">
        <v>55</v>
      </c>
      <c r="F649" s="2" t="s">
        <v>790</v>
      </c>
      <c r="G649" s="2" t="s">
        <v>34</v>
      </c>
      <c r="H649" s="2" t="s">
        <v>734</v>
      </c>
      <c r="I649" s="2" t="s">
        <v>36</v>
      </c>
      <c r="J649" s="2" t="s">
        <v>37</v>
      </c>
      <c r="K649" s="2" t="s">
        <v>38</v>
      </c>
      <c r="L649" s="2" t="s">
        <v>38</v>
      </c>
      <c r="M649" s="2" t="s">
        <v>39</v>
      </c>
      <c r="N649" s="2" t="s">
        <v>38</v>
      </c>
      <c r="O649" s="2" t="s">
        <v>38</v>
      </c>
      <c r="P649" s="2" t="s">
        <v>2024</v>
      </c>
      <c r="Q649" s="2" t="s">
        <v>38</v>
      </c>
      <c r="R649" s="2" t="s">
        <v>41</v>
      </c>
      <c r="S649" s="2" t="s">
        <v>167</v>
      </c>
      <c r="T649" s="2" t="s">
        <v>986</v>
      </c>
      <c r="U649" s="2" t="s">
        <v>2025</v>
      </c>
      <c r="V649" s="2" t="s">
        <v>928</v>
      </c>
      <c r="W649" s="2" t="s">
        <v>38</v>
      </c>
      <c r="X649" s="3">
        <v>41190</v>
      </c>
      <c r="Y649" s="2" t="s">
        <v>2026</v>
      </c>
      <c r="Z649" s="4"/>
      <c r="AA649" s="2" t="s">
        <v>1988</v>
      </c>
      <c r="AB649" s="2" t="s">
        <v>1989</v>
      </c>
      <c r="AC649" s="12">
        <f t="shared" si="60"/>
        <v>2012</v>
      </c>
      <c r="AD649" s="12">
        <f t="shared" si="61"/>
        <v>10</v>
      </c>
      <c r="AE649" s="12">
        <f t="shared" si="62"/>
        <v>8</v>
      </c>
      <c r="AF649" s="16">
        <f t="shared" si="63"/>
        <v>18.3</v>
      </c>
      <c r="AG649" s="16">
        <f t="shared" si="64"/>
        <v>31.3</v>
      </c>
      <c r="AH649" s="16" t="str">
        <f t="shared" si="65"/>
        <v/>
      </c>
    </row>
    <row r="650" spans="1:34" x14ac:dyDescent="0.35">
      <c r="A650" s="2" t="s">
        <v>2027</v>
      </c>
      <c r="B650" s="2" t="s">
        <v>29</v>
      </c>
      <c r="C650" s="2" t="s">
        <v>30</v>
      </c>
      <c r="D650" s="2" t="s">
        <v>31</v>
      </c>
      <c r="E650" s="2" t="s">
        <v>714</v>
      </c>
      <c r="F650" s="2" t="s">
        <v>812</v>
      </c>
      <c r="G650" s="2" t="s">
        <v>34</v>
      </c>
      <c r="H650" s="2" t="s">
        <v>153</v>
      </c>
      <c r="I650" s="2" t="s">
        <v>128</v>
      </c>
      <c r="J650" s="2" t="s">
        <v>37</v>
      </c>
      <c r="K650" s="2" t="s">
        <v>38</v>
      </c>
      <c r="L650" s="2" t="s">
        <v>38</v>
      </c>
      <c r="M650" s="2" t="s">
        <v>39</v>
      </c>
      <c r="N650" s="2" t="s">
        <v>38</v>
      </c>
      <c r="O650" s="2" t="s">
        <v>38</v>
      </c>
      <c r="P650" s="2" t="s">
        <v>1520</v>
      </c>
      <c r="Q650" s="2" t="s">
        <v>38</v>
      </c>
      <c r="R650" s="2" t="s">
        <v>41</v>
      </c>
      <c r="S650" s="2" t="s">
        <v>122</v>
      </c>
      <c r="T650" s="2" t="s">
        <v>353</v>
      </c>
      <c r="U650" s="2" t="s">
        <v>418</v>
      </c>
      <c r="V650" s="2" t="s">
        <v>1462</v>
      </c>
      <c r="W650" s="2" t="s">
        <v>38</v>
      </c>
      <c r="X650" s="3">
        <v>41191</v>
      </c>
      <c r="Y650" s="2" t="s">
        <v>2030</v>
      </c>
      <c r="Z650" s="4"/>
      <c r="AA650" s="2" t="s">
        <v>1988</v>
      </c>
      <c r="AB650" s="2" t="s">
        <v>1989</v>
      </c>
      <c r="AC650" s="12">
        <f t="shared" si="60"/>
        <v>2012</v>
      </c>
      <c r="AD650" s="12">
        <f t="shared" si="61"/>
        <v>10</v>
      </c>
      <c r="AE650" s="12">
        <f t="shared" si="62"/>
        <v>9</v>
      </c>
      <c r="AF650" s="16">
        <f t="shared" si="63"/>
        <v>22.3</v>
      </c>
      <c r="AG650" s="16">
        <f t="shared" si="64"/>
        <v>32.1</v>
      </c>
      <c r="AH650" s="16" t="str">
        <f t="shared" si="65"/>
        <v/>
      </c>
    </row>
    <row r="651" spans="1:34" x14ac:dyDescent="0.35">
      <c r="A651" s="2" t="s">
        <v>2031</v>
      </c>
      <c r="B651" s="2" t="s">
        <v>29</v>
      </c>
      <c r="C651" s="2" t="s">
        <v>30</v>
      </c>
      <c r="D651" s="2" t="s">
        <v>77</v>
      </c>
      <c r="E651" s="2" t="s">
        <v>596</v>
      </c>
      <c r="F651" s="2" t="s">
        <v>530</v>
      </c>
      <c r="G651" s="2" t="s">
        <v>34</v>
      </c>
      <c r="H651" s="2" t="s">
        <v>144</v>
      </c>
      <c r="I651" s="2" t="s">
        <v>114</v>
      </c>
      <c r="J651" s="2" t="s">
        <v>37</v>
      </c>
      <c r="K651" s="2" t="s">
        <v>38</v>
      </c>
      <c r="L651" s="2" t="s">
        <v>38</v>
      </c>
      <c r="M651" s="2" t="s">
        <v>39</v>
      </c>
      <c r="N651" s="2" t="s">
        <v>38</v>
      </c>
      <c r="O651" s="2" t="s">
        <v>38</v>
      </c>
      <c r="P651" s="2" t="s">
        <v>742</v>
      </c>
      <c r="Q651" s="2" t="s">
        <v>38</v>
      </c>
      <c r="R651" s="2" t="s">
        <v>41</v>
      </c>
      <c r="S651" s="2" t="s">
        <v>2032</v>
      </c>
      <c r="T651" s="2" t="s">
        <v>1343</v>
      </c>
      <c r="U651" s="2" t="s">
        <v>147</v>
      </c>
      <c r="V651" s="2" t="s">
        <v>992</v>
      </c>
      <c r="W651" s="2" t="s">
        <v>38</v>
      </c>
      <c r="X651" s="3">
        <v>41192</v>
      </c>
      <c r="Y651" s="2" t="s">
        <v>2033</v>
      </c>
      <c r="Z651" s="34"/>
      <c r="AA651" s="2" t="s">
        <v>1988</v>
      </c>
      <c r="AB651" s="2" t="s">
        <v>1989</v>
      </c>
      <c r="AC651" s="12">
        <f t="shared" si="60"/>
        <v>2012</v>
      </c>
      <c r="AD651" s="12">
        <f t="shared" si="61"/>
        <v>10</v>
      </c>
      <c r="AE651" s="12">
        <f t="shared" si="62"/>
        <v>10</v>
      </c>
      <c r="AF651" s="16">
        <f t="shared" si="63"/>
        <v>18.7</v>
      </c>
      <c r="AG651" s="16">
        <f t="shared" si="64"/>
        <v>32.9</v>
      </c>
      <c r="AH651" s="16" t="str">
        <f t="shared" si="65"/>
        <v/>
      </c>
    </row>
    <row r="652" spans="1:34" x14ac:dyDescent="0.35">
      <c r="A652" s="2" t="s">
        <v>2035</v>
      </c>
      <c r="B652" s="2" t="s">
        <v>29</v>
      </c>
      <c r="C652" s="2" t="s">
        <v>30</v>
      </c>
      <c r="D652" s="2" t="s">
        <v>36</v>
      </c>
      <c r="E652" s="2" t="s">
        <v>596</v>
      </c>
      <c r="F652" s="2" t="s">
        <v>300</v>
      </c>
      <c r="G652" s="2" t="s">
        <v>34</v>
      </c>
      <c r="H652" s="2" t="s">
        <v>96</v>
      </c>
      <c r="I652" s="2" t="s">
        <v>128</v>
      </c>
      <c r="J652" s="2" t="s">
        <v>37</v>
      </c>
      <c r="K652" s="2" t="s">
        <v>38</v>
      </c>
      <c r="L652" s="2" t="s">
        <v>38</v>
      </c>
      <c r="M652" s="2" t="s">
        <v>39</v>
      </c>
      <c r="N652" s="2" t="s">
        <v>38</v>
      </c>
      <c r="O652" s="2" t="s">
        <v>38</v>
      </c>
      <c r="P652" s="2" t="s">
        <v>1539</v>
      </c>
      <c r="Q652" s="2" t="s">
        <v>38</v>
      </c>
      <c r="R652" s="2" t="s">
        <v>41</v>
      </c>
      <c r="S652" s="2" t="s">
        <v>159</v>
      </c>
      <c r="T652" s="2" t="s">
        <v>345</v>
      </c>
      <c r="U652" s="2" t="s">
        <v>1249</v>
      </c>
      <c r="V652" s="2" t="s">
        <v>1484</v>
      </c>
      <c r="W652" s="2" t="s">
        <v>38</v>
      </c>
      <c r="X652" s="3">
        <v>41193</v>
      </c>
      <c r="Y652" s="2" t="s">
        <v>2037</v>
      </c>
      <c r="Z652" s="4"/>
      <c r="AA652" s="2" t="s">
        <v>1988</v>
      </c>
      <c r="AB652" s="2" t="s">
        <v>1989</v>
      </c>
      <c r="AC652" s="12">
        <f t="shared" si="60"/>
        <v>2012</v>
      </c>
      <c r="AD652" s="12">
        <f t="shared" si="61"/>
        <v>10</v>
      </c>
      <c r="AE652" s="12">
        <f t="shared" si="62"/>
        <v>11</v>
      </c>
      <c r="AF652" s="16">
        <f t="shared" si="63"/>
        <v>19.399999999999999</v>
      </c>
      <c r="AG652" s="16">
        <f t="shared" si="64"/>
        <v>32.4</v>
      </c>
      <c r="AH652" s="16" t="str">
        <f t="shared" si="65"/>
        <v/>
      </c>
    </row>
    <row r="653" spans="1:34" x14ac:dyDescent="0.35">
      <c r="A653" s="2" t="s">
        <v>2038</v>
      </c>
      <c r="B653" s="2" t="s">
        <v>29</v>
      </c>
      <c r="C653" s="2" t="s">
        <v>30</v>
      </c>
      <c r="D653" s="2" t="s">
        <v>31</v>
      </c>
      <c r="E653" s="2" t="s">
        <v>579</v>
      </c>
      <c r="F653" s="2" t="s">
        <v>1277</v>
      </c>
      <c r="G653" s="2" t="s">
        <v>34</v>
      </c>
      <c r="H653" s="2" t="s">
        <v>137</v>
      </c>
      <c r="I653" s="2" t="s">
        <v>114</v>
      </c>
      <c r="J653" s="2" t="s">
        <v>37</v>
      </c>
      <c r="K653" s="2" t="s">
        <v>38</v>
      </c>
      <c r="L653" s="2" t="s">
        <v>38</v>
      </c>
      <c r="M653" s="2" t="s">
        <v>39</v>
      </c>
      <c r="N653" s="2" t="s">
        <v>38</v>
      </c>
      <c r="O653" s="2" t="s">
        <v>38</v>
      </c>
      <c r="P653" s="2" t="s">
        <v>1441</v>
      </c>
      <c r="Q653" s="2" t="s">
        <v>38</v>
      </c>
      <c r="R653" s="2" t="s">
        <v>41</v>
      </c>
      <c r="S653" s="2" t="s">
        <v>2041</v>
      </c>
      <c r="T653" s="2" t="s">
        <v>1406</v>
      </c>
      <c r="U653" s="2" t="s">
        <v>1969</v>
      </c>
      <c r="V653" s="2" t="s">
        <v>1843</v>
      </c>
      <c r="W653" s="2" t="s">
        <v>38</v>
      </c>
      <c r="X653" s="3">
        <v>41194</v>
      </c>
      <c r="Y653" s="2" t="s">
        <v>2042</v>
      </c>
      <c r="Z653" s="34"/>
      <c r="AA653" s="2" t="s">
        <v>1988</v>
      </c>
      <c r="AB653" s="2" t="s">
        <v>1989</v>
      </c>
      <c r="AC653" s="12">
        <f t="shared" si="60"/>
        <v>2012</v>
      </c>
      <c r="AD653" s="12">
        <f t="shared" si="61"/>
        <v>10</v>
      </c>
      <c r="AE653" s="12">
        <f t="shared" si="62"/>
        <v>12</v>
      </c>
      <c r="AF653" s="16">
        <f t="shared" si="63"/>
        <v>19.7</v>
      </c>
      <c r="AG653" s="16">
        <f t="shared" si="64"/>
        <v>33.1</v>
      </c>
      <c r="AH653" s="16" t="str">
        <f t="shared" si="65"/>
        <v/>
      </c>
    </row>
    <row r="654" spans="1:34" x14ac:dyDescent="0.35">
      <c r="A654" s="2" t="s">
        <v>2043</v>
      </c>
      <c r="B654" s="2" t="s">
        <v>29</v>
      </c>
      <c r="C654" s="2" t="s">
        <v>30</v>
      </c>
      <c r="D654" s="2" t="s">
        <v>111</v>
      </c>
      <c r="E654" s="2" t="s">
        <v>596</v>
      </c>
      <c r="F654" s="2" t="s">
        <v>1114</v>
      </c>
      <c r="G654" s="2" t="s">
        <v>34</v>
      </c>
      <c r="H654" s="2" t="s">
        <v>276</v>
      </c>
      <c r="I654" s="2" t="s">
        <v>128</v>
      </c>
      <c r="J654" s="2" t="s">
        <v>37</v>
      </c>
      <c r="K654" s="2" t="s">
        <v>38</v>
      </c>
      <c r="L654" s="2" t="s">
        <v>38</v>
      </c>
      <c r="M654" s="2" t="s">
        <v>39</v>
      </c>
      <c r="N654" s="2" t="s">
        <v>38</v>
      </c>
      <c r="O654" s="2" t="s">
        <v>38</v>
      </c>
      <c r="P654" s="2" t="s">
        <v>1539</v>
      </c>
      <c r="Q654" s="2" t="s">
        <v>38</v>
      </c>
      <c r="R654" s="2" t="s">
        <v>41</v>
      </c>
      <c r="S654" s="2" t="s">
        <v>72</v>
      </c>
      <c r="T654" s="2" t="s">
        <v>903</v>
      </c>
      <c r="U654" s="2" t="s">
        <v>481</v>
      </c>
      <c r="V654" s="2" t="s">
        <v>598</v>
      </c>
      <c r="W654" s="2" t="s">
        <v>38</v>
      </c>
      <c r="X654" s="3">
        <v>41195</v>
      </c>
      <c r="Y654" s="2" t="s">
        <v>2046</v>
      </c>
      <c r="Z654" s="4"/>
      <c r="AA654" s="2" t="s">
        <v>1988</v>
      </c>
      <c r="AB654" s="2" t="s">
        <v>1989</v>
      </c>
      <c r="AC654" s="12">
        <f t="shared" si="60"/>
        <v>2012</v>
      </c>
      <c r="AD654" s="12">
        <f t="shared" si="61"/>
        <v>10</v>
      </c>
      <c r="AE654" s="12">
        <f t="shared" si="62"/>
        <v>13</v>
      </c>
      <c r="AF654" s="16">
        <f t="shared" si="63"/>
        <v>18.600000000000001</v>
      </c>
      <c r="AG654" s="16">
        <f t="shared" si="64"/>
        <v>32.4</v>
      </c>
      <c r="AH654" s="16" t="str">
        <f t="shared" si="65"/>
        <v/>
      </c>
    </row>
    <row r="655" spans="1:34" x14ac:dyDescent="0.35">
      <c r="A655" s="2" t="s">
        <v>2047</v>
      </c>
      <c r="B655" s="2" t="s">
        <v>29</v>
      </c>
      <c r="C655" s="2" t="s">
        <v>30</v>
      </c>
      <c r="D655" s="2" t="s">
        <v>111</v>
      </c>
      <c r="E655" s="2" t="s">
        <v>55</v>
      </c>
      <c r="F655" s="2" t="s">
        <v>95</v>
      </c>
      <c r="G655" s="2" t="s">
        <v>34</v>
      </c>
      <c r="H655" s="2" t="s">
        <v>217</v>
      </c>
      <c r="I655" s="2" t="s">
        <v>128</v>
      </c>
      <c r="J655" s="2" t="s">
        <v>37</v>
      </c>
      <c r="K655" s="2" t="s">
        <v>38</v>
      </c>
      <c r="L655" s="2" t="s">
        <v>38</v>
      </c>
      <c r="M655" s="2" t="s">
        <v>39</v>
      </c>
      <c r="N655" s="2" t="s">
        <v>38</v>
      </c>
      <c r="O655" s="2" t="s">
        <v>38</v>
      </c>
      <c r="P655" s="2" t="s">
        <v>487</v>
      </c>
      <c r="Q655" s="2" t="s">
        <v>38</v>
      </c>
      <c r="R655" s="2" t="s">
        <v>41</v>
      </c>
      <c r="S655" s="2" t="s">
        <v>159</v>
      </c>
      <c r="T655" s="2" t="s">
        <v>345</v>
      </c>
      <c r="U655" s="2" t="s">
        <v>116</v>
      </c>
      <c r="V655" s="2" t="s">
        <v>987</v>
      </c>
      <c r="W655" s="2" t="s">
        <v>38</v>
      </c>
      <c r="X655" s="3">
        <v>41196</v>
      </c>
      <c r="Y655" s="2" t="s">
        <v>2050</v>
      </c>
      <c r="Z655" s="34"/>
      <c r="AA655" s="2" t="s">
        <v>1988</v>
      </c>
      <c r="AB655" s="2" t="s">
        <v>1989</v>
      </c>
      <c r="AC655" s="12">
        <f t="shared" si="60"/>
        <v>2012</v>
      </c>
      <c r="AD655" s="12">
        <f t="shared" si="61"/>
        <v>10</v>
      </c>
      <c r="AE655" s="12">
        <f t="shared" si="62"/>
        <v>14</v>
      </c>
      <c r="AF655" s="16">
        <f t="shared" si="63"/>
        <v>18.2</v>
      </c>
      <c r="AG655" s="16">
        <f t="shared" si="64"/>
        <v>31.8</v>
      </c>
      <c r="AH655" s="16" t="str">
        <f t="shared" si="65"/>
        <v/>
      </c>
    </row>
    <row r="656" spans="1:34" x14ac:dyDescent="0.35">
      <c r="A656" s="2" t="s">
        <v>2051</v>
      </c>
      <c r="B656" s="2" t="s">
        <v>29</v>
      </c>
      <c r="C656" s="2" t="s">
        <v>30</v>
      </c>
      <c r="D656" s="2" t="s">
        <v>111</v>
      </c>
      <c r="E656" s="2" t="s">
        <v>596</v>
      </c>
      <c r="F656" s="2" t="s">
        <v>1168</v>
      </c>
      <c r="G656" s="2" t="s">
        <v>34</v>
      </c>
      <c r="H656" s="2" t="s">
        <v>1737</v>
      </c>
      <c r="I656" s="2" t="s">
        <v>128</v>
      </c>
      <c r="J656" s="2" t="s">
        <v>37</v>
      </c>
      <c r="K656" s="2" t="s">
        <v>38</v>
      </c>
      <c r="L656" s="2" t="s">
        <v>38</v>
      </c>
      <c r="M656" s="2" t="s">
        <v>39</v>
      </c>
      <c r="N656" s="2" t="s">
        <v>38</v>
      </c>
      <c r="O656" s="2" t="s">
        <v>38</v>
      </c>
      <c r="P656" s="2" t="s">
        <v>145</v>
      </c>
      <c r="Q656" s="2" t="s">
        <v>38</v>
      </c>
      <c r="R656" s="2" t="s">
        <v>41</v>
      </c>
      <c r="S656" s="2" t="s">
        <v>159</v>
      </c>
      <c r="T656" s="2" t="s">
        <v>2052</v>
      </c>
      <c r="U656" s="2" t="s">
        <v>481</v>
      </c>
      <c r="V656" s="2" t="s">
        <v>598</v>
      </c>
      <c r="W656" s="2" t="s">
        <v>38</v>
      </c>
      <c r="X656" s="3">
        <v>41197</v>
      </c>
      <c r="Y656" s="2" t="s">
        <v>2053</v>
      </c>
      <c r="Z656" s="34"/>
      <c r="AA656" s="2" t="s">
        <v>1988</v>
      </c>
      <c r="AB656" s="2" t="s">
        <v>1989</v>
      </c>
      <c r="AC656" s="12">
        <f t="shared" si="60"/>
        <v>2012</v>
      </c>
      <c r="AD656" s="12">
        <f t="shared" si="61"/>
        <v>10</v>
      </c>
      <c r="AE656" s="12">
        <f t="shared" si="62"/>
        <v>15</v>
      </c>
      <c r="AF656" s="16">
        <f t="shared" si="63"/>
        <v>18.600000000000001</v>
      </c>
      <c r="AG656" s="16">
        <f t="shared" si="64"/>
        <v>31.9</v>
      </c>
      <c r="AH656" s="16" t="str">
        <f t="shared" si="65"/>
        <v/>
      </c>
    </row>
    <row r="657" spans="1:34" x14ac:dyDescent="0.35">
      <c r="A657" s="2" t="s">
        <v>2056</v>
      </c>
      <c r="B657" s="2" t="s">
        <v>29</v>
      </c>
      <c r="C657" s="2" t="s">
        <v>30</v>
      </c>
      <c r="D657" s="2" t="s">
        <v>31</v>
      </c>
      <c r="E657" s="2" t="s">
        <v>55</v>
      </c>
      <c r="F657" s="2" t="s">
        <v>152</v>
      </c>
      <c r="G657" s="2" t="s">
        <v>34</v>
      </c>
      <c r="H657" s="2" t="s">
        <v>69</v>
      </c>
      <c r="I657" s="2" t="s">
        <v>36</v>
      </c>
      <c r="J657" s="2" t="s">
        <v>37</v>
      </c>
      <c r="K657" s="2" t="s">
        <v>38</v>
      </c>
      <c r="L657" s="2" t="s">
        <v>38</v>
      </c>
      <c r="M657" s="2" t="s">
        <v>39</v>
      </c>
      <c r="N657" s="2" t="s">
        <v>38</v>
      </c>
      <c r="O657" s="2" t="s">
        <v>38</v>
      </c>
      <c r="P657" s="2" t="s">
        <v>2060</v>
      </c>
      <c r="Q657" s="2" t="s">
        <v>38</v>
      </c>
      <c r="R657" s="2" t="s">
        <v>41</v>
      </c>
      <c r="S657" s="2" t="s">
        <v>58</v>
      </c>
      <c r="T657" s="2" t="s">
        <v>1357</v>
      </c>
      <c r="U657" s="2" t="s">
        <v>278</v>
      </c>
      <c r="V657" s="2" t="s">
        <v>590</v>
      </c>
      <c r="W657" s="2" t="s">
        <v>38</v>
      </c>
      <c r="X657" s="3">
        <v>41198</v>
      </c>
      <c r="Y657" s="2" t="s">
        <v>2061</v>
      </c>
      <c r="Z657" s="4"/>
      <c r="AA657" s="2" t="s">
        <v>1988</v>
      </c>
      <c r="AB657" s="2" t="s">
        <v>1989</v>
      </c>
      <c r="AC657" s="12">
        <f t="shared" si="60"/>
        <v>2012</v>
      </c>
      <c r="AD657" s="12">
        <f t="shared" si="61"/>
        <v>10</v>
      </c>
      <c r="AE657" s="12">
        <f t="shared" si="62"/>
        <v>16</v>
      </c>
      <c r="AF657" s="16">
        <f t="shared" si="63"/>
        <v>18.399999999999999</v>
      </c>
      <c r="AG657" s="16">
        <f t="shared" si="64"/>
        <v>31.2</v>
      </c>
      <c r="AH657" s="16" t="str">
        <f t="shared" si="65"/>
        <v/>
      </c>
    </row>
    <row r="658" spans="1:34" x14ac:dyDescent="0.35">
      <c r="A658" s="2" t="s">
        <v>2062</v>
      </c>
      <c r="B658" s="2" t="s">
        <v>29</v>
      </c>
      <c r="C658" s="2" t="s">
        <v>30</v>
      </c>
      <c r="D658" s="2" t="s">
        <v>111</v>
      </c>
      <c r="E658" s="2" t="s">
        <v>66</v>
      </c>
      <c r="F658" s="2" t="s">
        <v>684</v>
      </c>
      <c r="G658" s="2" t="s">
        <v>34</v>
      </c>
      <c r="H658" s="2" t="s">
        <v>54</v>
      </c>
      <c r="I658" s="2" t="s">
        <v>128</v>
      </c>
      <c r="J658" s="2" t="s">
        <v>37</v>
      </c>
      <c r="K658" s="2" t="s">
        <v>38</v>
      </c>
      <c r="L658" s="2" t="s">
        <v>38</v>
      </c>
      <c r="M658" s="2" t="s">
        <v>39</v>
      </c>
      <c r="N658" s="2" t="s">
        <v>38</v>
      </c>
      <c r="O658" s="2" t="s">
        <v>38</v>
      </c>
      <c r="P658" s="2" t="s">
        <v>145</v>
      </c>
      <c r="Q658" s="2" t="s">
        <v>38</v>
      </c>
      <c r="R658" s="2" t="s">
        <v>41</v>
      </c>
      <c r="S658" s="2" t="s">
        <v>503</v>
      </c>
      <c r="T658" s="2" t="s">
        <v>760</v>
      </c>
      <c r="U658" s="2" t="s">
        <v>116</v>
      </c>
      <c r="V658" s="2" t="s">
        <v>1253</v>
      </c>
      <c r="W658" s="2" t="s">
        <v>38</v>
      </c>
      <c r="X658" s="3">
        <v>41199</v>
      </c>
      <c r="Y658" s="2" t="s">
        <v>2067</v>
      </c>
      <c r="Z658" s="34"/>
      <c r="AA658" s="2" t="s">
        <v>1988</v>
      </c>
      <c r="AB658" s="2" t="s">
        <v>1989</v>
      </c>
      <c r="AC658" s="12">
        <f t="shared" si="60"/>
        <v>2012</v>
      </c>
      <c r="AD658" s="12">
        <f t="shared" si="61"/>
        <v>10</v>
      </c>
      <c r="AE658" s="12">
        <f t="shared" si="62"/>
        <v>17</v>
      </c>
      <c r="AF658" s="16">
        <f t="shared" si="63"/>
        <v>15.5</v>
      </c>
      <c r="AG658" s="16">
        <f t="shared" si="64"/>
        <v>31.9</v>
      </c>
      <c r="AH658" s="16" t="str">
        <f t="shared" si="65"/>
        <v/>
      </c>
    </row>
    <row r="659" spans="1:34" x14ac:dyDescent="0.35">
      <c r="A659" s="2" t="s">
        <v>2068</v>
      </c>
      <c r="B659" s="2" t="s">
        <v>29</v>
      </c>
      <c r="C659" s="2" t="s">
        <v>30</v>
      </c>
      <c r="D659" s="2" t="s">
        <v>111</v>
      </c>
      <c r="E659" s="2" t="s">
        <v>66</v>
      </c>
      <c r="F659" s="2" t="s">
        <v>462</v>
      </c>
      <c r="G659" s="2" t="s">
        <v>34</v>
      </c>
      <c r="H659" s="2" t="s">
        <v>734</v>
      </c>
      <c r="I659" s="2" t="s">
        <v>128</v>
      </c>
      <c r="J659" s="2" t="s">
        <v>37</v>
      </c>
      <c r="K659" s="2" t="s">
        <v>38</v>
      </c>
      <c r="L659" s="2" t="s">
        <v>38</v>
      </c>
      <c r="M659" s="2" t="s">
        <v>39</v>
      </c>
      <c r="N659" s="2" t="s">
        <v>38</v>
      </c>
      <c r="O659" s="2" t="s">
        <v>38</v>
      </c>
      <c r="P659" s="2" t="s">
        <v>1520</v>
      </c>
      <c r="Q659" s="2" t="s">
        <v>38</v>
      </c>
      <c r="R659" s="2" t="s">
        <v>41</v>
      </c>
      <c r="S659" s="2" t="s">
        <v>2071</v>
      </c>
      <c r="T659" s="2" t="s">
        <v>406</v>
      </c>
      <c r="U659" s="2" t="s">
        <v>470</v>
      </c>
      <c r="V659" s="2" t="s">
        <v>924</v>
      </c>
      <c r="W659" s="2" t="s">
        <v>38</v>
      </c>
      <c r="X659" s="3">
        <v>41200</v>
      </c>
      <c r="Y659" s="2" t="s">
        <v>2072</v>
      </c>
      <c r="Z659" s="4"/>
      <c r="AA659" s="2" t="s">
        <v>1988</v>
      </c>
      <c r="AB659" s="2" t="s">
        <v>1989</v>
      </c>
      <c r="AC659" s="12">
        <f t="shared" si="60"/>
        <v>2012</v>
      </c>
      <c r="AD659" s="12">
        <f t="shared" si="61"/>
        <v>10</v>
      </c>
      <c r="AE659" s="12">
        <f t="shared" si="62"/>
        <v>18</v>
      </c>
      <c r="AF659" s="16">
        <f t="shared" si="63"/>
        <v>15.1</v>
      </c>
      <c r="AG659" s="16">
        <f t="shared" si="64"/>
        <v>32.1</v>
      </c>
      <c r="AH659" s="16" t="str">
        <f t="shared" si="65"/>
        <v/>
      </c>
    </row>
    <row r="660" spans="1:34" x14ac:dyDescent="0.35">
      <c r="A660" s="2" t="s">
        <v>2073</v>
      </c>
      <c r="B660" s="2" t="s">
        <v>29</v>
      </c>
      <c r="C660" s="2" t="s">
        <v>30</v>
      </c>
      <c r="D660" s="2" t="s">
        <v>36</v>
      </c>
      <c r="E660" s="2" t="s">
        <v>142</v>
      </c>
      <c r="F660" s="2" t="s">
        <v>95</v>
      </c>
      <c r="G660" s="2" t="s">
        <v>34</v>
      </c>
      <c r="H660" s="2" t="s">
        <v>233</v>
      </c>
      <c r="I660" s="2" t="s">
        <v>128</v>
      </c>
      <c r="J660" s="2" t="s">
        <v>37</v>
      </c>
      <c r="K660" s="2" t="s">
        <v>38</v>
      </c>
      <c r="L660" s="2" t="s">
        <v>38</v>
      </c>
      <c r="M660" s="2" t="s">
        <v>39</v>
      </c>
      <c r="N660" s="2" t="s">
        <v>38</v>
      </c>
      <c r="O660" s="2" t="s">
        <v>38</v>
      </c>
      <c r="P660" s="2" t="s">
        <v>1505</v>
      </c>
      <c r="Q660" s="2" t="s">
        <v>38</v>
      </c>
      <c r="R660" s="2" t="s">
        <v>41</v>
      </c>
      <c r="S660" s="2" t="s">
        <v>2074</v>
      </c>
      <c r="T660" s="2" t="s">
        <v>406</v>
      </c>
      <c r="U660" s="2" t="s">
        <v>1249</v>
      </c>
      <c r="V660" s="2" t="s">
        <v>184</v>
      </c>
      <c r="W660" s="2" t="s">
        <v>38</v>
      </c>
      <c r="X660" s="3">
        <v>41201</v>
      </c>
      <c r="Y660" s="2" t="s">
        <v>2075</v>
      </c>
      <c r="Z660" s="4"/>
      <c r="AA660" s="2" t="s">
        <v>1988</v>
      </c>
      <c r="AB660" s="2" t="s">
        <v>1989</v>
      </c>
      <c r="AC660" s="12">
        <f t="shared" si="60"/>
        <v>2012</v>
      </c>
      <c r="AD660" s="12">
        <f t="shared" si="61"/>
        <v>10</v>
      </c>
      <c r="AE660" s="12">
        <f t="shared" si="62"/>
        <v>19</v>
      </c>
      <c r="AF660" s="16">
        <f t="shared" si="63"/>
        <v>11.4</v>
      </c>
      <c r="AG660" s="16">
        <f t="shared" si="64"/>
        <v>31.6</v>
      </c>
      <c r="AH660" s="16" t="str">
        <f t="shared" si="65"/>
        <v/>
      </c>
    </row>
    <row r="661" spans="1:34" x14ac:dyDescent="0.35">
      <c r="A661" s="2" t="s">
        <v>2078</v>
      </c>
      <c r="B661" s="2" t="s">
        <v>29</v>
      </c>
      <c r="C661" s="2" t="s">
        <v>30</v>
      </c>
      <c r="D661" s="2" t="s">
        <v>77</v>
      </c>
      <c r="E661" s="2" t="s">
        <v>94</v>
      </c>
      <c r="F661" s="2" t="s">
        <v>955</v>
      </c>
      <c r="G661" s="2" t="s">
        <v>34</v>
      </c>
      <c r="H661" s="2" t="s">
        <v>113</v>
      </c>
      <c r="I661" s="2" t="s">
        <v>128</v>
      </c>
      <c r="J661" s="2" t="s">
        <v>37</v>
      </c>
      <c r="K661" s="2" t="s">
        <v>38</v>
      </c>
      <c r="L661" s="2" t="s">
        <v>38</v>
      </c>
      <c r="M661" s="2" t="s">
        <v>39</v>
      </c>
      <c r="N661" s="2" t="s">
        <v>38</v>
      </c>
      <c r="O661" s="2" t="s">
        <v>38</v>
      </c>
      <c r="P661" s="2" t="s">
        <v>463</v>
      </c>
      <c r="Q661" s="2" t="s">
        <v>38</v>
      </c>
      <c r="R661" s="2" t="s">
        <v>41</v>
      </c>
      <c r="S661" s="2" t="s">
        <v>122</v>
      </c>
      <c r="T661" s="2" t="s">
        <v>73</v>
      </c>
      <c r="U661" s="2" t="s">
        <v>1986</v>
      </c>
      <c r="V661" s="2" t="s">
        <v>297</v>
      </c>
      <c r="W661" s="2" t="s">
        <v>38</v>
      </c>
      <c r="X661" s="3">
        <v>41202</v>
      </c>
      <c r="Y661" s="2" t="s">
        <v>2079</v>
      </c>
      <c r="Z661" s="34"/>
      <c r="AA661" s="2" t="s">
        <v>1988</v>
      </c>
      <c r="AB661" s="2" t="s">
        <v>1989</v>
      </c>
      <c r="AC661" s="12">
        <f t="shared" si="60"/>
        <v>2012</v>
      </c>
      <c r="AD661" s="12">
        <f t="shared" si="61"/>
        <v>10</v>
      </c>
      <c r="AE661" s="12">
        <f t="shared" si="62"/>
        <v>20</v>
      </c>
      <c r="AF661" s="16">
        <f t="shared" si="63"/>
        <v>14.4</v>
      </c>
      <c r="AG661" s="16">
        <f t="shared" si="64"/>
        <v>31.7</v>
      </c>
      <c r="AH661" s="16" t="str">
        <f t="shared" si="65"/>
        <v/>
      </c>
    </row>
    <row r="662" spans="1:34" x14ac:dyDescent="0.35">
      <c r="A662" s="2" t="s">
        <v>2082</v>
      </c>
      <c r="B662" s="2" t="s">
        <v>29</v>
      </c>
      <c r="C662" s="2" t="s">
        <v>30</v>
      </c>
      <c r="D662" s="2" t="s">
        <v>31</v>
      </c>
      <c r="E662" s="2" t="s">
        <v>55</v>
      </c>
      <c r="F662" s="2" t="s">
        <v>723</v>
      </c>
      <c r="G662" s="2" t="s">
        <v>34</v>
      </c>
      <c r="H662" s="2" t="s">
        <v>96</v>
      </c>
      <c r="I662" s="2" t="s">
        <v>77</v>
      </c>
      <c r="J662" s="2" t="s">
        <v>37</v>
      </c>
      <c r="K662" s="2" t="s">
        <v>38</v>
      </c>
      <c r="L662" s="2" t="s">
        <v>38</v>
      </c>
      <c r="M662" s="2" t="s">
        <v>39</v>
      </c>
      <c r="N662" s="2" t="s">
        <v>38</v>
      </c>
      <c r="O662" s="2" t="s">
        <v>38</v>
      </c>
      <c r="P662" s="2" t="s">
        <v>2087</v>
      </c>
      <c r="Q662" s="2" t="s">
        <v>38</v>
      </c>
      <c r="R662" s="2" t="s">
        <v>759</v>
      </c>
      <c r="S662" s="2" t="s">
        <v>1003</v>
      </c>
      <c r="T662" s="2" t="s">
        <v>1362</v>
      </c>
      <c r="U662" s="2" t="s">
        <v>418</v>
      </c>
      <c r="V662" s="2" t="s">
        <v>663</v>
      </c>
      <c r="W662" s="2" t="s">
        <v>38</v>
      </c>
      <c r="X662" s="3">
        <v>41203</v>
      </c>
      <c r="Y662" s="2" t="s">
        <v>2088</v>
      </c>
      <c r="Z662" s="4"/>
      <c r="AA662" s="2" t="s">
        <v>1988</v>
      </c>
      <c r="AB662" s="2" t="s">
        <v>1989</v>
      </c>
      <c r="AC662" s="12">
        <f t="shared" si="60"/>
        <v>2012</v>
      </c>
      <c r="AD662" s="12">
        <f t="shared" si="61"/>
        <v>10</v>
      </c>
      <c r="AE662" s="12">
        <f t="shared" si="62"/>
        <v>21</v>
      </c>
      <c r="AF662" s="16">
        <f t="shared" si="63"/>
        <v>18</v>
      </c>
      <c r="AG662" s="16">
        <f t="shared" si="64"/>
        <v>29.2</v>
      </c>
      <c r="AH662" s="16" t="str">
        <f t="shared" si="65"/>
        <v/>
      </c>
    </row>
    <row r="663" spans="1:34" x14ac:dyDescent="0.35">
      <c r="A663" s="2" t="s">
        <v>2089</v>
      </c>
      <c r="B663" s="2" t="s">
        <v>29</v>
      </c>
      <c r="C663" s="2" t="s">
        <v>30</v>
      </c>
      <c r="D663" s="2" t="s">
        <v>31</v>
      </c>
      <c r="E663" s="2" t="s">
        <v>579</v>
      </c>
      <c r="F663" s="2" t="s">
        <v>684</v>
      </c>
      <c r="G663" s="2" t="s">
        <v>34</v>
      </c>
      <c r="H663" s="2" t="s">
        <v>233</v>
      </c>
      <c r="I663" s="2" t="s">
        <v>77</v>
      </c>
      <c r="J663" s="2" t="s">
        <v>37</v>
      </c>
      <c r="K663" s="2" t="s">
        <v>38</v>
      </c>
      <c r="L663" s="2" t="s">
        <v>38</v>
      </c>
      <c r="M663" s="2" t="s">
        <v>39</v>
      </c>
      <c r="N663" s="2" t="s">
        <v>38</v>
      </c>
      <c r="O663" s="2" t="s">
        <v>38</v>
      </c>
      <c r="P663" s="2" t="s">
        <v>1598</v>
      </c>
      <c r="Q663" s="2" t="s">
        <v>38</v>
      </c>
      <c r="R663" s="2" t="s">
        <v>41</v>
      </c>
      <c r="S663" s="2" t="s">
        <v>58</v>
      </c>
      <c r="T663" s="2" t="s">
        <v>1383</v>
      </c>
      <c r="U663" s="2" t="s">
        <v>44</v>
      </c>
      <c r="V663" s="2" t="s">
        <v>581</v>
      </c>
      <c r="W663" s="2" t="s">
        <v>38</v>
      </c>
      <c r="X663" s="3">
        <v>41204</v>
      </c>
      <c r="Y663" s="2" t="s">
        <v>2093</v>
      </c>
      <c r="Z663" s="34"/>
      <c r="AA663" s="2" t="s">
        <v>1988</v>
      </c>
      <c r="AB663" s="2" t="s">
        <v>1989</v>
      </c>
      <c r="AC663" s="12">
        <f t="shared" si="60"/>
        <v>2012</v>
      </c>
      <c r="AD663" s="12">
        <f t="shared" si="61"/>
        <v>10</v>
      </c>
      <c r="AE663" s="12">
        <f t="shared" si="62"/>
        <v>22</v>
      </c>
      <c r="AF663" s="16">
        <f t="shared" si="63"/>
        <v>19.600000000000001</v>
      </c>
      <c r="AG663" s="16">
        <f t="shared" si="64"/>
        <v>29.5</v>
      </c>
      <c r="AH663" s="16" t="str">
        <f t="shared" si="65"/>
        <v/>
      </c>
    </row>
    <row r="664" spans="1:34" x14ac:dyDescent="0.35">
      <c r="A664" s="2" t="s">
        <v>2094</v>
      </c>
      <c r="B664" s="2" t="s">
        <v>29</v>
      </c>
      <c r="C664" s="2" t="s">
        <v>30</v>
      </c>
      <c r="D664" s="2" t="s">
        <v>77</v>
      </c>
      <c r="E664" s="2" t="s">
        <v>55</v>
      </c>
      <c r="F664" s="2" t="s">
        <v>320</v>
      </c>
      <c r="G664" s="2" t="s">
        <v>34</v>
      </c>
      <c r="H664" s="2" t="s">
        <v>451</v>
      </c>
      <c r="I664" s="2" t="s">
        <v>128</v>
      </c>
      <c r="J664" s="2" t="s">
        <v>37</v>
      </c>
      <c r="K664" s="2" t="s">
        <v>38</v>
      </c>
      <c r="L664" s="2" t="s">
        <v>38</v>
      </c>
      <c r="M664" s="2" t="s">
        <v>39</v>
      </c>
      <c r="N664" s="2" t="s">
        <v>38</v>
      </c>
      <c r="O664" s="2" t="s">
        <v>38</v>
      </c>
      <c r="P664" s="2" t="s">
        <v>463</v>
      </c>
      <c r="Q664" s="2" t="s">
        <v>38</v>
      </c>
      <c r="R664" s="2" t="s">
        <v>41</v>
      </c>
      <c r="S664" s="2" t="s">
        <v>2095</v>
      </c>
      <c r="T664" s="2" t="s">
        <v>916</v>
      </c>
      <c r="U664" s="2" t="s">
        <v>132</v>
      </c>
      <c r="V664" s="2" t="s">
        <v>1346</v>
      </c>
      <c r="W664" s="2" t="s">
        <v>38</v>
      </c>
      <c r="X664" s="3">
        <v>41205</v>
      </c>
      <c r="Y664" s="2" t="s">
        <v>2096</v>
      </c>
      <c r="Z664" s="34"/>
      <c r="AA664" s="2" t="s">
        <v>1988</v>
      </c>
      <c r="AB664" s="2" t="s">
        <v>1989</v>
      </c>
      <c r="AC664" s="12">
        <f t="shared" si="60"/>
        <v>2012</v>
      </c>
      <c r="AD664" s="12">
        <f t="shared" si="61"/>
        <v>10</v>
      </c>
      <c r="AE664" s="12">
        <f t="shared" si="62"/>
        <v>23</v>
      </c>
      <c r="AF664" s="16">
        <f t="shared" si="63"/>
        <v>17.899999999999999</v>
      </c>
      <c r="AG664" s="16">
        <f t="shared" si="64"/>
        <v>31.7</v>
      </c>
      <c r="AH664" s="16" t="str">
        <f t="shared" si="65"/>
        <v/>
      </c>
    </row>
    <row r="665" spans="1:34" x14ac:dyDescent="0.35">
      <c r="A665" s="2" t="s">
        <v>2098</v>
      </c>
      <c r="B665" s="2" t="s">
        <v>29</v>
      </c>
      <c r="C665" s="2" t="s">
        <v>30</v>
      </c>
      <c r="D665" s="2" t="s">
        <v>111</v>
      </c>
      <c r="E665" s="2" t="s">
        <v>579</v>
      </c>
      <c r="F665" s="2" t="s">
        <v>307</v>
      </c>
      <c r="G665" s="2" t="s">
        <v>1460</v>
      </c>
      <c r="H665" s="2" t="s">
        <v>451</v>
      </c>
      <c r="I665" s="2" t="s">
        <v>36</v>
      </c>
      <c r="J665" s="2" t="s">
        <v>37</v>
      </c>
      <c r="K665" s="2" t="s">
        <v>38</v>
      </c>
      <c r="L665" s="2" t="s">
        <v>38</v>
      </c>
      <c r="M665" s="2" t="s">
        <v>39</v>
      </c>
      <c r="N665" s="2" t="s">
        <v>38</v>
      </c>
      <c r="O665" s="2" t="s">
        <v>38</v>
      </c>
      <c r="P665" s="2" t="s">
        <v>2100</v>
      </c>
      <c r="Q665" s="2" t="s">
        <v>38</v>
      </c>
      <c r="R665" s="2" t="s">
        <v>1029</v>
      </c>
      <c r="S665" s="2" t="s">
        <v>2101</v>
      </c>
      <c r="T665" s="2" t="s">
        <v>1397</v>
      </c>
      <c r="U665" s="2" t="s">
        <v>481</v>
      </c>
      <c r="V665" s="2" t="s">
        <v>1358</v>
      </c>
      <c r="W665" s="2" t="s">
        <v>38</v>
      </c>
      <c r="X665" s="3">
        <v>41206</v>
      </c>
      <c r="Y665" s="2" t="s">
        <v>2102</v>
      </c>
      <c r="Z665" s="4"/>
      <c r="AA665" s="2" t="s">
        <v>1988</v>
      </c>
      <c r="AB665" s="2" t="s">
        <v>1989</v>
      </c>
      <c r="AC665" s="12">
        <f t="shared" si="60"/>
        <v>2012</v>
      </c>
      <c r="AD665" s="12">
        <f t="shared" si="61"/>
        <v>10</v>
      </c>
      <c r="AE665" s="12">
        <f t="shared" si="62"/>
        <v>24</v>
      </c>
      <c r="AF665" s="16">
        <f t="shared" si="63"/>
        <v>20.399999999999999</v>
      </c>
      <c r="AG665" s="16">
        <f t="shared" si="64"/>
        <v>31.5</v>
      </c>
      <c r="AH665" s="16" t="str">
        <f t="shared" si="65"/>
        <v/>
      </c>
    </row>
    <row r="666" spans="1:34" x14ac:dyDescent="0.35">
      <c r="A666" s="2" t="s">
        <v>2103</v>
      </c>
      <c r="B666" s="2" t="s">
        <v>29</v>
      </c>
      <c r="C666" s="2" t="s">
        <v>30</v>
      </c>
      <c r="D666" s="2" t="s">
        <v>111</v>
      </c>
      <c r="E666" s="2" t="s">
        <v>596</v>
      </c>
      <c r="F666" s="2" t="s">
        <v>620</v>
      </c>
      <c r="G666" s="2" t="s">
        <v>34</v>
      </c>
      <c r="H666" s="2" t="s">
        <v>270</v>
      </c>
      <c r="I666" s="2" t="s">
        <v>128</v>
      </c>
      <c r="J666" s="2" t="s">
        <v>37</v>
      </c>
      <c r="K666" s="2" t="s">
        <v>38</v>
      </c>
      <c r="L666" s="2" t="s">
        <v>38</v>
      </c>
      <c r="M666" s="2" t="s">
        <v>39</v>
      </c>
      <c r="N666" s="2" t="s">
        <v>38</v>
      </c>
      <c r="O666" s="2" t="s">
        <v>38</v>
      </c>
      <c r="P666" s="2" t="s">
        <v>145</v>
      </c>
      <c r="Q666" s="2" t="s">
        <v>38</v>
      </c>
      <c r="R666" s="2" t="s">
        <v>41</v>
      </c>
      <c r="S666" s="2" t="s">
        <v>167</v>
      </c>
      <c r="T666" s="2" t="s">
        <v>1175</v>
      </c>
      <c r="U666" s="2" t="s">
        <v>470</v>
      </c>
      <c r="V666" s="2" t="s">
        <v>1032</v>
      </c>
      <c r="W666" s="2" t="s">
        <v>38</v>
      </c>
      <c r="X666" s="3">
        <v>41207</v>
      </c>
      <c r="Y666" s="2" t="s">
        <v>2104</v>
      </c>
      <c r="Z666" s="4"/>
      <c r="AA666" s="2" t="s">
        <v>1988</v>
      </c>
      <c r="AB666" s="2" t="s">
        <v>1989</v>
      </c>
      <c r="AC666" s="12">
        <f t="shared" si="60"/>
        <v>2012</v>
      </c>
      <c r="AD666" s="12">
        <f t="shared" si="61"/>
        <v>10</v>
      </c>
      <c r="AE666" s="12">
        <f t="shared" si="62"/>
        <v>25</v>
      </c>
      <c r="AF666" s="16">
        <f t="shared" si="63"/>
        <v>18.899999999999999</v>
      </c>
      <c r="AG666" s="16">
        <f t="shared" si="64"/>
        <v>31.9</v>
      </c>
      <c r="AH666" s="16" t="str">
        <f t="shared" si="65"/>
        <v/>
      </c>
    </row>
    <row r="667" spans="1:34" x14ac:dyDescent="0.35">
      <c r="A667" s="2" t="s">
        <v>2109</v>
      </c>
      <c r="B667" s="2" t="s">
        <v>29</v>
      </c>
      <c r="C667" s="2" t="s">
        <v>30</v>
      </c>
      <c r="D667" s="2" t="s">
        <v>214</v>
      </c>
      <c r="E667" s="2" t="s">
        <v>714</v>
      </c>
      <c r="F667" s="2" t="s">
        <v>361</v>
      </c>
      <c r="G667" s="2" t="s">
        <v>1075</v>
      </c>
      <c r="H667" s="2" t="s">
        <v>144</v>
      </c>
      <c r="I667" s="2" t="s">
        <v>36</v>
      </c>
      <c r="J667" s="2" t="s">
        <v>37</v>
      </c>
      <c r="K667" s="2" t="s">
        <v>38</v>
      </c>
      <c r="L667" s="2" t="s">
        <v>38</v>
      </c>
      <c r="M667" s="2" t="s">
        <v>39</v>
      </c>
      <c r="N667" s="2" t="s">
        <v>38</v>
      </c>
      <c r="O667" s="2" t="s">
        <v>38</v>
      </c>
      <c r="P667" s="2" t="s">
        <v>2100</v>
      </c>
      <c r="Q667" s="2" t="s">
        <v>38</v>
      </c>
      <c r="R667" s="2" t="s">
        <v>1029</v>
      </c>
      <c r="S667" s="2" t="s">
        <v>122</v>
      </c>
      <c r="T667" s="2" t="s">
        <v>1329</v>
      </c>
      <c r="U667" s="2" t="s">
        <v>1671</v>
      </c>
      <c r="V667" s="2" t="s">
        <v>770</v>
      </c>
      <c r="W667" s="2" t="s">
        <v>38</v>
      </c>
      <c r="X667" s="3">
        <v>41208</v>
      </c>
      <c r="Y667" s="2" t="s">
        <v>2110</v>
      </c>
      <c r="Z667" s="34"/>
      <c r="AA667" s="2" t="s">
        <v>1988</v>
      </c>
      <c r="AB667" s="2" t="s">
        <v>1989</v>
      </c>
      <c r="AC667" s="12">
        <f t="shared" si="60"/>
        <v>2012</v>
      </c>
      <c r="AD667" s="12">
        <f t="shared" si="61"/>
        <v>10</v>
      </c>
      <c r="AE667" s="12">
        <f t="shared" si="62"/>
        <v>26</v>
      </c>
      <c r="AF667" s="16">
        <f t="shared" si="63"/>
        <v>21.6</v>
      </c>
      <c r="AG667" s="16">
        <f t="shared" si="64"/>
        <v>31.5</v>
      </c>
      <c r="AH667" s="16" t="str">
        <f t="shared" si="65"/>
        <v/>
      </c>
    </row>
    <row r="668" spans="1:34" x14ac:dyDescent="0.35">
      <c r="A668" s="2" t="s">
        <v>2112</v>
      </c>
      <c r="B668" s="2" t="s">
        <v>29</v>
      </c>
      <c r="C668" s="2" t="s">
        <v>30</v>
      </c>
      <c r="D668" s="2" t="s">
        <v>77</v>
      </c>
      <c r="E668" s="2" t="s">
        <v>51</v>
      </c>
      <c r="F668" s="2" t="s">
        <v>330</v>
      </c>
      <c r="G668" s="2" t="s">
        <v>34</v>
      </c>
      <c r="H668" s="2" t="s">
        <v>137</v>
      </c>
      <c r="I668" s="2" t="s">
        <v>36</v>
      </c>
      <c r="J668" s="2" t="s">
        <v>37</v>
      </c>
      <c r="K668" s="2" t="s">
        <v>38</v>
      </c>
      <c r="L668" s="2" t="s">
        <v>38</v>
      </c>
      <c r="M668" s="2" t="s">
        <v>39</v>
      </c>
      <c r="N668" s="2" t="s">
        <v>38</v>
      </c>
      <c r="O668" s="2" t="s">
        <v>38</v>
      </c>
      <c r="P668" s="2" t="s">
        <v>80</v>
      </c>
      <c r="Q668" s="2" t="s">
        <v>38</v>
      </c>
      <c r="R668" s="2" t="s">
        <v>41</v>
      </c>
      <c r="S668" s="2" t="s">
        <v>2113</v>
      </c>
      <c r="T668" s="2" t="s">
        <v>372</v>
      </c>
      <c r="U668" s="2" t="s">
        <v>147</v>
      </c>
      <c r="V668" s="2" t="s">
        <v>2114</v>
      </c>
      <c r="W668" s="2" t="s">
        <v>38</v>
      </c>
      <c r="X668" s="3">
        <v>41209</v>
      </c>
      <c r="Y668" s="2" t="s">
        <v>2115</v>
      </c>
      <c r="Z668" s="4"/>
      <c r="AA668" s="2" t="s">
        <v>1988</v>
      </c>
      <c r="AB668" s="2" t="s">
        <v>1989</v>
      </c>
      <c r="AC668" s="12">
        <f t="shared" si="60"/>
        <v>2012</v>
      </c>
      <c r="AD668" s="12">
        <f t="shared" si="61"/>
        <v>10</v>
      </c>
      <c r="AE668" s="12">
        <f t="shared" si="62"/>
        <v>27</v>
      </c>
      <c r="AF668" s="16">
        <f t="shared" si="63"/>
        <v>17.3</v>
      </c>
      <c r="AG668" s="16">
        <f t="shared" si="64"/>
        <v>30.9</v>
      </c>
      <c r="AH668" s="16" t="str">
        <f t="shared" si="65"/>
        <v/>
      </c>
    </row>
    <row r="669" spans="1:34" x14ac:dyDescent="0.35">
      <c r="A669" s="2" t="s">
        <v>2117</v>
      </c>
      <c r="B669" s="2" t="s">
        <v>29</v>
      </c>
      <c r="C669" s="2" t="s">
        <v>30</v>
      </c>
      <c r="D669" s="2" t="s">
        <v>31</v>
      </c>
      <c r="E669" s="2" t="s">
        <v>51</v>
      </c>
      <c r="F669" s="2" t="s">
        <v>955</v>
      </c>
      <c r="G669" s="2" t="s">
        <v>34</v>
      </c>
      <c r="H669" s="2" t="s">
        <v>877</v>
      </c>
      <c r="I669" s="2" t="s">
        <v>36</v>
      </c>
      <c r="J669" s="2" t="s">
        <v>37</v>
      </c>
      <c r="K669" s="2" t="s">
        <v>38</v>
      </c>
      <c r="L669" s="2" t="s">
        <v>38</v>
      </c>
      <c r="M669" s="2" t="s">
        <v>39</v>
      </c>
      <c r="N669" s="2" t="s">
        <v>38</v>
      </c>
      <c r="O669" s="2" t="s">
        <v>38</v>
      </c>
      <c r="P669" s="2" t="s">
        <v>387</v>
      </c>
      <c r="Q669" s="2" t="s">
        <v>38</v>
      </c>
      <c r="R669" s="2" t="s">
        <v>41</v>
      </c>
      <c r="S669" s="2" t="s">
        <v>2119</v>
      </c>
      <c r="T669" s="2" t="s">
        <v>362</v>
      </c>
      <c r="U669" s="2" t="s">
        <v>100</v>
      </c>
      <c r="V669" s="2" t="s">
        <v>933</v>
      </c>
      <c r="W669" s="2" t="s">
        <v>38</v>
      </c>
      <c r="X669" s="3">
        <v>41210</v>
      </c>
      <c r="Y669" s="2" t="s">
        <v>2120</v>
      </c>
      <c r="Z669" s="34"/>
      <c r="AA669" s="2" t="s">
        <v>1988</v>
      </c>
      <c r="AB669" s="2" t="s">
        <v>1989</v>
      </c>
      <c r="AC669" s="12">
        <f t="shared" si="60"/>
        <v>2012</v>
      </c>
      <c r="AD669" s="12">
        <f t="shared" si="61"/>
        <v>10</v>
      </c>
      <c r="AE669" s="12">
        <f t="shared" si="62"/>
        <v>28</v>
      </c>
      <c r="AF669" s="16">
        <f t="shared" si="63"/>
        <v>16.899999999999999</v>
      </c>
      <c r="AG669" s="16">
        <f t="shared" si="64"/>
        <v>30.7</v>
      </c>
      <c r="AH669" s="16" t="str">
        <f t="shared" si="65"/>
        <v/>
      </c>
    </row>
    <row r="670" spans="1:34" x14ac:dyDescent="0.35">
      <c r="A670" s="2" t="s">
        <v>2121</v>
      </c>
      <c r="B670" s="2" t="s">
        <v>29</v>
      </c>
      <c r="C670" s="2" t="s">
        <v>30</v>
      </c>
      <c r="D670" s="2" t="s">
        <v>31</v>
      </c>
      <c r="E670" s="2" t="s">
        <v>306</v>
      </c>
      <c r="F670" s="2" t="s">
        <v>78</v>
      </c>
      <c r="G670" s="2" t="s">
        <v>34</v>
      </c>
      <c r="H670" s="2" t="s">
        <v>54</v>
      </c>
      <c r="I670" s="2" t="s">
        <v>111</v>
      </c>
      <c r="J670" s="2" t="s">
        <v>37</v>
      </c>
      <c r="K670" s="2" t="s">
        <v>38</v>
      </c>
      <c r="L670" s="2" t="s">
        <v>38</v>
      </c>
      <c r="M670" s="2" t="s">
        <v>39</v>
      </c>
      <c r="N670" s="2" t="s">
        <v>38</v>
      </c>
      <c r="O670" s="2" t="s">
        <v>38</v>
      </c>
      <c r="P670" s="2" t="s">
        <v>440</v>
      </c>
      <c r="Q670" s="2" t="s">
        <v>38</v>
      </c>
      <c r="R670" s="2" t="s">
        <v>41</v>
      </c>
      <c r="S670" s="2" t="s">
        <v>2122</v>
      </c>
      <c r="T670" s="2" t="s">
        <v>417</v>
      </c>
      <c r="U670" s="2" t="s">
        <v>418</v>
      </c>
      <c r="V670" s="2" t="s">
        <v>1889</v>
      </c>
      <c r="W670" s="2" t="s">
        <v>38</v>
      </c>
      <c r="X670" s="3">
        <v>41211</v>
      </c>
      <c r="Y670" s="2" t="s">
        <v>2123</v>
      </c>
      <c r="Z670" s="34"/>
      <c r="AA670" s="2" t="s">
        <v>1988</v>
      </c>
      <c r="AB670" s="2" t="s">
        <v>1989</v>
      </c>
      <c r="AC670" s="12">
        <f t="shared" si="60"/>
        <v>2012</v>
      </c>
      <c r="AD670" s="12">
        <f t="shared" si="61"/>
        <v>10</v>
      </c>
      <c r="AE670" s="12">
        <f t="shared" si="62"/>
        <v>29</v>
      </c>
      <c r="AF670" s="16">
        <f t="shared" si="63"/>
        <v>22.9</v>
      </c>
      <c r="AG670" s="16">
        <f t="shared" si="64"/>
        <v>30.1</v>
      </c>
      <c r="AH670" s="16" t="str">
        <f t="shared" si="65"/>
        <v/>
      </c>
    </row>
    <row r="671" spans="1:34" x14ac:dyDescent="0.35">
      <c r="A671" s="2" t="s">
        <v>2127</v>
      </c>
      <c r="B671" s="2" t="s">
        <v>29</v>
      </c>
      <c r="C671" s="2" t="s">
        <v>30</v>
      </c>
      <c r="D671" s="2" t="s">
        <v>31</v>
      </c>
      <c r="E671" s="2" t="s">
        <v>215</v>
      </c>
      <c r="F671" s="2" t="s">
        <v>275</v>
      </c>
      <c r="G671" s="2" t="s">
        <v>34</v>
      </c>
      <c r="H671" s="2" t="s">
        <v>451</v>
      </c>
      <c r="I671" s="2" t="s">
        <v>36</v>
      </c>
      <c r="J671" s="2" t="s">
        <v>37</v>
      </c>
      <c r="K671" s="2" t="s">
        <v>38</v>
      </c>
      <c r="L671" s="2" t="s">
        <v>38</v>
      </c>
      <c r="M671" s="2" t="s">
        <v>39</v>
      </c>
      <c r="N671" s="2" t="s">
        <v>38</v>
      </c>
      <c r="O671" s="2" t="s">
        <v>38</v>
      </c>
      <c r="P671" s="2" t="s">
        <v>452</v>
      </c>
      <c r="Q671" s="2" t="s">
        <v>38</v>
      </c>
      <c r="R671" s="2" t="s">
        <v>98</v>
      </c>
      <c r="S671" s="2" t="s">
        <v>2095</v>
      </c>
      <c r="T671" s="2" t="s">
        <v>73</v>
      </c>
      <c r="U671" s="2" t="s">
        <v>44</v>
      </c>
      <c r="V671" s="2" t="s">
        <v>397</v>
      </c>
      <c r="W671" s="2" t="s">
        <v>38</v>
      </c>
      <c r="X671" s="3">
        <v>41212</v>
      </c>
      <c r="Y671" s="2" t="s">
        <v>2129</v>
      </c>
      <c r="Z671" s="4"/>
      <c r="AA671" s="2" t="s">
        <v>1988</v>
      </c>
      <c r="AB671" s="2" t="s">
        <v>1989</v>
      </c>
      <c r="AC671" s="12">
        <f t="shared" si="60"/>
        <v>2012</v>
      </c>
      <c r="AD671" s="12">
        <f t="shared" si="61"/>
        <v>10</v>
      </c>
      <c r="AE671" s="12">
        <f t="shared" si="62"/>
        <v>30</v>
      </c>
      <c r="AF671" s="16">
        <f t="shared" si="63"/>
        <v>6</v>
      </c>
      <c r="AG671" s="16">
        <f t="shared" si="64"/>
        <v>30.5</v>
      </c>
      <c r="AH671" s="16" t="str">
        <f t="shared" si="65"/>
        <v/>
      </c>
    </row>
    <row r="672" spans="1:34" x14ac:dyDescent="0.35">
      <c r="A672" s="2" t="s">
        <v>2130</v>
      </c>
      <c r="B672" s="2" t="s">
        <v>29</v>
      </c>
      <c r="C672" s="2" t="s">
        <v>30</v>
      </c>
      <c r="D672" s="2" t="s">
        <v>171</v>
      </c>
      <c r="E672" s="2" t="s">
        <v>94</v>
      </c>
      <c r="F672" s="2" t="s">
        <v>275</v>
      </c>
      <c r="G672" s="2" t="s">
        <v>34</v>
      </c>
      <c r="H672" s="2" t="s">
        <v>202</v>
      </c>
      <c r="I672" s="2" t="s">
        <v>77</v>
      </c>
      <c r="J672" s="2" t="s">
        <v>37</v>
      </c>
      <c r="K672" s="2" t="s">
        <v>38</v>
      </c>
      <c r="L672" s="2" t="s">
        <v>38</v>
      </c>
      <c r="M672" s="2" t="s">
        <v>39</v>
      </c>
      <c r="N672" s="2" t="s">
        <v>38</v>
      </c>
      <c r="O672" s="2" t="s">
        <v>38</v>
      </c>
      <c r="P672" s="2" t="s">
        <v>506</v>
      </c>
      <c r="Q672" s="2" t="s">
        <v>38</v>
      </c>
      <c r="R672" s="2" t="s">
        <v>98</v>
      </c>
      <c r="S672" s="2" t="s">
        <v>2132</v>
      </c>
      <c r="T672" s="2" t="s">
        <v>73</v>
      </c>
      <c r="U672" s="2" t="s">
        <v>2133</v>
      </c>
      <c r="V672" s="2" t="s">
        <v>368</v>
      </c>
      <c r="W672" s="2" t="s">
        <v>38</v>
      </c>
      <c r="X672" s="3">
        <v>41213</v>
      </c>
      <c r="Y672" s="2" t="s">
        <v>2134</v>
      </c>
      <c r="Z672" s="34"/>
      <c r="AA672" s="2" t="s">
        <v>672</v>
      </c>
      <c r="AB672" s="2" t="s">
        <v>2135</v>
      </c>
      <c r="AC672" s="12">
        <f t="shared" si="60"/>
        <v>2012</v>
      </c>
      <c r="AD672" s="12">
        <f t="shared" si="61"/>
        <v>10</v>
      </c>
      <c r="AE672" s="12">
        <f t="shared" si="62"/>
        <v>31</v>
      </c>
      <c r="AF672" s="16">
        <f t="shared" si="63"/>
        <v>14.3</v>
      </c>
      <c r="AG672" s="16">
        <f t="shared" si="64"/>
        <v>28.9</v>
      </c>
      <c r="AH672" s="16" t="str">
        <f t="shared" si="65"/>
        <v/>
      </c>
    </row>
    <row r="673" spans="1:34" x14ac:dyDescent="0.35">
      <c r="A673" s="2" t="s">
        <v>2136</v>
      </c>
      <c r="B673" s="2" t="s">
        <v>29</v>
      </c>
      <c r="C673" s="2" t="s">
        <v>30</v>
      </c>
      <c r="D673" s="2" t="s">
        <v>187</v>
      </c>
      <c r="E673" s="2" t="s">
        <v>51</v>
      </c>
      <c r="F673" s="2" t="s">
        <v>300</v>
      </c>
      <c r="G673" s="2" t="s">
        <v>34</v>
      </c>
      <c r="H673" s="2" t="s">
        <v>35</v>
      </c>
      <c r="I673" s="2" t="s">
        <v>31</v>
      </c>
      <c r="J673" s="2" t="s">
        <v>37</v>
      </c>
      <c r="K673" s="2" t="s">
        <v>38</v>
      </c>
      <c r="L673" s="2" t="s">
        <v>38</v>
      </c>
      <c r="M673" s="2" t="s">
        <v>39</v>
      </c>
      <c r="N673" s="2" t="s">
        <v>38</v>
      </c>
      <c r="O673" s="2" t="s">
        <v>38</v>
      </c>
      <c r="P673" s="2" t="s">
        <v>1745</v>
      </c>
      <c r="Q673" s="2" t="s">
        <v>38</v>
      </c>
      <c r="R673" s="2" t="s">
        <v>41</v>
      </c>
      <c r="S673" s="2" t="s">
        <v>2139</v>
      </c>
      <c r="T673" s="2" t="s">
        <v>43</v>
      </c>
      <c r="U673" s="2" t="s">
        <v>190</v>
      </c>
      <c r="V673" s="2" t="s">
        <v>933</v>
      </c>
      <c r="W673" s="2" t="s">
        <v>38</v>
      </c>
      <c r="X673" s="3">
        <v>41214</v>
      </c>
      <c r="Y673" s="2" t="s">
        <v>2140</v>
      </c>
      <c r="Z673" s="4"/>
      <c r="AA673" s="2" t="s">
        <v>672</v>
      </c>
      <c r="AB673" s="2" t="s">
        <v>2135</v>
      </c>
      <c r="AC673" s="12">
        <f t="shared" si="60"/>
        <v>2012</v>
      </c>
      <c r="AD673" s="12">
        <f t="shared" si="61"/>
        <v>11</v>
      </c>
      <c r="AE673" s="12">
        <f t="shared" si="62"/>
        <v>1</v>
      </c>
      <c r="AF673" s="16">
        <f t="shared" si="63"/>
        <v>16.899999999999999</v>
      </c>
      <c r="AG673" s="16">
        <f t="shared" si="64"/>
        <v>28.1</v>
      </c>
      <c r="AH673" s="16" t="str">
        <f t="shared" si="65"/>
        <v/>
      </c>
    </row>
    <row r="674" spans="1:34" x14ac:dyDescent="0.35">
      <c r="A674" s="2" t="s">
        <v>2141</v>
      </c>
      <c r="B674" s="2" t="s">
        <v>29</v>
      </c>
      <c r="C674" s="2" t="s">
        <v>30</v>
      </c>
      <c r="D674" s="2" t="s">
        <v>187</v>
      </c>
      <c r="E674" s="2" t="s">
        <v>50</v>
      </c>
      <c r="F674" s="2" t="s">
        <v>826</v>
      </c>
      <c r="G674" s="2" t="s">
        <v>1609</v>
      </c>
      <c r="H674" s="2" t="s">
        <v>270</v>
      </c>
      <c r="I674" s="2" t="s">
        <v>36</v>
      </c>
      <c r="J674" s="2" t="s">
        <v>37</v>
      </c>
      <c r="K674" s="2" t="s">
        <v>38</v>
      </c>
      <c r="L674" s="2" t="s">
        <v>38</v>
      </c>
      <c r="M674" s="2" t="s">
        <v>39</v>
      </c>
      <c r="N674" s="2" t="s">
        <v>38</v>
      </c>
      <c r="O674" s="2" t="s">
        <v>38</v>
      </c>
      <c r="P674" s="2" t="s">
        <v>1839</v>
      </c>
      <c r="Q674" s="2" t="s">
        <v>38</v>
      </c>
      <c r="R674" s="2" t="s">
        <v>1029</v>
      </c>
      <c r="S674" s="2" t="s">
        <v>1003</v>
      </c>
      <c r="T674" s="2" t="s">
        <v>1357</v>
      </c>
      <c r="U674" s="2" t="s">
        <v>891</v>
      </c>
      <c r="V674" s="2" t="s">
        <v>1480</v>
      </c>
      <c r="W674" s="2" t="s">
        <v>38</v>
      </c>
      <c r="X674" s="3">
        <v>41215</v>
      </c>
      <c r="Y674" s="2" t="s">
        <v>2142</v>
      </c>
      <c r="Z674" s="34"/>
      <c r="AA674" s="2" t="s">
        <v>672</v>
      </c>
      <c r="AB674" s="2" t="s">
        <v>2135</v>
      </c>
      <c r="AC674" s="12">
        <f t="shared" si="60"/>
        <v>2012</v>
      </c>
      <c r="AD674" s="12">
        <f t="shared" si="61"/>
        <v>11</v>
      </c>
      <c r="AE674" s="12">
        <f t="shared" si="62"/>
        <v>2</v>
      </c>
      <c r="AF674" s="16">
        <f t="shared" si="63"/>
        <v>21.1</v>
      </c>
      <c r="AG674" s="16">
        <f t="shared" si="64"/>
        <v>30.8</v>
      </c>
      <c r="AH674" s="16" t="str">
        <f t="shared" si="65"/>
        <v/>
      </c>
    </row>
    <row r="675" spans="1:34" x14ac:dyDescent="0.35">
      <c r="A675" s="2" t="s">
        <v>2145</v>
      </c>
      <c r="B675" s="2" t="s">
        <v>29</v>
      </c>
      <c r="C675" s="2" t="s">
        <v>30</v>
      </c>
      <c r="D675" s="2" t="s">
        <v>77</v>
      </c>
      <c r="E675" s="2" t="s">
        <v>579</v>
      </c>
      <c r="F675" s="2" t="s">
        <v>790</v>
      </c>
      <c r="G675" s="2" t="s">
        <v>34</v>
      </c>
      <c r="H675" s="2" t="s">
        <v>342</v>
      </c>
      <c r="I675" s="2" t="s">
        <v>128</v>
      </c>
      <c r="J675" s="2" t="s">
        <v>37</v>
      </c>
      <c r="K675" s="2" t="s">
        <v>38</v>
      </c>
      <c r="L675" s="2" t="s">
        <v>38</v>
      </c>
      <c r="M675" s="2" t="s">
        <v>39</v>
      </c>
      <c r="N675" s="2" t="s">
        <v>38</v>
      </c>
      <c r="O675" s="2" t="s">
        <v>38</v>
      </c>
      <c r="P675" s="2" t="s">
        <v>145</v>
      </c>
      <c r="Q675" s="2" t="s">
        <v>38</v>
      </c>
      <c r="R675" s="2" t="s">
        <v>41</v>
      </c>
      <c r="S675" s="2" t="s">
        <v>1003</v>
      </c>
      <c r="T675" s="2" t="s">
        <v>1343</v>
      </c>
      <c r="U675" s="2" t="s">
        <v>81</v>
      </c>
      <c r="V675" s="2" t="s">
        <v>1301</v>
      </c>
      <c r="W675" s="2" t="s">
        <v>38</v>
      </c>
      <c r="X675" s="3">
        <v>41216</v>
      </c>
      <c r="Y675" s="2" t="s">
        <v>2147</v>
      </c>
      <c r="Z675" s="4"/>
      <c r="AA675" s="2" t="s">
        <v>672</v>
      </c>
      <c r="AB675" s="2" t="s">
        <v>2135</v>
      </c>
      <c r="AC675" s="12">
        <f t="shared" si="60"/>
        <v>2012</v>
      </c>
      <c r="AD675" s="12">
        <f t="shared" si="61"/>
        <v>11</v>
      </c>
      <c r="AE675" s="12">
        <f t="shared" si="62"/>
        <v>3</v>
      </c>
      <c r="AF675" s="16">
        <f t="shared" si="63"/>
        <v>20.2</v>
      </c>
      <c r="AG675" s="16">
        <f t="shared" si="64"/>
        <v>31.9</v>
      </c>
      <c r="AH675" s="16" t="str">
        <f t="shared" si="65"/>
        <v/>
      </c>
    </row>
    <row r="676" spans="1:34" x14ac:dyDescent="0.35">
      <c r="A676" s="2" t="s">
        <v>2148</v>
      </c>
      <c r="B676" s="2" t="s">
        <v>29</v>
      </c>
      <c r="C676" s="2" t="s">
        <v>30</v>
      </c>
      <c r="D676" s="2" t="s">
        <v>36</v>
      </c>
      <c r="E676" s="2" t="s">
        <v>51</v>
      </c>
      <c r="F676" s="2" t="s">
        <v>676</v>
      </c>
      <c r="G676" s="2" t="s">
        <v>34</v>
      </c>
      <c r="H676" s="2" t="s">
        <v>295</v>
      </c>
      <c r="I676" s="2" t="s">
        <v>114</v>
      </c>
      <c r="J676" s="2" t="s">
        <v>37</v>
      </c>
      <c r="K676" s="2" t="s">
        <v>38</v>
      </c>
      <c r="L676" s="2" t="s">
        <v>38</v>
      </c>
      <c r="M676" s="2" t="s">
        <v>39</v>
      </c>
      <c r="N676" s="2" t="s">
        <v>38</v>
      </c>
      <c r="O676" s="2" t="s">
        <v>38</v>
      </c>
      <c r="P676" s="2" t="s">
        <v>115</v>
      </c>
      <c r="Q676" s="2" t="s">
        <v>38</v>
      </c>
      <c r="R676" s="2" t="s">
        <v>41</v>
      </c>
      <c r="S676" s="2" t="s">
        <v>122</v>
      </c>
      <c r="T676" s="2" t="s">
        <v>1181</v>
      </c>
      <c r="U676" s="2" t="s">
        <v>1249</v>
      </c>
      <c r="V676" s="2" t="s">
        <v>61</v>
      </c>
      <c r="W676" s="2" t="s">
        <v>38</v>
      </c>
      <c r="X676" s="3">
        <v>41217</v>
      </c>
      <c r="Y676" s="2" t="s">
        <v>2149</v>
      </c>
      <c r="Z676" s="4"/>
      <c r="AA676" s="2" t="s">
        <v>672</v>
      </c>
      <c r="AB676" s="2" t="s">
        <v>2135</v>
      </c>
      <c r="AC676" s="12">
        <f t="shared" si="60"/>
        <v>2012</v>
      </c>
      <c r="AD676" s="12">
        <f t="shared" si="61"/>
        <v>11</v>
      </c>
      <c r="AE676" s="12">
        <f t="shared" si="62"/>
        <v>4</v>
      </c>
      <c r="AF676" s="16">
        <f t="shared" si="63"/>
        <v>16.8</v>
      </c>
      <c r="AG676" s="16">
        <f t="shared" si="64"/>
        <v>32.5</v>
      </c>
      <c r="AH676" s="16" t="str">
        <f t="shared" si="65"/>
        <v/>
      </c>
    </row>
    <row r="677" spans="1:34" x14ac:dyDescent="0.35">
      <c r="A677" s="2" t="s">
        <v>2151</v>
      </c>
      <c r="B677" s="2" t="s">
        <v>29</v>
      </c>
      <c r="C677" s="2" t="s">
        <v>30</v>
      </c>
      <c r="D677" s="2" t="s">
        <v>111</v>
      </c>
      <c r="E677" s="2" t="s">
        <v>596</v>
      </c>
      <c r="F677" s="2" t="s">
        <v>841</v>
      </c>
      <c r="G677" s="2" t="s">
        <v>34</v>
      </c>
      <c r="H677" s="2" t="s">
        <v>379</v>
      </c>
      <c r="I677" s="2" t="s">
        <v>128</v>
      </c>
      <c r="J677" s="2" t="s">
        <v>37</v>
      </c>
      <c r="K677" s="2" t="s">
        <v>38</v>
      </c>
      <c r="L677" s="2" t="s">
        <v>38</v>
      </c>
      <c r="M677" s="2" t="s">
        <v>39</v>
      </c>
      <c r="N677" s="2" t="s">
        <v>38</v>
      </c>
      <c r="O677" s="2" t="s">
        <v>38</v>
      </c>
      <c r="P677" s="2" t="s">
        <v>487</v>
      </c>
      <c r="Q677" s="2" t="s">
        <v>38</v>
      </c>
      <c r="R677" s="2" t="s">
        <v>41</v>
      </c>
      <c r="S677" s="2" t="s">
        <v>1081</v>
      </c>
      <c r="T677" s="2" t="s">
        <v>353</v>
      </c>
      <c r="U677" s="2" t="s">
        <v>1502</v>
      </c>
      <c r="V677" s="2" t="s">
        <v>992</v>
      </c>
      <c r="W677" s="2" t="s">
        <v>38</v>
      </c>
      <c r="X677" s="3">
        <v>41218</v>
      </c>
      <c r="Y677" s="2" t="s">
        <v>2152</v>
      </c>
      <c r="Z677" s="34"/>
      <c r="AA677" s="2" t="s">
        <v>672</v>
      </c>
      <c r="AB677" s="2" t="s">
        <v>2135</v>
      </c>
      <c r="AC677" s="12">
        <f t="shared" si="60"/>
        <v>2012</v>
      </c>
      <c r="AD677" s="12">
        <f t="shared" si="61"/>
        <v>11</v>
      </c>
      <c r="AE677" s="12">
        <f t="shared" si="62"/>
        <v>5</v>
      </c>
      <c r="AF677" s="16">
        <f t="shared" si="63"/>
        <v>18.7</v>
      </c>
      <c r="AG677" s="16">
        <f t="shared" si="64"/>
        <v>31.8</v>
      </c>
      <c r="AH677" s="16" t="str">
        <f t="shared" si="65"/>
        <v/>
      </c>
    </row>
    <row r="678" spans="1:34" x14ac:dyDescent="0.35">
      <c r="A678" s="2" t="s">
        <v>2156</v>
      </c>
      <c r="B678" s="2" t="s">
        <v>29</v>
      </c>
      <c r="C678" s="2" t="s">
        <v>30</v>
      </c>
      <c r="D678" s="2" t="s">
        <v>77</v>
      </c>
      <c r="E678" s="2" t="s">
        <v>51</v>
      </c>
      <c r="F678" s="2" t="s">
        <v>800</v>
      </c>
      <c r="G678" s="2" t="s">
        <v>34</v>
      </c>
      <c r="H678" s="2" t="s">
        <v>240</v>
      </c>
      <c r="I678" s="2" t="s">
        <v>128</v>
      </c>
      <c r="J678" s="2" t="s">
        <v>37</v>
      </c>
      <c r="K678" s="2" t="s">
        <v>38</v>
      </c>
      <c r="L678" s="2" t="s">
        <v>38</v>
      </c>
      <c r="M678" s="2" t="s">
        <v>39</v>
      </c>
      <c r="N678" s="2" t="s">
        <v>38</v>
      </c>
      <c r="O678" s="2" t="s">
        <v>38</v>
      </c>
      <c r="P678" s="2" t="s">
        <v>145</v>
      </c>
      <c r="Q678" s="2" t="s">
        <v>38</v>
      </c>
      <c r="R678" s="2" t="s">
        <v>41</v>
      </c>
      <c r="S678" s="2" t="s">
        <v>167</v>
      </c>
      <c r="T678" s="2" t="s">
        <v>480</v>
      </c>
      <c r="U678" s="2" t="s">
        <v>132</v>
      </c>
      <c r="V678" s="2" t="s">
        <v>686</v>
      </c>
      <c r="W678" s="2" t="s">
        <v>38</v>
      </c>
      <c r="X678" s="3">
        <v>41219</v>
      </c>
      <c r="Y678" s="2" t="s">
        <v>2157</v>
      </c>
      <c r="Z678" s="4"/>
      <c r="AA678" s="2" t="s">
        <v>672</v>
      </c>
      <c r="AB678" s="2" t="s">
        <v>2135</v>
      </c>
      <c r="AC678" s="12">
        <f t="shared" si="60"/>
        <v>2012</v>
      </c>
      <c r="AD678" s="12">
        <f t="shared" si="61"/>
        <v>11</v>
      </c>
      <c r="AE678" s="12">
        <f t="shared" si="62"/>
        <v>6</v>
      </c>
      <c r="AF678" s="16">
        <f t="shared" si="63"/>
        <v>17.2</v>
      </c>
      <c r="AG678" s="16">
        <f t="shared" si="64"/>
        <v>31.9</v>
      </c>
      <c r="AH678" s="16" t="str">
        <f t="shared" si="65"/>
        <v/>
      </c>
    </row>
    <row r="679" spans="1:34" x14ac:dyDescent="0.35">
      <c r="A679" s="2" t="s">
        <v>2161</v>
      </c>
      <c r="B679" s="2" t="s">
        <v>29</v>
      </c>
      <c r="C679" s="2" t="s">
        <v>30</v>
      </c>
      <c r="D679" s="2" t="s">
        <v>111</v>
      </c>
      <c r="E679" s="2" t="s">
        <v>66</v>
      </c>
      <c r="F679" s="2" t="s">
        <v>515</v>
      </c>
      <c r="G679" s="2" t="s">
        <v>34</v>
      </c>
      <c r="H679" s="2" t="s">
        <v>87</v>
      </c>
      <c r="I679" s="2" t="s">
        <v>128</v>
      </c>
      <c r="J679" s="2" t="s">
        <v>37</v>
      </c>
      <c r="K679" s="2" t="s">
        <v>38</v>
      </c>
      <c r="L679" s="2" t="s">
        <v>38</v>
      </c>
      <c r="M679" s="2" t="s">
        <v>39</v>
      </c>
      <c r="N679" s="2" t="s">
        <v>38</v>
      </c>
      <c r="O679" s="2" t="s">
        <v>38</v>
      </c>
      <c r="P679" s="2" t="s">
        <v>1539</v>
      </c>
      <c r="Q679" s="2" t="s">
        <v>38</v>
      </c>
      <c r="R679" s="2" t="s">
        <v>41</v>
      </c>
      <c r="S679" s="2" t="s">
        <v>1206</v>
      </c>
      <c r="T679" s="2" t="s">
        <v>903</v>
      </c>
      <c r="U679" s="2" t="s">
        <v>1502</v>
      </c>
      <c r="V679" s="2" t="s">
        <v>1005</v>
      </c>
      <c r="W679" s="2" t="s">
        <v>38</v>
      </c>
      <c r="X679" s="3">
        <v>41220</v>
      </c>
      <c r="Y679" s="2" t="s">
        <v>2162</v>
      </c>
      <c r="Z679" s="34"/>
      <c r="AA679" s="2" t="s">
        <v>672</v>
      </c>
      <c r="AB679" s="2" t="s">
        <v>2135</v>
      </c>
      <c r="AC679" s="12">
        <f t="shared" si="60"/>
        <v>2012</v>
      </c>
      <c r="AD679" s="12">
        <f t="shared" si="61"/>
        <v>11</v>
      </c>
      <c r="AE679" s="12">
        <f t="shared" si="62"/>
        <v>7</v>
      </c>
      <c r="AF679" s="16">
        <f t="shared" si="63"/>
        <v>15</v>
      </c>
      <c r="AG679" s="16">
        <f t="shared" si="64"/>
        <v>32.4</v>
      </c>
      <c r="AH679" s="16" t="str">
        <f t="shared" si="65"/>
        <v/>
      </c>
    </row>
    <row r="680" spans="1:34" x14ac:dyDescent="0.35">
      <c r="A680" s="2" t="s">
        <v>2165</v>
      </c>
      <c r="B680" s="2" t="s">
        <v>29</v>
      </c>
      <c r="C680" s="2" t="s">
        <v>30</v>
      </c>
      <c r="D680" s="2" t="s">
        <v>77</v>
      </c>
      <c r="E680" s="2" t="s">
        <v>104</v>
      </c>
      <c r="F680" s="2" t="s">
        <v>275</v>
      </c>
      <c r="G680" s="2" t="s">
        <v>34</v>
      </c>
      <c r="H680" s="2" t="s">
        <v>180</v>
      </c>
      <c r="I680" s="2" t="s">
        <v>114</v>
      </c>
      <c r="J680" s="2" t="s">
        <v>37</v>
      </c>
      <c r="K680" s="2" t="s">
        <v>38</v>
      </c>
      <c r="L680" s="2" t="s">
        <v>38</v>
      </c>
      <c r="M680" s="2" t="s">
        <v>39</v>
      </c>
      <c r="N680" s="2" t="s">
        <v>38</v>
      </c>
      <c r="O680" s="2" t="s">
        <v>38</v>
      </c>
      <c r="P680" s="2" t="s">
        <v>677</v>
      </c>
      <c r="Q680" s="2" t="s">
        <v>38</v>
      </c>
      <c r="R680" s="2" t="s">
        <v>98</v>
      </c>
      <c r="S680" s="2" t="s">
        <v>1081</v>
      </c>
      <c r="T680" s="2" t="s">
        <v>73</v>
      </c>
      <c r="U680" s="2" t="s">
        <v>81</v>
      </c>
      <c r="V680" s="2" t="s">
        <v>124</v>
      </c>
      <c r="W680" s="2" t="s">
        <v>38</v>
      </c>
      <c r="X680" s="3">
        <v>41221</v>
      </c>
      <c r="Y680" s="2" t="s">
        <v>2168</v>
      </c>
      <c r="Z680" s="4"/>
      <c r="AA680" s="2" t="s">
        <v>672</v>
      </c>
      <c r="AB680" s="2" t="s">
        <v>2135</v>
      </c>
      <c r="AC680" s="12">
        <f t="shared" si="60"/>
        <v>2012</v>
      </c>
      <c r="AD680" s="12">
        <f t="shared" si="61"/>
        <v>11</v>
      </c>
      <c r="AE680" s="12">
        <f t="shared" si="62"/>
        <v>8</v>
      </c>
      <c r="AF680" s="16">
        <f t="shared" si="63"/>
        <v>13.5</v>
      </c>
      <c r="AG680" s="16">
        <f t="shared" si="64"/>
        <v>32.700000000000003</v>
      </c>
      <c r="AH680" s="16" t="str">
        <f t="shared" si="65"/>
        <v/>
      </c>
    </row>
    <row r="681" spans="1:34" x14ac:dyDescent="0.35">
      <c r="A681" s="2" t="s">
        <v>2169</v>
      </c>
      <c r="B681" s="2" t="s">
        <v>29</v>
      </c>
      <c r="C681" s="2" t="s">
        <v>30</v>
      </c>
      <c r="D681" s="2" t="s">
        <v>111</v>
      </c>
      <c r="E681" s="2" t="s">
        <v>165</v>
      </c>
      <c r="F681" s="2" t="s">
        <v>330</v>
      </c>
      <c r="G681" s="2" t="s">
        <v>34</v>
      </c>
      <c r="H681" s="2" t="s">
        <v>127</v>
      </c>
      <c r="I681" s="2" t="s">
        <v>114</v>
      </c>
      <c r="J681" s="2" t="s">
        <v>37</v>
      </c>
      <c r="K681" s="2" t="s">
        <v>38</v>
      </c>
      <c r="L681" s="2" t="s">
        <v>38</v>
      </c>
      <c r="M681" s="2" t="s">
        <v>39</v>
      </c>
      <c r="N681" s="2" t="s">
        <v>38</v>
      </c>
      <c r="O681" s="2" t="s">
        <v>38</v>
      </c>
      <c r="P681" s="2" t="s">
        <v>115</v>
      </c>
      <c r="Q681" s="2" t="s">
        <v>38</v>
      </c>
      <c r="R681" s="2" t="s">
        <v>98</v>
      </c>
      <c r="S681" s="2" t="s">
        <v>99</v>
      </c>
      <c r="T681" s="2" t="s">
        <v>90</v>
      </c>
      <c r="U681" s="2" t="s">
        <v>2172</v>
      </c>
      <c r="V681" s="2" t="s">
        <v>842</v>
      </c>
      <c r="W681" s="2" t="s">
        <v>38</v>
      </c>
      <c r="X681" s="3">
        <v>41222</v>
      </c>
      <c r="Y681" s="2" t="s">
        <v>2173</v>
      </c>
      <c r="Z681" s="34"/>
      <c r="AA681" s="2" t="s">
        <v>672</v>
      </c>
      <c r="AB681" s="2" t="s">
        <v>2135</v>
      </c>
      <c r="AC681" s="12">
        <f t="shared" si="60"/>
        <v>2012</v>
      </c>
      <c r="AD681" s="12">
        <f t="shared" si="61"/>
        <v>11</v>
      </c>
      <c r="AE681" s="12">
        <f t="shared" si="62"/>
        <v>9</v>
      </c>
      <c r="AF681" s="16">
        <f t="shared" si="63"/>
        <v>9.4</v>
      </c>
      <c r="AG681" s="16">
        <f t="shared" si="64"/>
        <v>32.5</v>
      </c>
      <c r="AH681" s="16" t="str">
        <f t="shared" si="65"/>
        <v/>
      </c>
    </row>
    <row r="682" spans="1:34" x14ac:dyDescent="0.35">
      <c r="A682" s="2" t="s">
        <v>2174</v>
      </c>
      <c r="B682" s="2" t="s">
        <v>29</v>
      </c>
      <c r="C682" s="2" t="s">
        <v>30</v>
      </c>
      <c r="D682" s="2" t="s">
        <v>111</v>
      </c>
      <c r="E682" s="2" t="s">
        <v>66</v>
      </c>
      <c r="F682" s="2" t="s">
        <v>320</v>
      </c>
      <c r="G682" s="2" t="s">
        <v>34</v>
      </c>
      <c r="H682" s="2" t="s">
        <v>379</v>
      </c>
      <c r="I682" s="2" t="s">
        <v>114</v>
      </c>
      <c r="J682" s="2" t="s">
        <v>37</v>
      </c>
      <c r="K682" s="2" t="s">
        <v>38</v>
      </c>
      <c r="L682" s="2" t="s">
        <v>38</v>
      </c>
      <c r="M682" s="2" t="s">
        <v>39</v>
      </c>
      <c r="N682" s="2" t="s">
        <v>38</v>
      </c>
      <c r="O682" s="2" t="s">
        <v>38</v>
      </c>
      <c r="P682" s="2" t="s">
        <v>1446</v>
      </c>
      <c r="Q682" s="2" t="s">
        <v>38</v>
      </c>
      <c r="R682" s="2" t="s">
        <v>41</v>
      </c>
      <c r="S682" s="2" t="s">
        <v>735</v>
      </c>
      <c r="T682" s="2" t="s">
        <v>345</v>
      </c>
      <c r="U682" s="2" t="s">
        <v>481</v>
      </c>
      <c r="V682" s="2" t="s">
        <v>883</v>
      </c>
      <c r="W682" s="2" t="s">
        <v>38</v>
      </c>
      <c r="X682" s="3">
        <v>41223</v>
      </c>
      <c r="Y682" s="2" t="s">
        <v>2175</v>
      </c>
      <c r="Z682" s="4"/>
      <c r="AA682" s="2" t="s">
        <v>672</v>
      </c>
      <c r="AB682" s="2" t="s">
        <v>2135</v>
      </c>
      <c r="AC682" s="12">
        <f t="shared" si="60"/>
        <v>2012</v>
      </c>
      <c r="AD682" s="12">
        <f t="shared" si="61"/>
        <v>11</v>
      </c>
      <c r="AE682" s="12">
        <f t="shared" si="62"/>
        <v>10</v>
      </c>
      <c r="AF682" s="16">
        <f t="shared" si="63"/>
        <v>14.5</v>
      </c>
      <c r="AG682" s="16">
        <f t="shared" si="64"/>
        <v>32.6</v>
      </c>
      <c r="AH682" s="16" t="str">
        <f t="shared" si="65"/>
        <v/>
      </c>
    </row>
    <row r="683" spans="1:34" x14ac:dyDescent="0.35">
      <c r="A683" s="2" t="s">
        <v>2178</v>
      </c>
      <c r="B683" s="2" t="s">
        <v>29</v>
      </c>
      <c r="C683" s="2" t="s">
        <v>30</v>
      </c>
      <c r="D683" s="2" t="s">
        <v>111</v>
      </c>
      <c r="E683" s="2" t="s">
        <v>104</v>
      </c>
      <c r="F683" s="2" t="s">
        <v>1920</v>
      </c>
      <c r="G683" s="2" t="s">
        <v>34</v>
      </c>
      <c r="H683" s="2" t="s">
        <v>180</v>
      </c>
      <c r="I683" s="2" t="s">
        <v>128</v>
      </c>
      <c r="J683" s="2" t="s">
        <v>37</v>
      </c>
      <c r="K683" s="2" t="s">
        <v>38</v>
      </c>
      <c r="L683" s="2" t="s">
        <v>38</v>
      </c>
      <c r="M683" s="2" t="s">
        <v>39</v>
      </c>
      <c r="N683" s="2" t="s">
        <v>38</v>
      </c>
      <c r="O683" s="2" t="s">
        <v>38</v>
      </c>
      <c r="P683" s="2" t="s">
        <v>1505</v>
      </c>
      <c r="Q683" s="2" t="s">
        <v>38</v>
      </c>
      <c r="R683" s="2" t="s">
        <v>759</v>
      </c>
      <c r="S683" s="2" t="s">
        <v>735</v>
      </c>
      <c r="T683" s="2" t="s">
        <v>345</v>
      </c>
      <c r="U683" s="2" t="s">
        <v>116</v>
      </c>
      <c r="V683" s="2" t="s">
        <v>124</v>
      </c>
      <c r="W683" s="2" t="s">
        <v>38</v>
      </c>
      <c r="X683" s="3">
        <v>41224</v>
      </c>
      <c r="Y683" s="2" t="s">
        <v>2179</v>
      </c>
      <c r="Z683" s="34"/>
      <c r="AA683" s="2" t="s">
        <v>672</v>
      </c>
      <c r="AB683" s="2" t="s">
        <v>2135</v>
      </c>
      <c r="AC683" s="12">
        <f t="shared" si="60"/>
        <v>2012</v>
      </c>
      <c r="AD683" s="12">
        <f t="shared" si="61"/>
        <v>11</v>
      </c>
      <c r="AE683" s="12">
        <f t="shared" si="62"/>
        <v>11</v>
      </c>
      <c r="AF683" s="16">
        <f t="shared" si="63"/>
        <v>13.5</v>
      </c>
      <c r="AG683" s="16">
        <f t="shared" si="64"/>
        <v>31.6</v>
      </c>
      <c r="AH683" s="16" t="str">
        <f t="shared" si="65"/>
        <v/>
      </c>
    </row>
    <row r="684" spans="1:34" x14ac:dyDescent="0.35">
      <c r="A684" s="2" t="s">
        <v>2182</v>
      </c>
      <c r="B684" s="2" t="s">
        <v>29</v>
      </c>
      <c r="C684" s="2" t="s">
        <v>30</v>
      </c>
      <c r="D684" s="2" t="s">
        <v>31</v>
      </c>
      <c r="E684" s="2" t="s">
        <v>51</v>
      </c>
      <c r="F684" s="2" t="s">
        <v>370</v>
      </c>
      <c r="G684" s="2" t="s">
        <v>34</v>
      </c>
      <c r="H684" s="2" t="s">
        <v>137</v>
      </c>
      <c r="I684" s="2" t="s">
        <v>36</v>
      </c>
      <c r="J684" s="2" t="s">
        <v>37</v>
      </c>
      <c r="K684" s="2" t="s">
        <v>38</v>
      </c>
      <c r="L684" s="2" t="s">
        <v>38</v>
      </c>
      <c r="M684" s="2" t="s">
        <v>39</v>
      </c>
      <c r="N684" s="2" t="s">
        <v>38</v>
      </c>
      <c r="O684" s="2" t="s">
        <v>38</v>
      </c>
      <c r="P684" s="2" t="s">
        <v>80</v>
      </c>
      <c r="Q684" s="2" t="s">
        <v>38</v>
      </c>
      <c r="R684" s="2" t="s">
        <v>41</v>
      </c>
      <c r="S684" s="2" t="s">
        <v>503</v>
      </c>
      <c r="T684" s="2" t="s">
        <v>362</v>
      </c>
      <c r="U684" s="2" t="s">
        <v>100</v>
      </c>
      <c r="V684" s="2" t="s">
        <v>91</v>
      </c>
      <c r="W684" s="2" t="s">
        <v>38</v>
      </c>
      <c r="X684" s="3">
        <v>41225</v>
      </c>
      <c r="Y684" s="2" t="s">
        <v>2183</v>
      </c>
      <c r="Z684" s="4"/>
      <c r="AA684" s="2" t="s">
        <v>672</v>
      </c>
      <c r="AB684" s="2" t="s">
        <v>2135</v>
      </c>
      <c r="AC684" s="12">
        <f t="shared" si="60"/>
        <v>2012</v>
      </c>
      <c r="AD684" s="12">
        <f t="shared" si="61"/>
        <v>11</v>
      </c>
      <c r="AE684" s="12">
        <f t="shared" si="62"/>
        <v>12</v>
      </c>
      <c r="AF684" s="16">
        <f t="shared" si="63"/>
        <v>17.399999999999999</v>
      </c>
      <c r="AG684" s="16">
        <f t="shared" si="64"/>
        <v>30.9</v>
      </c>
      <c r="AH684" s="16" t="str">
        <f t="shared" si="65"/>
        <v/>
      </c>
    </row>
    <row r="685" spans="1:34" x14ac:dyDescent="0.35">
      <c r="A685" s="2" t="s">
        <v>2185</v>
      </c>
      <c r="B685" s="2" t="s">
        <v>29</v>
      </c>
      <c r="C685" s="2" t="s">
        <v>30</v>
      </c>
      <c r="D685" s="2" t="s">
        <v>31</v>
      </c>
      <c r="E685" s="2" t="s">
        <v>30</v>
      </c>
      <c r="F685" s="2" t="s">
        <v>684</v>
      </c>
      <c r="G685" s="2" t="s">
        <v>34</v>
      </c>
      <c r="H685" s="2" t="s">
        <v>877</v>
      </c>
      <c r="I685" s="2" t="s">
        <v>36</v>
      </c>
      <c r="J685" s="2" t="s">
        <v>37</v>
      </c>
      <c r="K685" s="2" t="s">
        <v>38</v>
      </c>
      <c r="L685" s="2" t="s">
        <v>38</v>
      </c>
      <c r="M685" s="2" t="s">
        <v>39</v>
      </c>
      <c r="N685" s="2" t="s">
        <v>38</v>
      </c>
      <c r="O685" s="2" t="s">
        <v>38</v>
      </c>
      <c r="P685" s="2" t="s">
        <v>80</v>
      </c>
      <c r="Q685" s="2" t="s">
        <v>38</v>
      </c>
      <c r="R685" s="2" t="s">
        <v>41</v>
      </c>
      <c r="S685" s="2" t="s">
        <v>2071</v>
      </c>
      <c r="T685" s="2" t="s">
        <v>417</v>
      </c>
      <c r="U685" s="2" t="s">
        <v>278</v>
      </c>
      <c r="V685" s="2" t="s">
        <v>859</v>
      </c>
      <c r="W685" s="2" t="s">
        <v>38</v>
      </c>
      <c r="X685" s="3">
        <v>41226</v>
      </c>
      <c r="Y685" s="2" t="s">
        <v>2186</v>
      </c>
      <c r="Z685" s="34"/>
      <c r="AA685" s="2" t="s">
        <v>672</v>
      </c>
      <c r="AB685" s="2" t="s">
        <v>2135</v>
      </c>
      <c r="AC685" s="12">
        <f t="shared" si="60"/>
        <v>2012</v>
      </c>
      <c r="AD685" s="12">
        <f t="shared" si="61"/>
        <v>11</v>
      </c>
      <c r="AE685" s="12">
        <f t="shared" si="62"/>
        <v>13</v>
      </c>
      <c r="AF685" s="16">
        <f t="shared" si="63"/>
        <v>12.2</v>
      </c>
      <c r="AG685" s="16">
        <f t="shared" si="64"/>
        <v>30.9</v>
      </c>
      <c r="AH685" s="16" t="str">
        <f t="shared" si="65"/>
        <v/>
      </c>
    </row>
    <row r="686" spans="1:34" x14ac:dyDescent="0.35">
      <c r="A686" s="2" t="s">
        <v>2190</v>
      </c>
      <c r="B686" s="2" t="s">
        <v>29</v>
      </c>
      <c r="C686" s="2" t="s">
        <v>30</v>
      </c>
      <c r="D686" s="2" t="s">
        <v>171</v>
      </c>
      <c r="E686" s="2" t="s">
        <v>30</v>
      </c>
      <c r="F686" s="2" t="s">
        <v>1310</v>
      </c>
      <c r="G686" s="2" t="s">
        <v>34</v>
      </c>
      <c r="H686" s="2" t="s">
        <v>734</v>
      </c>
      <c r="I686" s="2" t="s">
        <v>36</v>
      </c>
      <c r="J686" s="2" t="s">
        <v>37</v>
      </c>
      <c r="K686" s="2" t="s">
        <v>38</v>
      </c>
      <c r="L686" s="2" t="s">
        <v>38</v>
      </c>
      <c r="M686" s="2" t="s">
        <v>39</v>
      </c>
      <c r="N686" s="2" t="s">
        <v>38</v>
      </c>
      <c r="O686" s="2" t="s">
        <v>38</v>
      </c>
      <c r="P686" s="2" t="s">
        <v>40</v>
      </c>
      <c r="Q686" s="2" t="s">
        <v>38</v>
      </c>
      <c r="R686" s="2" t="s">
        <v>41</v>
      </c>
      <c r="S686" s="2" t="s">
        <v>2192</v>
      </c>
      <c r="T686" s="2" t="s">
        <v>345</v>
      </c>
      <c r="U686" s="2" t="s">
        <v>265</v>
      </c>
      <c r="V686" s="2" t="s">
        <v>859</v>
      </c>
      <c r="W686" s="2" t="s">
        <v>38</v>
      </c>
      <c r="X686" s="3">
        <v>41227</v>
      </c>
      <c r="Y686" s="2" t="s">
        <v>2193</v>
      </c>
      <c r="Z686" s="4"/>
      <c r="AA686" s="2" t="s">
        <v>672</v>
      </c>
      <c r="AB686" s="2" t="s">
        <v>2135</v>
      </c>
      <c r="AC686" s="12">
        <f t="shared" si="60"/>
        <v>2012</v>
      </c>
      <c r="AD686" s="12">
        <f t="shared" si="61"/>
        <v>11</v>
      </c>
      <c r="AE686" s="12">
        <f t="shared" si="62"/>
        <v>14</v>
      </c>
      <c r="AF686" s="16">
        <f t="shared" si="63"/>
        <v>12.2</v>
      </c>
      <c r="AG686" s="16">
        <f t="shared" si="64"/>
        <v>30.6</v>
      </c>
      <c r="AH686" s="16" t="str">
        <f t="shared" si="65"/>
        <v/>
      </c>
    </row>
    <row r="687" spans="1:34" x14ac:dyDescent="0.35">
      <c r="A687" s="2" t="s">
        <v>2194</v>
      </c>
      <c r="B687" s="2" t="s">
        <v>29</v>
      </c>
      <c r="C687" s="2" t="s">
        <v>30</v>
      </c>
      <c r="D687" s="2" t="s">
        <v>171</v>
      </c>
      <c r="E687" s="2" t="s">
        <v>104</v>
      </c>
      <c r="F687" s="2" t="s">
        <v>378</v>
      </c>
      <c r="G687" s="2" t="s">
        <v>34</v>
      </c>
      <c r="H687" s="2" t="s">
        <v>79</v>
      </c>
      <c r="I687" s="2" t="s">
        <v>111</v>
      </c>
      <c r="J687" s="2" t="s">
        <v>37</v>
      </c>
      <c r="K687" s="2" t="s">
        <v>38</v>
      </c>
      <c r="L687" s="2" t="s">
        <v>38</v>
      </c>
      <c r="M687" s="2" t="s">
        <v>39</v>
      </c>
      <c r="N687" s="2" t="s">
        <v>38</v>
      </c>
      <c r="O687" s="2" t="s">
        <v>38</v>
      </c>
      <c r="P687" s="2" t="s">
        <v>264</v>
      </c>
      <c r="Q687" s="2" t="s">
        <v>38</v>
      </c>
      <c r="R687" s="2" t="s">
        <v>41</v>
      </c>
      <c r="S687" s="2" t="s">
        <v>167</v>
      </c>
      <c r="T687" s="2" t="s">
        <v>131</v>
      </c>
      <c r="U687" s="2" t="s">
        <v>996</v>
      </c>
      <c r="V687" s="2" t="s">
        <v>161</v>
      </c>
      <c r="W687" s="2" t="s">
        <v>38</v>
      </c>
      <c r="X687" s="3">
        <v>41228</v>
      </c>
      <c r="Y687" s="2" t="s">
        <v>2195</v>
      </c>
      <c r="Z687" s="34"/>
      <c r="AA687" s="2" t="s">
        <v>672</v>
      </c>
      <c r="AB687" s="2" t="s">
        <v>2135</v>
      </c>
      <c r="AC687" s="12">
        <f t="shared" si="60"/>
        <v>2012</v>
      </c>
      <c r="AD687" s="12">
        <f t="shared" si="61"/>
        <v>11</v>
      </c>
      <c r="AE687" s="12">
        <f t="shared" si="62"/>
        <v>15</v>
      </c>
      <c r="AF687" s="16">
        <f t="shared" si="63"/>
        <v>12.9</v>
      </c>
      <c r="AG687" s="16">
        <f t="shared" si="64"/>
        <v>30</v>
      </c>
      <c r="AH687" s="16" t="str">
        <f t="shared" si="65"/>
        <v/>
      </c>
    </row>
    <row r="688" spans="1:34" x14ac:dyDescent="0.35">
      <c r="A688" s="2" t="s">
        <v>2197</v>
      </c>
      <c r="B688" s="2" t="s">
        <v>29</v>
      </c>
      <c r="C688" s="2" t="s">
        <v>30</v>
      </c>
      <c r="D688" s="2" t="s">
        <v>171</v>
      </c>
      <c r="E688" s="2" t="s">
        <v>142</v>
      </c>
      <c r="F688" s="2" t="s">
        <v>638</v>
      </c>
      <c r="G688" s="2" t="s">
        <v>34</v>
      </c>
      <c r="H688" s="2" t="s">
        <v>144</v>
      </c>
      <c r="I688" s="2" t="s">
        <v>77</v>
      </c>
      <c r="J688" s="2" t="s">
        <v>37</v>
      </c>
      <c r="K688" s="2" t="s">
        <v>38</v>
      </c>
      <c r="L688" s="2" t="s">
        <v>38</v>
      </c>
      <c r="M688" s="2" t="s">
        <v>39</v>
      </c>
      <c r="N688" s="2" t="s">
        <v>38</v>
      </c>
      <c r="O688" s="2" t="s">
        <v>38</v>
      </c>
      <c r="P688" s="2" t="s">
        <v>2087</v>
      </c>
      <c r="Q688" s="2" t="s">
        <v>38</v>
      </c>
      <c r="R688" s="2" t="s">
        <v>98</v>
      </c>
      <c r="S688" s="2" t="s">
        <v>167</v>
      </c>
      <c r="T688" s="2" t="s">
        <v>73</v>
      </c>
      <c r="U688" s="2" t="s">
        <v>175</v>
      </c>
      <c r="V688" s="2" t="s">
        <v>197</v>
      </c>
      <c r="W688" s="2" t="s">
        <v>38</v>
      </c>
      <c r="X688" s="3">
        <v>41229</v>
      </c>
      <c r="Y688" s="2" t="s">
        <v>2198</v>
      </c>
      <c r="Z688" s="34"/>
      <c r="AA688" s="2" t="s">
        <v>672</v>
      </c>
      <c r="AB688" s="2" t="s">
        <v>2135</v>
      </c>
      <c r="AC688" s="12">
        <f t="shared" si="60"/>
        <v>2012</v>
      </c>
      <c r="AD688" s="12">
        <f t="shared" si="61"/>
        <v>11</v>
      </c>
      <c r="AE688" s="12">
        <f t="shared" si="62"/>
        <v>16</v>
      </c>
      <c r="AF688" s="16">
        <f t="shared" si="63"/>
        <v>10.6</v>
      </c>
      <c r="AG688" s="16">
        <f t="shared" si="64"/>
        <v>29.2</v>
      </c>
      <c r="AH688" s="16" t="str">
        <f t="shared" si="65"/>
        <v/>
      </c>
    </row>
    <row r="689" spans="1:34" x14ac:dyDescent="0.35">
      <c r="A689" s="2" t="s">
        <v>2201</v>
      </c>
      <c r="B689" s="2" t="s">
        <v>29</v>
      </c>
      <c r="C689" s="2" t="s">
        <v>30</v>
      </c>
      <c r="D689" s="2" t="s">
        <v>171</v>
      </c>
      <c r="E689" s="2" t="s">
        <v>165</v>
      </c>
      <c r="F689" s="2" t="s">
        <v>747</v>
      </c>
      <c r="G689" s="2" t="s">
        <v>34</v>
      </c>
      <c r="H689" s="2" t="s">
        <v>173</v>
      </c>
      <c r="I689" s="2" t="s">
        <v>31</v>
      </c>
      <c r="J689" s="2" t="s">
        <v>37</v>
      </c>
      <c r="K689" s="2" t="s">
        <v>38</v>
      </c>
      <c r="L689" s="2" t="s">
        <v>38</v>
      </c>
      <c r="M689" s="2" t="s">
        <v>39</v>
      </c>
      <c r="N689" s="2" t="s">
        <v>38</v>
      </c>
      <c r="O689" s="2" t="s">
        <v>38</v>
      </c>
      <c r="P689" s="2" t="s">
        <v>1661</v>
      </c>
      <c r="Q689" s="2" t="s">
        <v>38</v>
      </c>
      <c r="R689" s="2" t="s">
        <v>98</v>
      </c>
      <c r="S689" s="2" t="s">
        <v>89</v>
      </c>
      <c r="T689" s="2" t="s">
        <v>90</v>
      </c>
      <c r="U689" s="2" t="s">
        <v>407</v>
      </c>
      <c r="V689" s="2" t="s">
        <v>333</v>
      </c>
      <c r="W689" s="2" t="s">
        <v>38</v>
      </c>
      <c r="X689" s="3">
        <v>41230</v>
      </c>
      <c r="Y689" s="2" t="s">
        <v>2202</v>
      </c>
      <c r="Z689" s="4"/>
      <c r="AA689" s="2" t="s">
        <v>672</v>
      </c>
      <c r="AB689" s="2" t="s">
        <v>2135</v>
      </c>
      <c r="AC689" s="12">
        <f t="shared" si="60"/>
        <v>2012</v>
      </c>
      <c r="AD689" s="12">
        <f t="shared" si="61"/>
        <v>11</v>
      </c>
      <c r="AE689" s="12">
        <f t="shared" si="62"/>
        <v>17</v>
      </c>
      <c r="AF689" s="16">
        <f t="shared" si="63"/>
        <v>9</v>
      </c>
      <c r="AG689" s="16">
        <f t="shared" si="64"/>
        <v>28.3</v>
      </c>
      <c r="AH689" s="16" t="str">
        <f t="shared" si="65"/>
        <v/>
      </c>
    </row>
    <row r="690" spans="1:34" x14ac:dyDescent="0.35">
      <c r="A690" s="2" t="s">
        <v>2206</v>
      </c>
      <c r="B690" s="2" t="s">
        <v>29</v>
      </c>
      <c r="C690" s="2" t="s">
        <v>30</v>
      </c>
      <c r="D690" s="2" t="s">
        <v>171</v>
      </c>
      <c r="E690" s="2" t="s">
        <v>410</v>
      </c>
      <c r="F690" s="2" t="s">
        <v>320</v>
      </c>
      <c r="G690" s="2" t="s">
        <v>34</v>
      </c>
      <c r="H690" s="2" t="s">
        <v>947</v>
      </c>
      <c r="I690" s="2" t="s">
        <v>77</v>
      </c>
      <c r="J690" s="2" t="s">
        <v>37</v>
      </c>
      <c r="K690" s="2" t="s">
        <v>38</v>
      </c>
      <c r="L690" s="2" t="s">
        <v>38</v>
      </c>
      <c r="M690" s="2" t="s">
        <v>39</v>
      </c>
      <c r="N690" s="2" t="s">
        <v>38</v>
      </c>
      <c r="O690" s="2" t="s">
        <v>38</v>
      </c>
      <c r="P690" s="2" t="s">
        <v>495</v>
      </c>
      <c r="Q690" s="2" t="s">
        <v>38</v>
      </c>
      <c r="R690" s="2" t="s">
        <v>98</v>
      </c>
      <c r="S690" s="2" t="s">
        <v>89</v>
      </c>
      <c r="T690" s="2" t="s">
        <v>90</v>
      </c>
      <c r="U690" s="2" t="s">
        <v>381</v>
      </c>
      <c r="V690" s="2" t="s">
        <v>413</v>
      </c>
      <c r="W690" s="2" t="s">
        <v>38</v>
      </c>
      <c r="X690" s="3">
        <v>41231</v>
      </c>
      <c r="Y690" s="2" t="s">
        <v>2209</v>
      </c>
      <c r="Z690" s="34"/>
      <c r="AA690" s="2" t="s">
        <v>672</v>
      </c>
      <c r="AB690" s="2" t="s">
        <v>2135</v>
      </c>
      <c r="AC690" s="12">
        <f t="shared" si="60"/>
        <v>2012</v>
      </c>
      <c r="AD690" s="12">
        <f t="shared" si="61"/>
        <v>11</v>
      </c>
      <c r="AE690" s="12">
        <f t="shared" si="62"/>
        <v>18</v>
      </c>
      <c r="AF690" s="16">
        <f t="shared" si="63"/>
        <v>9.5</v>
      </c>
      <c r="AG690" s="16">
        <f t="shared" si="64"/>
        <v>29.3</v>
      </c>
      <c r="AH690" s="16" t="str">
        <f t="shared" si="65"/>
        <v/>
      </c>
    </row>
    <row r="691" spans="1:34" x14ac:dyDescent="0.35">
      <c r="A691" s="2" t="s">
        <v>2210</v>
      </c>
      <c r="B691" s="2" t="s">
        <v>29</v>
      </c>
      <c r="C691" s="2" t="s">
        <v>30</v>
      </c>
      <c r="D691" s="2" t="s">
        <v>171</v>
      </c>
      <c r="E691" s="2" t="s">
        <v>142</v>
      </c>
      <c r="F691" s="2" t="s">
        <v>955</v>
      </c>
      <c r="G691" s="2" t="s">
        <v>34</v>
      </c>
      <c r="H691" s="2" t="s">
        <v>79</v>
      </c>
      <c r="I691" s="2" t="s">
        <v>77</v>
      </c>
      <c r="J691" s="2" t="s">
        <v>37</v>
      </c>
      <c r="K691" s="2" t="s">
        <v>38</v>
      </c>
      <c r="L691" s="2" t="s">
        <v>38</v>
      </c>
      <c r="M691" s="2" t="s">
        <v>39</v>
      </c>
      <c r="N691" s="2" t="s">
        <v>38</v>
      </c>
      <c r="O691" s="2" t="s">
        <v>38</v>
      </c>
      <c r="P691" s="2" t="s">
        <v>2213</v>
      </c>
      <c r="Q691" s="2" t="s">
        <v>38</v>
      </c>
      <c r="R691" s="2" t="s">
        <v>98</v>
      </c>
      <c r="S691" s="2" t="s">
        <v>89</v>
      </c>
      <c r="T691" s="2" t="s">
        <v>90</v>
      </c>
      <c r="U691" s="2" t="s">
        <v>2133</v>
      </c>
      <c r="V691" s="2" t="s">
        <v>382</v>
      </c>
      <c r="W691" s="2" t="s">
        <v>38</v>
      </c>
      <c r="X691" s="3">
        <v>41232</v>
      </c>
      <c r="Y691" s="2" t="s">
        <v>2214</v>
      </c>
      <c r="Z691" s="4"/>
      <c r="AA691" s="2" t="s">
        <v>672</v>
      </c>
      <c r="AB691" s="2" t="s">
        <v>2135</v>
      </c>
      <c r="AC691" s="12">
        <f t="shared" si="60"/>
        <v>2012</v>
      </c>
      <c r="AD691" s="12">
        <f t="shared" si="61"/>
        <v>11</v>
      </c>
      <c r="AE691" s="12">
        <f t="shared" si="62"/>
        <v>19</v>
      </c>
      <c r="AF691" s="16">
        <f t="shared" si="63"/>
        <v>10.9</v>
      </c>
      <c r="AG691" s="16">
        <f t="shared" si="64"/>
        <v>29.4</v>
      </c>
      <c r="AH691" s="16" t="str">
        <f t="shared" si="65"/>
        <v/>
      </c>
    </row>
    <row r="692" spans="1:34" x14ac:dyDescent="0.35">
      <c r="A692" s="2" t="s">
        <v>2215</v>
      </c>
      <c r="B692" s="2" t="s">
        <v>29</v>
      </c>
      <c r="C692" s="2" t="s">
        <v>30</v>
      </c>
      <c r="D692" s="2" t="s">
        <v>171</v>
      </c>
      <c r="E692" s="2" t="s">
        <v>104</v>
      </c>
      <c r="F692" s="2" t="s">
        <v>1310</v>
      </c>
      <c r="G692" s="2" t="s">
        <v>34</v>
      </c>
      <c r="H692" s="2" t="s">
        <v>371</v>
      </c>
      <c r="I692" s="2" t="s">
        <v>77</v>
      </c>
      <c r="J692" s="2" t="s">
        <v>37</v>
      </c>
      <c r="K692" s="2" t="s">
        <v>38</v>
      </c>
      <c r="L692" s="2" t="s">
        <v>38</v>
      </c>
      <c r="M692" s="2" t="s">
        <v>39</v>
      </c>
      <c r="N692" s="2" t="s">
        <v>38</v>
      </c>
      <c r="O692" s="2" t="s">
        <v>38</v>
      </c>
      <c r="P692" s="2" t="s">
        <v>2087</v>
      </c>
      <c r="Q692" s="2" t="s">
        <v>38</v>
      </c>
      <c r="R692" s="2" t="s">
        <v>98</v>
      </c>
      <c r="S692" s="2" t="s">
        <v>89</v>
      </c>
      <c r="T692" s="2" t="s">
        <v>90</v>
      </c>
      <c r="U692" s="2" t="s">
        <v>265</v>
      </c>
      <c r="V692" s="2" t="s">
        <v>168</v>
      </c>
      <c r="W692" s="2" t="s">
        <v>38</v>
      </c>
      <c r="X692" s="3">
        <v>41233</v>
      </c>
      <c r="Y692" s="2" t="s">
        <v>2216</v>
      </c>
      <c r="Z692" s="4"/>
      <c r="AA692" s="2" t="s">
        <v>672</v>
      </c>
      <c r="AB692" s="2" t="s">
        <v>2135</v>
      </c>
      <c r="AC692" s="12">
        <f t="shared" si="60"/>
        <v>2012</v>
      </c>
      <c r="AD692" s="12">
        <f t="shared" si="61"/>
        <v>11</v>
      </c>
      <c r="AE692" s="12">
        <f t="shared" si="62"/>
        <v>20</v>
      </c>
      <c r="AF692" s="16">
        <f t="shared" si="63"/>
        <v>13</v>
      </c>
      <c r="AG692" s="16">
        <f t="shared" si="64"/>
        <v>29.2</v>
      </c>
      <c r="AH692" s="16" t="str">
        <f t="shared" si="65"/>
        <v/>
      </c>
    </row>
    <row r="693" spans="1:34" x14ac:dyDescent="0.35">
      <c r="A693" s="2" t="s">
        <v>2219</v>
      </c>
      <c r="B693" s="2" t="s">
        <v>29</v>
      </c>
      <c r="C693" s="2" t="s">
        <v>30</v>
      </c>
      <c r="D693" s="2" t="s">
        <v>31</v>
      </c>
      <c r="E693" s="2" t="s">
        <v>51</v>
      </c>
      <c r="F693" s="2" t="s">
        <v>2220</v>
      </c>
      <c r="G693" s="2" t="s">
        <v>34</v>
      </c>
      <c r="H693" s="2" t="s">
        <v>79</v>
      </c>
      <c r="I693" s="2" t="s">
        <v>36</v>
      </c>
      <c r="J693" s="2" t="s">
        <v>37</v>
      </c>
      <c r="K693" s="2" t="s">
        <v>38</v>
      </c>
      <c r="L693" s="2" t="s">
        <v>38</v>
      </c>
      <c r="M693" s="2" t="s">
        <v>39</v>
      </c>
      <c r="N693" s="2" t="s">
        <v>38</v>
      </c>
      <c r="O693" s="2" t="s">
        <v>38</v>
      </c>
      <c r="P693" s="2" t="s">
        <v>452</v>
      </c>
      <c r="Q693" s="2" t="s">
        <v>38</v>
      </c>
      <c r="R693" s="2" t="s">
        <v>41</v>
      </c>
      <c r="S693" s="2" t="s">
        <v>167</v>
      </c>
      <c r="T693" s="2" t="s">
        <v>372</v>
      </c>
      <c r="U693" s="2" t="s">
        <v>418</v>
      </c>
      <c r="V693" s="2" t="s">
        <v>979</v>
      </c>
      <c r="W693" s="2" t="s">
        <v>38</v>
      </c>
      <c r="X693" s="3">
        <v>41234</v>
      </c>
      <c r="Y693" s="2" t="s">
        <v>2221</v>
      </c>
      <c r="Z693" s="34"/>
      <c r="AA693" s="2" t="s">
        <v>672</v>
      </c>
      <c r="AB693" s="2" t="s">
        <v>2135</v>
      </c>
      <c r="AC693" s="12">
        <f t="shared" si="60"/>
        <v>2012</v>
      </c>
      <c r="AD693" s="12">
        <f t="shared" si="61"/>
        <v>11</v>
      </c>
      <c r="AE693" s="12">
        <f t="shared" si="62"/>
        <v>21</v>
      </c>
      <c r="AF693" s="16">
        <f t="shared" si="63"/>
        <v>16.5</v>
      </c>
      <c r="AG693" s="16">
        <f t="shared" si="64"/>
        <v>30.5</v>
      </c>
      <c r="AH693" s="16" t="str">
        <f t="shared" si="65"/>
        <v/>
      </c>
    </row>
    <row r="694" spans="1:34" x14ac:dyDescent="0.35">
      <c r="A694" s="2" t="s">
        <v>2224</v>
      </c>
      <c r="B694" s="2" t="s">
        <v>29</v>
      </c>
      <c r="C694" s="2" t="s">
        <v>30</v>
      </c>
      <c r="D694" s="2" t="s">
        <v>77</v>
      </c>
      <c r="E694" s="2" t="s">
        <v>32</v>
      </c>
      <c r="F694" s="2" t="s">
        <v>462</v>
      </c>
      <c r="G694" s="2" t="s">
        <v>34</v>
      </c>
      <c r="H694" s="2" t="s">
        <v>451</v>
      </c>
      <c r="I694" s="2" t="s">
        <v>36</v>
      </c>
      <c r="J694" s="2" t="s">
        <v>37</v>
      </c>
      <c r="K694" s="2" t="s">
        <v>38</v>
      </c>
      <c r="L694" s="2" t="s">
        <v>38</v>
      </c>
      <c r="M694" s="2" t="s">
        <v>39</v>
      </c>
      <c r="N694" s="2" t="s">
        <v>38</v>
      </c>
      <c r="O694" s="2" t="s">
        <v>38</v>
      </c>
      <c r="P694" s="2" t="s">
        <v>97</v>
      </c>
      <c r="Q694" s="2" t="s">
        <v>38</v>
      </c>
      <c r="R694" s="2" t="s">
        <v>98</v>
      </c>
      <c r="S694" s="2" t="s">
        <v>89</v>
      </c>
      <c r="T694" s="2" t="s">
        <v>90</v>
      </c>
      <c r="U694" s="2" t="s">
        <v>81</v>
      </c>
      <c r="V694" s="2" t="s">
        <v>2225</v>
      </c>
      <c r="W694" s="2" t="s">
        <v>38</v>
      </c>
      <c r="X694" s="3">
        <v>41235</v>
      </c>
      <c r="Y694" s="2" t="s">
        <v>2226</v>
      </c>
      <c r="Z694" s="4"/>
      <c r="AA694" s="2" t="s">
        <v>672</v>
      </c>
      <c r="AB694" s="2" t="s">
        <v>2135</v>
      </c>
      <c r="AC694" s="12">
        <f t="shared" si="60"/>
        <v>2012</v>
      </c>
      <c r="AD694" s="12">
        <f t="shared" si="61"/>
        <v>11</v>
      </c>
      <c r="AE694" s="12">
        <f t="shared" si="62"/>
        <v>22</v>
      </c>
      <c r="AF694" s="16">
        <f t="shared" si="63"/>
        <v>16.3</v>
      </c>
      <c r="AG694" s="16">
        <f t="shared" si="64"/>
        <v>31.4</v>
      </c>
      <c r="AH694" s="16" t="str">
        <f t="shared" si="65"/>
        <v/>
      </c>
    </row>
    <row r="695" spans="1:34" x14ac:dyDescent="0.35">
      <c r="A695" s="2" t="s">
        <v>2230</v>
      </c>
      <c r="B695" s="2" t="s">
        <v>29</v>
      </c>
      <c r="C695" s="2" t="s">
        <v>30</v>
      </c>
      <c r="D695" s="2" t="s">
        <v>31</v>
      </c>
      <c r="E695" s="2" t="s">
        <v>94</v>
      </c>
      <c r="F695" s="2" t="s">
        <v>95</v>
      </c>
      <c r="G695" s="2" t="s">
        <v>34</v>
      </c>
      <c r="H695" s="2" t="s">
        <v>233</v>
      </c>
      <c r="I695" s="2" t="s">
        <v>36</v>
      </c>
      <c r="J695" s="2" t="s">
        <v>37</v>
      </c>
      <c r="K695" s="2" t="s">
        <v>38</v>
      </c>
      <c r="L695" s="2" t="s">
        <v>38</v>
      </c>
      <c r="M695" s="2" t="s">
        <v>39</v>
      </c>
      <c r="N695" s="2" t="s">
        <v>38</v>
      </c>
      <c r="O695" s="2" t="s">
        <v>38</v>
      </c>
      <c r="P695" s="2" t="s">
        <v>277</v>
      </c>
      <c r="Q695" s="2" t="s">
        <v>38</v>
      </c>
      <c r="R695" s="2" t="s">
        <v>1285</v>
      </c>
      <c r="S695" s="2" t="s">
        <v>2232</v>
      </c>
      <c r="T695" s="2" t="s">
        <v>1072</v>
      </c>
      <c r="U695" s="2" t="s">
        <v>100</v>
      </c>
      <c r="V695" s="2" t="s">
        <v>101</v>
      </c>
      <c r="W695" s="2" t="s">
        <v>38</v>
      </c>
      <c r="X695" s="3">
        <v>41236</v>
      </c>
      <c r="Y695" s="2" t="s">
        <v>2233</v>
      </c>
      <c r="Z695" s="34"/>
      <c r="AA695" s="2" t="s">
        <v>672</v>
      </c>
      <c r="AB695" s="2" t="s">
        <v>2135</v>
      </c>
      <c r="AC695" s="12">
        <f t="shared" si="60"/>
        <v>2012</v>
      </c>
      <c r="AD695" s="12">
        <f t="shared" si="61"/>
        <v>11</v>
      </c>
      <c r="AE695" s="12">
        <f t="shared" si="62"/>
        <v>23</v>
      </c>
      <c r="AF695" s="16">
        <f t="shared" si="63"/>
        <v>13.9</v>
      </c>
      <c r="AG695" s="16">
        <f t="shared" si="64"/>
        <v>31.1</v>
      </c>
      <c r="AH695" s="16" t="str">
        <f t="shared" si="65"/>
        <v/>
      </c>
    </row>
    <row r="696" spans="1:34" x14ac:dyDescent="0.35">
      <c r="A696" s="2" t="s">
        <v>2234</v>
      </c>
      <c r="B696" s="2" t="s">
        <v>29</v>
      </c>
      <c r="C696" s="2" t="s">
        <v>30</v>
      </c>
      <c r="D696" s="2" t="s">
        <v>77</v>
      </c>
      <c r="E696" s="2" t="s">
        <v>55</v>
      </c>
      <c r="F696" s="2" t="s">
        <v>307</v>
      </c>
      <c r="G696" s="2" t="s">
        <v>34</v>
      </c>
      <c r="H696" s="2" t="s">
        <v>331</v>
      </c>
      <c r="I696" s="2" t="s">
        <v>128</v>
      </c>
      <c r="J696" s="2" t="s">
        <v>37</v>
      </c>
      <c r="K696" s="2" t="s">
        <v>38</v>
      </c>
      <c r="L696" s="2" t="s">
        <v>38</v>
      </c>
      <c r="M696" s="2" t="s">
        <v>39</v>
      </c>
      <c r="N696" s="2" t="s">
        <v>38</v>
      </c>
      <c r="O696" s="2" t="s">
        <v>38</v>
      </c>
      <c r="P696" s="2" t="s">
        <v>487</v>
      </c>
      <c r="Q696" s="2" t="s">
        <v>38</v>
      </c>
      <c r="R696" s="2" t="s">
        <v>41</v>
      </c>
      <c r="S696" s="2" t="s">
        <v>122</v>
      </c>
      <c r="T696" s="2" t="s">
        <v>1329</v>
      </c>
      <c r="U696" s="2" t="s">
        <v>1124</v>
      </c>
      <c r="V696" s="2" t="s">
        <v>663</v>
      </c>
      <c r="W696" s="2" t="s">
        <v>38</v>
      </c>
      <c r="X696" s="3">
        <v>41237</v>
      </c>
      <c r="Y696" s="2" t="s">
        <v>2236</v>
      </c>
      <c r="Z696" s="4"/>
      <c r="AA696" s="2" t="s">
        <v>672</v>
      </c>
      <c r="AB696" s="2" t="s">
        <v>2135</v>
      </c>
      <c r="AC696" s="12">
        <f t="shared" si="60"/>
        <v>2012</v>
      </c>
      <c r="AD696" s="12">
        <f t="shared" si="61"/>
        <v>11</v>
      </c>
      <c r="AE696" s="12">
        <f t="shared" si="62"/>
        <v>24</v>
      </c>
      <c r="AF696" s="16">
        <f t="shared" si="63"/>
        <v>18</v>
      </c>
      <c r="AG696" s="16">
        <f t="shared" si="64"/>
        <v>31.8</v>
      </c>
      <c r="AH696" s="16" t="str">
        <f t="shared" si="65"/>
        <v/>
      </c>
    </row>
    <row r="697" spans="1:34" x14ac:dyDescent="0.35">
      <c r="A697" s="2" t="s">
        <v>2237</v>
      </c>
      <c r="B697" s="2" t="s">
        <v>29</v>
      </c>
      <c r="C697" s="2" t="s">
        <v>30</v>
      </c>
      <c r="D697" s="2" t="s">
        <v>77</v>
      </c>
      <c r="E697" s="2" t="s">
        <v>55</v>
      </c>
      <c r="F697" s="2" t="s">
        <v>95</v>
      </c>
      <c r="G697" s="2" t="s">
        <v>34</v>
      </c>
      <c r="H697" s="2" t="s">
        <v>96</v>
      </c>
      <c r="I697" s="2" t="s">
        <v>36</v>
      </c>
      <c r="J697" s="2" t="s">
        <v>37</v>
      </c>
      <c r="K697" s="2" t="s">
        <v>38</v>
      </c>
      <c r="L697" s="2" t="s">
        <v>38</v>
      </c>
      <c r="M697" s="2" t="s">
        <v>39</v>
      </c>
      <c r="N697" s="2" t="s">
        <v>38</v>
      </c>
      <c r="O697" s="2" t="s">
        <v>38</v>
      </c>
      <c r="P697" s="2" t="s">
        <v>277</v>
      </c>
      <c r="Q697" s="2" t="s">
        <v>38</v>
      </c>
      <c r="R697" s="2" t="s">
        <v>98</v>
      </c>
      <c r="S697" s="2" t="s">
        <v>159</v>
      </c>
      <c r="T697" s="2" t="s">
        <v>73</v>
      </c>
      <c r="U697" s="2" t="s">
        <v>2025</v>
      </c>
      <c r="V697" s="2" t="s">
        <v>590</v>
      </c>
      <c r="W697" s="2" t="s">
        <v>38</v>
      </c>
      <c r="X697" s="3">
        <v>41238</v>
      </c>
      <c r="Y697" s="2" t="s">
        <v>2238</v>
      </c>
      <c r="Z697" s="34"/>
      <c r="AA697" s="2" t="s">
        <v>672</v>
      </c>
      <c r="AB697" s="2" t="s">
        <v>2135</v>
      </c>
      <c r="AC697" s="12">
        <f t="shared" si="60"/>
        <v>2012</v>
      </c>
      <c r="AD697" s="12">
        <f t="shared" si="61"/>
        <v>11</v>
      </c>
      <c r="AE697" s="12">
        <f t="shared" si="62"/>
        <v>25</v>
      </c>
      <c r="AF697" s="16">
        <f t="shared" si="63"/>
        <v>18.399999999999999</v>
      </c>
      <c r="AG697" s="16">
        <f t="shared" si="64"/>
        <v>31.1</v>
      </c>
      <c r="AH697" s="16" t="str">
        <f t="shared" si="65"/>
        <v/>
      </c>
    </row>
    <row r="698" spans="1:34" x14ac:dyDescent="0.35">
      <c r="A698" s="2" t="s">
        <v>2240</v>
      </c>
      <c r="B698" s="2" t="s">
        <v>29</v>
      </c>
      <c r="C698" s="2" t="s">
        <v>30</v>
      </c>
      <c r="D698" s="2" t="s">
        <v>31</v>
      </c>
      <c r="E698" s="2" t="s">
        <v>55</v>
      </c>
      <c r="F698" s="2" t="s">
        <v>2220</v>
      </c>
      <c r="G698" s="2" t="s">
        <v>34</v>
      </c>
      <c r="H698" s="2" t="s">
        <v>87</v>
      </c>
      <c r="I698" s="2" t="s">
        <v>128</v>
      </c>
      <c r="J698" s="2" t="s">
        <v>37</v>
      </c>
      <c r="K698" s="2" t="s">
        <v>38</v>
      </c>
      <c r="L698" s="2" t="s">
        <v>38</v>
      </c>
      <c r="M698" s="2" t="s">
        <v>39</v>
      </c>
      <c r="N698" s="2" t="s">
        <v>38</v>
      </c>
      <c r="O698" s="2" t="s">
        <v>38</v>
      </c>
      <c r="P698" s="2" t="s">
        <v>463</v>
      </c>
      <c r="Q698" s="2" t="s">
        <v>38</v>
      </c>
      <c r="R698" s="2" t="s">
        <v>41</v>
      </c>
      <c r="S698" s="2" t="s">
        <v>1068</v>
      </c>
      <c r="T698" s="2" t="s">
        <v>760</v>
      </c>
      <c r="U698" s="2" t="s">
        <v>100</v>
      </c>
      <c r="V698" s="2" t="s">
        <v>82</v>
      </c>
      <c r="W698" s="2" t="s">
        <v>38</v>
      </c>
      <c r="X698" s="3">
        <v>41239</v>
      </c>
      <c r="Y698" s="2" t="s">
        <v>2241</v>
      </c>
      <c r="Z698" s="34"/>
      <c r="AA698" s="2" t="s">
        <v>672</v>
      </c>
      <c r="AB698" s="2" t="s">
        <v>2135</v>
      </c>
      <c r="AC698" s="12">
        <f t="shared" si="60"/>
        <v>2012</v>
      </c>
      <c r="AD698" s="12">
        <f t="shared" si="61"/>
        <v>11</v>
      </c>
      <c r="AE698" s="12">
        <f t="shared" si="62"/>
        <v>26</v>
      </c>
      <c r="AF698" s="16">
        <f t="shared" si="63"/>
        <v>17.8</v>
      </c>
      <c r="AG698" s="16">
        <f t="shared" si="64"/>
        <v>31.7</v>
      </c>
      <c r="AH698" s="16" t="str">
        <f t="shared" si="65"/>
        <v/>
      </c>
    </row>
    <row r="699" spans="1:34" x14ac:dyDescent="0.35">
      <c r="A699" s="2" t="s">
        <v>2243</v>
      </c>
      <c r="B699" s="2" t="s">
        <v>29</v>
      </c>
      <c r="C699" s="2" t="s">
        <v>30</v>
      </c>
      <c r="D699" s="2" t="s">
        <v>111</v>
      </c>
      <c r="E699" s="2" t="s">
        <v>55</v>
      </c>
      <c r="F699" s="2" t="s">
        <v>307</v>
      </c>
      <c r="G699" s="2" t="s">
        <v>34</v>
      </c>
      <c r="H699" s="2" t="s">
        <v>734</v>
      </c>
      <c r="I699" s="2" t="s">
        <v>128</v>
      </c>
      <c r="J699" s="2" t="s">
        <v>37</v>
      </c>
      <c r="K699" s="2" t="s">
        <v>38</v>
      </c>
      <c r="L699" s="2" t="s">
        <v>38</v>
      </c>
      <c r="M699" s="2" t="s">
        <v>39</v>
      </c>
      <c r="N699" s="2" t="s">
        <v>38</v>
      </c>
      <c r="O699" s="2" t="s">
        <v>38</v>
      </c>
      <c r="P699" s="2" t="s">
        <v>1520</v>
      </c>
      <c r="Q699" s="2" t="s">
        <v>38</v>
      </c>
      <c r="R699" s="2" t="s">
        <v>41</v>
      </c>
      <c r="S699" s="2" t="s">
        <v>159</v>
      </c>
      <c r="T699" s="2" t="s">
        <v>345</v>
      </c>
      <c r="U699" s="2" t="s">
        <v>481</v>
      </c>
      <c r="V699" s="2" t="s">
        <v>1346</v>
      </c>
      <c r="W699" s="2" t="s">
        <v>38</v>
      </c>
      <c r="X699" s="3">
        <v>41240</v>
      </c>
      <c r="Y699" s="2" t="s">
        <v>2245</v>
      </c>
      <c r="Z699" s="4"/>
      <c r="AA699" s="2" t="s">
        <v>672</v>
      </c>
      <c r="AB699" s="2" t="s">
        <v>2135</v>
      </c>
      <c r="AC699" s="12">
        <f t="shared" si="60"/>
        <v>2012</v>
      </c>
      <c r="AD699" s="12">
        <f t="shared" si="61"/>
        <v>11</v>
      </c>
      <c r="AE699" s="12">
        <f t="shared" si="62"/>
        <v>27</v>
      </c>
      <c r="AF699" s="16">
        <f t="shared" si="63"/>
        <v>17.899999999999999</v>
      </c>
      <c r="AG699" s="16">
        <f t="shared" si="64"/>
        <v>32.1</v>
      </c>
      <c r="AH699" s="16" t="str">
        <f t="shared" si="65"/>
        <v/>
      </c>
    </row>
    <row r="700" spans="1:34" x14ac:dyDescent="0.35">
      <c r="A700" s="2" t="s">
        <v>2246</v>
      </c>
      <c r="B700" s="2" t="s">
        <v>29</v>
      </c>
      <c r="C700" s="2" t="s">
        <v>30</v>
      </c>
      <c r="D700" s="2" t="s">
        <v>31</v>
      </c>
      <c r="E700" s="2" t="s">
        <v>30</v>
      </c>
      <c r="F700" s="2" t="s">
        <v>667</v>
      </c>
      <c r="G700" s="2" t="s">
        <v>34</v>
      </c>
      <c r="H700" s="2" t="s">
        <v>96</v>
      </c>
      <c r="I700" s="2" t="s">
        <v>36</v>
      </c>
      <c r="J700" s="2" t="s">
        <v>37</v>
      </c>
      <c r="K700" s="2" t="s">
        <v>38</v>
      </c>
      <c r="L700" s="2" t="s">
        <v>38</v>
      </c>
      <c r="M700" s="2" t="s">
        <v>39</v>
      </c>
      <c r="N700" s="2" t="s">
        <v>38</v>
      </c>
      <c r="O700" s="2" t="s">
        <v>38</v>
      </c>
      <c r="P700" s="2" t="s">
        <v>1839</v>
      </c>
      <c r="Q700" s="2" t="s">
        <v>38</v>
      </c>
      <c r="R700" s="2" t="s">
        <v>98</v>
      </c>
      <c r="S700" s="2" t="s">
        <v>995</v>
      </c>
      <c r="T700" s="2" t="s">
        <v>73</v>
      </c>
      <c r="U700" s="2" t="s">
        <v>44</v>
      </c>
      <c r="V700" s="2" t="s">
        <v>512</v>
      </c>
      <c r="W700" s="2" t="s">
        <v>38</v>
      </c>
      <c r="X700" s="3">
        <v>41241</v>
      </c>
      <c r="Y700" s="2" t="s">
        <v>2247</v>
      </c>
      <c r="Z700" s="34"/>
      <c r="AA700" s="2" t="s">
        <v>672</v>
      </c>
      <c r="AB700" s="2" t="s">
        <v>2135</v>
      </c>
      <c r="AC700" s="12">
        <f t="shared" si="60"/>
        <v>2012</v>
      </c>
      <c r="AD700" s="12">
        <f t="shared" si="61"/>
        <v>11</v>
      </c>
      <c r="AE700" s="12">
        <f t="shared" si="62"/>
        <v>28</v>
      </c>
      <c r="AF700" s="16">
        <f t="shared" si="63"/>
        <v>12.4</v>
      </c>
      <c r="AG700" s="16">
        <f t="shared" si="64"/>
        <v>30.8</v>
      </c>
      <c r="AH700" s="16" t="str">
        <f t="shared" si="65"/>
        <v/>
      </c>
    </row>
    <row r="701" spans="1:34" x14ac:dyDescent="0.35">
      <c r="A701" s="2" t="s">
        <v>2249</v>
      </c>
      <c r="B701" s="2" t="s">
        <v>29</v>
      </c>
      <c r="C701" s="2" t="s">
        <v>30</v>
      </c>
      <c r="D701" s="2" t="s">
        <v>31</v>
      </c>
      <c r="E701" s="2" t="s">
        <v>142</v>
      </c>
      <c r="F701" s="2" t="s">
        <v>385</v>
      </c>
      <c r="G701" s="2" t="s">
        <v>34</v>
      </c>
      <c r="H701" s="2" t="s">
        <v>35</v>
      </c>
      <c r="I701" s="2" t="s">
        <v>128</v>
      </c>
      <c r="J701" s="2" t="s">
        <v>37</v>
      </c>
      <c r="K701" s="2" t="s">
        <v>38</v>
      </c>
      <c r="L701" s="2" t="s">
        <v>38</v>
      </c>
      <c r="M701" s="2" t="s">
        <v>39</v>
      </c>
      <c r="N701" s="2" t="s">
        <v>38</v>
      </c>
      <c r="O701" s="2" t="s">
        <v>38</v>
      </c>
      <c r="P701" s="2" t="s">
        <v>487</v>
      </c>
      <c r="Q701" s="2" t="s">
        <v>38</v>
      </c>
      <c r="R701" s="2" t="s">
        <v>98</v>
      </c>
      <c r="S701" s="2" t="s">
        <v>344</v>
      </c>
      <c r="T701" s="2" t="s">
        <v>73</v>
      </c>
      <c r="U701" s="2" t="s">
        <v>100</v>
      </c>
      <c r="V701" s="2" t="s">
        <v>148</v>
      </c>
      <c r="W701" s="2" t="s">
        <v>38</v>
      </c>
      <c r="X701" s="3">
        <v>41242</v>
      </c>
      <c r="Y701" s="2" t="s">
        <v>2250</v>
      </c>
      <c r="Z701" s="4"/>
      <c r="AA701" s="2" t="s">
        <v>672</v>
      </c>
      <c r="AB701" s="2" t="s">
        <v>2135</v>
      </c>
      <c r="AC701" s="12">
        <f t="shared" si="60"/>
        <v>2012</v>
      </c>
      <c r="AD701" s="12">
        <f t="shared" si="61"/>
        <v>11</v>
      </c>
      <c r="AE701" s="12">
        <f t="shared" si="62"/>
        <v>29</v>
      </c>
      <c r="AF701" s="16">
        <f t="shared" si="63"/>
        <v>10.7</v>
      </c>
      <c r="AG701" s="16">
        <f t="shared" si="64"/>
        <v>31.8</v>
      </c>
      <c r="AH701" s="16" t="str">
        <f t="shared" si="65"/>
        <v/>
      </c>
    </row>
    <row r="702" spans="1:34" x14ac:dyDescent="0.35">
      <c r="A702" s="2" t="s">
        <v>2252</v>
      </c>
      <c r="B702" s="2" t="s">
        <v>29</v>
      </c>
      <c r="C702" s="2" t="s">
        <v>30</v>
      </c>
      <c r="D702" s="2" t="s">
        <v>31</v>
      </c>
      <c r="E702" s="2" t="s">
        <v>142</v>
      </c>
      <c r="F702" s="2" t="s">
        <v>95</v>
      </c>
      <c r="G702" s="2" t="s">
        <v>34</v>
      </c>
      <c r="H702" s="2" t="s">
        <v>233</v>
      </c>
      <c r="I702" s="2" t="s">
        <v>36</v>
      </c>
      <c r="J702" s="2" t="s">
        <v>37</v>
      </c>
      <c r="K702" s="2" t="s">
        <v>38</v>
      </c>
      <c r="L702" s="2" t="s">
        <v>38</v>
      </c>
      <c r="M702" s="2" t="s">
        <v>39</v>
      </c>
      <c r="N702" s="2" t="s">
        <v>38</v>
      </c>
      <c r="O702" s="2" t="s">
        <v>38</v>
      </c>
      <c r="P702" s="2" t="s">
        <v>277</v>
      </c>
      <c r="Q702" s="2" t="s">
        <v>38</v>
      </c>
      <c r="R702" s="2" t="s">
        <v>98</v>
      </c>
      <c r="S702" s="2" t="s">
        <v>533</v>
      </c>
      <c r="T702" s="2" t="s">
        <v>90</v>
      </c>
      <c r="U702" s="2" t="s">
        <v>418</v>
      </c>
      <c r="V702" s="2" t="s">
        <v>272</v>
      </c>
      <c r="W702" s="2" t="s">
        <v>38</v>
      </c>
      <c r="X702" s="3">
        <v>41243</v>
      </c>
      <c r="Y702" s="2" t="s">
        <v>2255</v>
      </c>
      <c r="Z702" s="34"/>
      <c r="AA702" s="2" t="s">
        <v>672</v>
      </c>
      <c r="AB702" s="2" t="s">
        <v>2256</v>
      </c>
      <c r="AC702" s="12">
        <f t="shared" si="60"/>
        <v>2012</v>
      </c>
      <c r="AD702" s="12">
        <f t="shared" si="61"/>
        <v>11</v>
      </c>
      <c r="AE702" s="12">
        <f t="shared" si="62"/>
        <v>30</v>
      </c>
      <c r="AF702" s="16">
        <f t="shared" si="63"/>
        <v>11.2</v>
      </c>
      <c r="AG702" s="16">
        <f t="shared" si="64"/>
        <v>31.1</v>
      </c>
      <c r="AH702" s="16" t="str">
        <f t="shared" si="65"/>
        <v/>
      </c>
    </row>
    <row r="703" spans="1:34" x14ac:dyDescent="0.35">
      <c r="A703" s="2" t="s">
        <v>2257</v>
      </c>
      <c r="B703" s="2" t="s">
        <v>29</v>
      </c>
      <c r="C703" s="2" t="s">
        <v>30</v>
      </c>
      <c r="D703" s="2" t="s">
        <v>31</v>
      </c>
      <c r="E703" s="2" t="s">
        <v>104</v>
      </c>
      <c r="F703" s="2" t="s">
        <v>330</v>
      </c>
      <c r="G703" s="2" t="s">
        <v>34</v>
      </c>
      <c r="H703" s="2" t="s">
        <v>180</v>
      </c>
      <c r="I703" s="2" t="s">
        <v>128</v>
      </c>
      <c r="J703" s="2" t="s">
        <v>37</v>
      </c>
      <c r="K703" s="2" t="s">
        <v>38</v>
      </c>
      <c r="L703" s="2" t="s">
        <v>38</v>
      </c>
      <c r="M703" s="2" t="s">
        <v>39</v>
      </c>
      <c r="N703" s="2" t="s">
        <v>38</v>
      </c>
      <c r="O703" s="2" t="s">
        <v>38</v>
      </c>
      <c r="P703" s="2" t="s">
        <v>487</v>
      </c>
      <c r="Q703" s="2" t="s">
        <v>38</v>
      </c>
      <c r="R703" s="2" t="s">
        <v>98</v>
      </c>
      <c r="S703" s="2" t="s">
        <v>99</v>
      </c>
      <c r="T703" s="2" t="s">
        <v>90</v>
      </c>
      <c r="U703" s="2" t="s">
        <v>418</v>
      </c>
      <c r="V703" s="2" t="s">
        <v>392</v>
      </c>
      <c r="W703" s="2" t="s">
        <v>38</v>
      </c>
      <c r="X703" s="3">
        <v>41244</v>
      </c>
      <c r="Y703" s="2" t="s">
        <v>2261</v>
      </c>
      <c r="Z703" s="4"/>
      <c r="AA703" s="2" t="s">
        <v>672</v>
      </c>
      <c r="AB703" s="2" t="s">
        <v>2256</v>
      </c>
      <c r="AC703" s="12">
        <f t="shared" si="60"/>
        <v>2012</v>
      </c>
      <c r="AD703" s="12">
        <f t="shared" si="61"/>
        <v>12</v>
      </c>
      <c r="AE703" s="12">
        <f t="shared" si="62"/>
        <v>1</v>
      </c>
      <c r="AF703" s="16">
        <f t="shared" si="63"/>
        <v>13.4</v>
      </c>
      <c r="AG703" s="16">
        <f t="shared" si="64"/>
        <v>31.8</v>
      </c>
      <c r="AH703" s="16" t="str">
        <f t="shared" si="65"/>
        <v/>
      </c>
    </row>
    <row r="704" spans="1:34" x14ac:dyDescent="0.35">
      <c r="A704" s="2" t="s">
        <v>2262</v>
      </c>
      <c r="B704" s="2" t="s">
        <v>29</v>
      </c>
      <c r="C704" s="2" t="s">
        <v>30</v>
      </c>
      <c r="D704" s="2" t="s">
        <v>77</v>
      </c>
      <c r="E704" s="2" t="s">
        <v>55</v>
      </c>
      <c r="F704" s="2" t="s">
        <v>1310</v>
      </c>
      <c r="G704" s="2" t="s">
        <v>34</v>
      </c>
      <c r="H704" s="2" t="s">
        <v>877</v>
      </c>
      <c r="I704" s="2" t="s">
        <v>36</v>
      </c>
      <c r="J704" s="2" t="s">
        <v>37</v>
      </c>
      <c r="K704" s="2" t="s">
        <v>38</v>
      </c>
      <c r="L704" s="2" t="s">
        <v>38</v>
      </c>
      <c r="M704" s="2" t="s">
        <v>39</v>
      </c>
      <c r="N704" s="2" t="s">
        <v>38</v>
      </c>
      <c r="O704" s="2" t="s">
        <v>38</v>
      </c>
      <c r="P704" s="2" t="s">
        <v>288</v>
      </c>
      <c r="Q704" s="2" t="s">
        <v>38</v>
      </c>
      <c r="R704" s="2" t="s">
        <v>41</v>
      </c>
      <c r="S704" s="2" t="s">
        <v>167</v>
      </c>
      <c r="T704" s="2" t="s">
        <v>372</v>
      </c>
      <c r="U704" s="2" t="s">
        <v>553</v>
      </c>
      <c r="V704" s="2" t="s">
        <v>1213</v>
      </c>
      <c r="W704" s="2" t="s">
        <v>38</v>
      </c>
      <c r="X704" s="3">
        <v>41245</v>
      </c>
      <c r="Y704" s="2" t="s">
        <v>2264</v>
      </c>
      <c r="Z704" s="4"/>
      <c r="AA704" s="2" t="s">
        <v>672</v>
      </c>
      <c r="AB704" s="2" t="s">
        <v>2256</v>
      </c>
      <c r="AC704" s="12">
        <f t="shared" si="60"/>
        <v>2012</v>
      </c>
      <c r="AD704" s="12">
        <f t="shared" si="61"/>
        <v>12</v>
      </c>
      <c r="AE704" s="12">
        <f t="shared" si="62"/>
        <v>2</v>
      </c>
      <c r="AF704" s="16">
        <f t="shared" si="63"/>
        <v>18.100000000000001</v>
      </c>
      <c r="AG704" s="16">
        <f t="shared" si="64"/>
        <v>31</v>
      </c>
      <c r="AH704" s="16" t="str">
        <f t="shared" si="65"/>
        <v/>
      </c>
    </row>
    <row r="705" spans="1:34" x14ac:dyDescent="0.35">
      <c r="A705" s="2" t="s">
        <v>2265</v>
      </c>
      <c r="B705" s="2" t="s">
        <v>29</v>
      </c>
      <c r="C705" s="2" t="s">
        <v>30</v>
      </c>
      <c r="D705" s="2" t="s">
        <v>31</v>
      </c>
      <c r="E705" s="2" t="s">
        <v>66</v>
      </c>
      <c r="F705" s="2" t="s">
        <v>974</v>
      </c>
      <c r="G705" s="2" t="s">
        <v>34</v>
      </c>
      <c r="H705" s="2" t="s">
        <v>276</v>
      </c>
      <c r="I705" s="2" t="s">
        <v>77</v>
      </c>
      <c r="J705" s="2" t="s">
        <v>37</v>
      </c>
      <c r="K705" s="2" t="s">
        <v>38</v>
      </c>
      <c r="L705" s="2" t="s">
        <v>38</v>
      </c>
      <c r="M705" s="2" t="s">
        <v>39</v>
      </c>
      <c r="N705" s="2" t="s">
        <v>38</v>
      </c>
      <c r="O705" s="2" t="s">
        <v>38</v>
      </c>
      <c r="P705" s="2" t="s">
        <v>506</v>
      </c>
      <c r="Q705" s="2" t="s">
        <v>38</v>
      </c>
      <c r="R705" s="2" t="s">
        <v>98</v>
      </c>
      <c r="S705" s="2" t="s">
        <v>89</v>
      </c>
      <c r="T705" s="2" t="s">
        <v>90</v>
      </c>
      <c r="U705" s="2" t="s">
        <v>1281</v>
      </c>
      <c r="V705" s="2" t="s">
        <v>1253</v>
      </c>
      <c r="W705" s="2" t="s">
        <v>38</v>
      </c>
      <c r="X705" s="3">
        <v>41246</v>
      </c>
      <c r="Y705" s="2" t="s">
        <v>2266</v>
      </c>
      <c r="Z705" s="34"/>
      <c r="AA705" s="2" t="s">
        <v>672</v>
      </c>
      <c r="AB705" s="2" t="s">
        <v>2256</v>
      </c>
      <c r="AC705" s="12">
        <f t="shared" si="60"/>
        <v>2012</v>
      </c>
      <c r="AD705" s="12">
        <f t="shared" si="61"/>
        <v>12</v>
      </c>
      <c r="AE705" s="12">
        <f t="shared" si="62"/>
        <v>3</v>
      </c>
      <c r="AF705" s="16">
        <f t="shared" si="63"/>
        <v>15.5</v>
      </c>
      <c r="AG705" s="16">
        <f t="shared" si="64"/>
        <v>28.9</v>
      </c>
      <c r="AH705" s="16" t="str">
        <f t="shared" si="65"/>
        <v/>
      </c>
    </row>
    <row r="706" spans="1:34" x14ac:dyDescent="0.35">
      <c r="A706" s="2" t="s">
        <v>2268</v>
      </c>
      <c r="B706" s="2" t="s">
        <v>29</v>
      </c>
      <c r="C706" s="2" t="s">
        <v>30</v>
      </c>
      <c r="D706" s="2" t="s">
        <v>31</v>
      </c>
      <c r="E706" s="2" t="s">
        <v>142</v>
      </c>
      <c r="F706" s="2" t="s">
        <v>667</v>
      </c>
      <c r="G706" s="2" t="s">
        <v>34</v>
      </c>
      <c r="H706" s="2" t="s">
        <v>202</v>
      </c>
      <c r="I706" s="2" t="s">
        <v>111</v>
      </c>
      <c r="J706" s="2" t="s">
        <v>37</v>
      </c>
      <c r="K706" s="2" t="s">
        <v>38</v>
      </c>
      <c r="L706" s="2" t="s">
        <v>38</v>
      </c>
      <c r="M706" s="2" t="s">
        <v>39</v>
      </c>
      <c r="N706" s="2" t="s">
        <v>38</v>
      </c>
      <c r="O706" s="2" t="s">
        <v>38</v>
      </c>
      <c r="P706" s="2" t="s">
        <v>416</v>
      </c>
      <c r="Q706" s="2" t="s">
        <v>38</v>
      </c>
      <c r="R706" s="2" t="s">
        <v>1285</v>
      </c>
      <c r="S706" s="2" t="s">
        <v>910</v>
      </c>
      <c r="T706" s="2" t="s">
        <v>2269</v>
      </c>
      <c r="U706" s="2" t="s">
        <v>418</v>
      </c>
      <c r="V706" s="2" t="s">
        <v>272</v>
      </c>
      <c r="W706" s="2" t="s">
        <v>38</v>
      </c>
      <c r="X706" s="3">
        <v>41247</v>
      </c>
      <c r="Y706" s="2" t="s">
        <v>2270</v>
      </c>
      <c r="Z706" s="4"/>
      <c r="AA706" s="2" t="s">
        <v>672</v>
      </c>
      <c r="AB706" s="2" t="s">
        <v>2256</v>
      </c>
      <c r="AC706" s="12">
        <f t="shared" ref="AC706:AC732" si="66">YEAR(X706)</f>
        <v>2012</v>
      </c>
      <c r="AD706" s="12">
        <f t="shared" ref="AD706:AD732" si="67">MONTH(X706)</f>
        <v>12</v>
      </c>
      <c r="AE706" s="12">
        <f t="shared" ref="AE706:AE732" si="68">DAY(X706)</f>
        <v>4</v>
      </c>
      <c r="AF706" s="16">
        <f t="shared" ref="AF706:AF732" si="69">IF(LEN(V706)&gt;0,V706/10,"")</f>
        <v>11.2</v>
      </c>
      <c r="AG706" s="16">
        <f t="shared" ref="AG706:AG732" si="70">IF(LEN(P706)&gt;0,P706/10,"")</f>
        <v>29.9</v>
      </c>
      <c r="AH706" s="16" t="str">
        <f t="shared" ref="AH706:AH732" si="71">IF(LEN(Q706)&gt;0,Q706/10,"")</f>
        <v/>
      </c>
    </row>
    <row r="707" spans="1:34" x14ac:dyDescent="0.35">
      <c r="A707" s="2" t="s">
        <v>2272</v>
      </c>
      <c r="B707" s="2" t="s">
        <v>29</v>
      </c>
      <c r="C707" s="2" t="s">
        <v>30</v>
      </c>
      <c r="D707" s="2" t="s">
        <v>77</v>
      </c>
      <c r="E707" s="2" t="s">
        <v>66</v>
      </c>
      <c r="F707" s="2" t="s">
        <v>95</v>
      </c>
      <c r="G707" s="2" t="s">
        <v>34</v>
      </c>
      <c r="H707" s="2" t="s">
        <v>202</v>
      </c>
      <c r="I707" s="2" t="s">
        <v>36</v>
      </c>
      <c r="J707" s="2" t="s">
        <v>37</v>
      </c>
      <c r="K707" s="2" t="s">
        <v>38</v>
      </c>
      <c r="L707" s="2" t="s">
        <v>38</v>
      </c>
      <c r="M707" s="2" t="s">
        <v>39</v>
      </c>
      <c r="N707" s="2" t="s">
        <v>38</v>
      </c>
      <c r="O707" s="2" t="s">
        <v>38</v>
      </c>
      <c r="P707" s="2" t="s">
        <v>1839</v>
      </c>
      <c r="Q707" s="2" t="s">
        <v>38</v>
      </c>
      <c r="R707" s="2" t="s">
        <v>98</v>
      </c>
      <c r="S707" s="2" t="s">
        <v>2192</v>
      </c>
      <c r="T707" s="2" t="s">
        <v>73</v>
      </c>
      <c r="U707" s="2" t="s">
        <v>81</v>
      </c>
      <c r="V707" s="2" t="s">
        <v>140</v>
      </c>
      <c r="W707" s="2" t="s">
        <v>38</v>
      </c>
      <c r="X707" s="3">
        <v>41248</v>
      </c>
      <c r="Y707" s="2" t="s">
        <v>2273</v>
      </c>
      <c r="Z707" s="34"/>
      <c r="AA707" s="2" t="s">
        <v>672</v>
      </c>
      <c r="AB707" s="2" t="s">
        <v>2256</v>
      </c>
      <c r="AC707" s="12">
        <f t="shared" si="66"/>
        <v>2012</v>
      </c>
      <c r="AD707" s="12">
        <f t="shared" si="67"/>
        <v>12</v>
      </c>
      <c r="AE707" s="12">
        <f t="shared" si="68"/>
        <v>5</v>
      </c>
      <c r="AF707" s="16">
        <f t="shared" si="69"/>
        <v>14.7</v>
      </c>
      <c r="AG707" s="16">
        <f t="shared" si="70"/>
        <v>30.8</v>
      </c>
      <c r="AH707" s="16" t="str">
        <f t="shared" si="71"/>
        <v/>
      </c>
    </row>
    <row r="708" spans="1:34" x14ac:dyDescent="0.35">
      <c r="A708" s="2" t="s">
        <v>2275</v>
      </c>
      <c r="B708" s="2" t="s">
        <v>29</v>
      </c>
      <c r="C708" s="2" t="s">
        <v>30</v>
      </c>
      <c r="D708" s="2" t="s">
        <v>77</v>
      </c>
      <c r="E708" s="2" t="s">
        <v>55</v>
      </c>
      <c r="F708" s="2" t="s">
        <v>2220</v>
      </c>
      <c r="G708" s="2" t="s">
        <v>34</v>
      </c>
      <c r="H708" s="2" t="s">
        <v>69</v>
      </c>
      <c r="I708" s="2" t="s">
        <v>128</v>
      </c>
      <c r="J708" s="2" t="s">
        <v>37</v>
      </c>
      <c r="K708" s="2" t="s">
        <v>38</v>
      </c>
      <c r="L708" s="2" t="s">
        <v>38</v>
      </c>
      <c r="M708" s="2" t="s">
        <v>39</v>
      </c>
      <c r="N708" s="2" t="s">
        <v>38</v>
      </c>
      <c r="O708" s="2" t="s">
        <v>38</v>
      </c>
      <c r="P708" s="2" t="s">
        <v>1505</v>
      </c>
      <c r="Q708" s="2" t="s">
        <v>38</v>
      </c>
      <c r="R708" s="2" t="s">
        <v>41</v>
      </c>
      <c r="S708" s="2" t="s">
        <v>2276</v>
      </c>
      <c r="T708" s="2" t="s">
        <v>417</v>
      </c>
      <c r="U708" s="2" t="s">
        <v>132</v>
      </c>
      <c r="V708" s="2" t="s">
        <v>928</v>
      </c>
      <c r="W708" s="2" t="s">
        <v>38</v>
      </c>
      <c r="X708" s="3">
        <v>41249</v>
      </c>
      <c r="Y708" s="2" t="s">
        <v>2277</v>
      </c>
      <c r="Z708" s="34"/>
      <c r="AA708" s="2" t="s">
        <v>672</v>
      </c>
      <c r="AB708" s="2" t="s">
        <v>2256</v>
      </c>
      <c r="AC708" s="12">
        <f t="shared" si="66"/>
        <v>2012</v>
      </c>
      <c r="AD708" s="12">
        <f t="shared" si="67"/>
        <v>12</v>
      </c>
      <c r="AE708" s="12">
        <f t="shared" si="68"/>
        <v>6</v>
      </c>
      <c r="AF708" s="16">
        <f t="shared" si="69"/>
        <v>18.3</v>
      </c>
      <c r="AG708" s="16">
        <f t="shared" si="70"/>
        <v>31.6</v>
      </c>
      <c r="AH708" s="16" t="str">
        <f t="shared" si="71"/>
        <v/>
      </c>
    </row>
    <row r="709" spans="1:34" x14ac:dyDescent="0.35">
      <c r="A709" s="2" t="s">
        <v>2279</v>
      </c>
      <c r="B709" s="2" t="s">
        <v>29</v>
      </c>
      <c r="C709" s="2" t="s">
        <v>30</v>
      </c>
      <c r="D709" s="2" t="s">
        <v>111</v>
      </c>
      <c r="E709" s="2" t="s">
        <v>32</v>
      </c>
      <c r="F709" s="2" t="s">
        <v>667</v>
      </c>
      <c r="G709" s="2" t="s">
        <v>34</v>
      </c>
      <c r="H709" s="2" t="s">
        <v>202</v>
      </c>
      <c r="I709" s="2" t="s">
        <v>114</v>
      </c>
      <c r="J709" s="2" t="s">
        <v>37</v>
      </c>
      <c r="K709" s="2" t="s">
        <v>38</v>
      </c>
      <c r="L709" s="2" t="s">
        <v>38</v>
      </c>
      <c r="M709" s="2" t="s">
        <v>39</v>
      </c>
      <c r="N709" s="2" t="s">
        <v>38</v>
      </c>
      <c r="O709" s="2" t="s">
        <v>38</v>
      </c>
      <c r="P709" s="2" t="s">
        <v>742</v>
      </c>
      <c r="Q709" s="2" t="s">
        <v>38</v>
      </c>
      <c r="R709" s="2" t="s">
        <v>41</v>
      </c>
      <c r="S709" s="2" t="s">
        <v>167</v>
      </c>
      <c r="T709" s="2" t="s">
        <v>372</v>
      </c>
      <c r="U709" s="2" t="s">
        <v>465</v>
      </c>
      <c r="V709" s="2" t="s">
        <v>912</v>
      </c>
      <c r="W709" s="2" t="s">
        <v>38</v>
      </c>
      <c r="X709" s="3">
        <v>41250</v>
      </c>
      <c r="Y709" s="2" t="s">
        <v>2280</v>
      </c>
      <c r="Z709" s="4"/>
      <c r="AA709" s="2" t="s">
        <v>672</v>
      </c>
      <c r="AB709" s="2" t="s">
        <v>2256</v>
      </c>
      <c r="AC709" s="12">
        <f t="shared" si="66"/>
        <v>2012</v>
      </c>
      <c r="AD709" s="12">
        <f t="shared" si="67"/>
        <v>12</v>
      </c>
      <c r="AE709" s="12">
        <f t="shared" si="68"/>
        <v>7</v>
      </c>
      <c r="AF709" s="16">
        <f t="shared" si="69"/>
        <v>16.2</v>
      </c>
      <c r="AG709" s="16">
        <f t="shared" si="70"/>
        <v>32.9</v>
      </c>
      <c r="AH709" s="16" t="str">
        <f t="shared" si="71"/>
        <v/>
      </c>
    </row>
    <row r="710" spans="1:34" x14ac:dyDescent="0.35">
      <c r="A710" s="2" t="s">
        <v>2282</v>
      </c>
      <c r="B710" s="2" t="s">
        <v>29</v>
      </c>
      <c r="C710" s="2" t="s">
        <v>30</v>
      </c>
      <c r="D710" s="2" t="s">
        <v>36</v>
      </c>
      <c r="E710" s="2" t="s">
        <v>596</v>
      </c>
      <c r="F710" s="2" t="s">
        <v>1920</v>
      </c>
      <c r="G710" s="2" t="s">
        <v>34</v>
      </c>
      <c r="H710" s="2" t="s">
        <v>475</v>
      </c>
      <c r="I710" s="2" t="s">
        <v>114</v>
      </c>
      <c r="J710" s="2" t="s">
        <v>37</v>
      </c>
      <c r="K710" s="2" t="s">
        <v>38</v>
      </c>
      <c r="L710" s="2" t="s">
        <v>38</v>
      </c>
      <c r="M710" s="2" t="s">
        <v>39</v>
      </c>
      <c r="N710" s="2" t="s">
        <v>38</v>
      </c>
      <c r="O710" s="2" t="s">
        <v>38</v>
      </c>
      <c r="P710" s="2" t="s">
        <v>742</v>
      </c>
      <c r="Q710" s="2" t="s">
        <v>38</v>
      </c>
      <c r="R710" s="2" t="s">
        <v>41</v>
      </c>
      <c r="S710" s="2" t="s">
        <v>1003</v>
      </c>
      <c r="T710" s="2" t="s">
        <v>372</v>
      </c>
      <c r="U710" s="2" t="s">
        <v>1249</v>
      </c>
      <c r="V710" s="2" t="s">
        <v>1484</v>
      </c>
      <c r="W710" s="2" t="s">
        <v>38</v>
      </c>
      <c r="X710" s="3">
        <v>41251</v>
      </c>
      <c r="Y710" s="2" t="s">
        <v>2283</v>
      </c>
      <c r="Z710" s="34"/>
      <c r="AA710" s="2" t="s">
        <v>672</v>
      </c>
      <c r="AB710" s="2" t="s">
        <v>2256</v>
      </c>
      <c r="AC710" s="12">
        <f t="shared" si="66"/>
        <v>2012</v>
      </c>
      <c r="AD710" s="12">
        <f t="shared" si="67"/>
        <v>12</v>
      </c>
      <c r="AE710" s="12">
        <f t="shared" si="68"/>
        <v>8</v>
      </c>
      <c r="AF710" s="16">
        <f t="shared" si="69"/>
        <v>19.399999999999999</v>
      </c>
      <c r="AG710" s="16">
        <f t="shared" si="70"/>
        <v>32.9</v>
      </c>
      <c r="AH710" s="16" t="str">
        <f t="shared" si="71"/>
        <v/>
      </c>
    </row>
    <row r="711" spans="1:34" x14ac:dyDescent="0.35">
      <c r="A711" s="2" t="s">
        <v>2285</v>
      </c>
      <c r="B711" s="2" t="s">
        <v>29</v>
      </c>
      <c r="C711" s="2" t="s">
        <v>30</v>
      </c>
      <c r="D711" s="2" t="s">
        <v>77</v>
      </c>
      <c r="E711" s="2" t="s">
        <v>66</v>
      </c>
      <c r="F711" s="2" t="s">
        <v>1389</v>
      </c>
      <c r="G711" s="2" t="s">
        <v>34</v>
      </c>
      <c r="H711" s="2" t="s">
        <v>35</v>
      </c>
      <c r="I711" s="2" t="s">
        <v>114</v>
      </c>
      <c r="J711" s="2" t="s">
        <v>37</v>
      </c>
      <c r="K711" s="2" t="s">
        <v>38</v>
      </c>
      <c r="L711" s="2" t="s">
        <v>38</v>
      </c>
      <c r="M711" s="2" t="s">
        <v>39</v>
      </c>
      <c r="N711" s="2" t="s">
        <v>38</v>
      </c>
      <c r="O711" s="2" t="s">
        <v>38</v>
      </c>
      <c r="P711" s="2" t="s">
        <v>742</v>
      </c>
      <c r="Q711" s="2" t="s">
        <v>38</v>
      </c>
      <c r="R711" s="2" t="s">
        <v>41</v>
      </c>
      <c r="S711" s="2" t="s">
        <v>915</v>
      </c>
      <c r="T711" s="2" t="s">
        <v>760</v>
      </c>
      <c r="U711" s="2" t="s">
        <v>132</v>
      </c>
      <c r="V711" s="2" t="s">
        <v>75</v>
      </c>
      <c r="W711" s="2" t="s">
        <v>38</v>
      </c>
      <c r="X711" s="3">
        <v>41252</v>
      </c>
      <c r="Y711" s="2" t="s">
        <v>2287</v>
      </c>
      <c r="Z711" s="4"/>
      <c r="AA711" s="2" t="s">
        <v>672</v>
      </c>
      <c r="AB711" s="2" t="s">
        <v>2256</v>
      </c>
      <c r="AC711" s="12">
        <f t="shared" si="66"/>
        <v>2012</v>
      </c>
      <c r="AD711" s="12">
        <f t="shared" si="67"/>
        <v>12</v>
      </c>
      <c r="AE711" s="12">
        <f t="shared" si="68"/>
        <v>9</v>
      </c>
      <c r="AF711" s="16">
        <f t="shared" si="69"/>
        <v>15.3</v>
      </c>
      <c r="AG711" s="16">
        <f t="shared" si="70"/>
        <v>32.9</v>
      </c>
      <c r="AH711" s="16" t="str">
        <f t="shared" si="71"/>
        <v/>
      </c>
    </row>
    <row r="712" spans="1:34" x14ac:dyDescent="0.35">
      <c r="A712" s="2" t="s">
        <v>2288</v>
      </c>
      <c r="B712" s="2" t="s">
        <v>29</v>
      </c>
      <c r="C712" s="2" t="s">
        <v>30</v>
      </c>
      <c r="D712" s="2" t="s">
        <v>77</v>
      </c>
      <c r="E712" s="2" t="s">
        <v>104</v>
      </c>
      <c r="F712" s="2" t="s">
        <v>1389</v>
      </c>
      <c r="G712" s="2" t="s">
        <v>34</v>
      </c>
      <c r="H712" s="2" t="s">
        <v>202</v>
      </c>
      <c r="I712" s="2" t="s">
        <v>128</v>
      </c>
      <c r="J712" s="2" t="s">
        <v>37</v>
      </c>
      <c r="K712" s="2" t="s">
        <v>38</v>
      </c>
      <c r="L712" s="2" t="s">
        <v>38</v>
      </c>
      <c r="M712" s="2" t="s">
        <v>39</v>
      </c>
      <c r="N712" s="2" t="s">
        <v>38</v>
      </c>
      <c r="O712" s="2" t="s">
        <v>38</v>
      </c>
      <c r="P712" s="2" t="s">
        <v>129</v>
      </c>
      <c r="Q712" s="2" t="s">
        <v>38</v>
      </c>
      <c r="R712" s="2" t="s">
        <v>98</v>
      </c>
      <c r="S712" s="2" t="s">
        <v>99</v>
      </c>
      <c r="T712" s="2" t="s">
        <v>90</v>
      </c>
      <c r="U712" s="2" t="s">
        <v>81</v>
      </c>
      <c r="V712" s="2" t="s">
        <v>618</v>
      </c>
      <c r="W712" s="2" t="s">
        <v>38</v>
      </c>
      <c r="X712" s="3">
        <v>41253</v>
      </c>
      <c r="Y712" s="2" t="s">
        <v>2291</v>
      </c>
      <c r="Z712" s="34"/>
      <c r="AA712" s="2" t="s">
        <v>672</v>
      </c>
      <c r="AB712" s="2" t="s">
        <v>2256</v>
      </c>
      <c r="AC712" s="12">
        <f t="shared" si="66"/>
        <v>2012</v>
      </c>
      <c r="AD712" s="12">
        <f t="shared" si="67"/>
        <v>12</v>
      </c>
      <c r="AE712" s="12">
        <f t="shared" si="68"/>
        <v>10</v>
      </c>
      <c r="AF712" s="16">
        <f t="shared" si="69"/>
        <v>12.7</v>
      </c>
      <c r="AG712" s="16">
        <f t="shared" si="70"/>
        <v>32.299999999999997</v>
      </c>
      <c r="AH712" s="16" t="str">
        <f t="shared" si="71"/>
        <v/>
      </c>
    </row>
    <row r="713" spans="1:34" x14ac:dyDescent="0.35">
      <c r="A713" s="2" t="s">
        <v>2292</v>
      </c>
      <c r="B713" s="2" t="s">
        <v>29</v>
      </c>
      <c r="C713" s="2" t="s">
        <v>30</v>
      </c>
      <c r="D713" s="2" t="s">
        <v>77</v>
      </c>
      <c r="E713" s="2" t="s">
        <v>195</v>
      </c>
      <c r="F713" s="2" t="s">
        <v>307</v>
      </c>
      <c r="G713" s="2" t="s">
        <v>34</v>
      </c>
      <c r="H713" s="2" t="s">
        <v>79</v>
      </c>
      <c r="I713" s="2" t="s">
        <v>128</v>
      </c>
      <c r="J713" s="2" t="s">
        <v>37</v>
      </c>
      <c r="K713" s="2" t="s">
        <v>38</v>
      </c>
      <c r="L713" s="2" t="s">
        <v>38</v>
      </c>
      <c r="M713" s="2" t="s">
        <v>39</v>
      </c>
      <c r="N713" s="2" t="s">
        <v>38</v>
      </c>
      <c r="O713" s="2" t="s">
        <v>38</v>
      </c>
      <c r="P713" s="2" t="s">
        <v>145</v>
      </c>
      <c r="Q713" s="2" t="s">
        <v>38</v>
      </c>
      <c r="R713" s="2" t="s">
        <v>98</v>
      </c>
      <c r="S713" s="2" t="s">
        <v>533</v>
      </c>
      <c r="T713" s="2" t="s">
        <v>90</v>
      </c>
      <c r="U713" s="2" t="s">
        <v>81</v>
      </c>
      <c r="V713" s="2" t="s">
        <v>212</v>
      </c>
      <c r="W713" s="2" t="s">
        <v>38</v>
      </c>
      <c r="X713" s="3">
        <v>41254</v>
      </c>
      <c r="Y713" s="2" t="s">
        <v>2293</v>
      </c>
      <c r="Z713" s="4"/>
      <c r="AA713" s="2" t="s">
        <v>672</v>
      </c>
      <c r="AB713" s="2" t="s">
        <v>2256</v>
      </c>
      <c r="AC713" s="12">
        <f t="shared" si="66"/>
        <v>2012</v>
      </c>
      <c r="AD713" s="12">
        <f t="shared" si="67"/>
        <v>12</v>
      </c>
      <c r="AE713" s="12">
        <f t="shared" si="68"/>
        <v>11</v>
      </c>
      <c r="AF713" s="16">
        <f t="shared" si="69"/>
        <v>7.9</v>
      </c>
      <c r="AG713" s="16">
        <f t="shared" si="70"/>
        <v>31.9</v>
      </c>
      <c r="AH713" s="16" t="str">
        <f t="shared" si="71"/>
        <v/>
      </c>
    </row>
    <row r="714" spans="1:34" x14ac:dyDescent="0.35">
      <c r="A714" s="2" t="s">
        <v>2295</v>
      </c>
      <c r="B714" s="2" t="s">
        <v>29</v>
      </c>
      <c r="C714" s="2" t="s">
        <v>30</v>
      </c>
      <c r="D714" s="2" t="s">
        <v>77</v>
      </c>
      <c r="E714" s="2" t="s">
        <v>403</v>
      </c>
      <c r="F714" s="2" t="s">
        <v>515</v>
      </c>
      <c r="G714" s="2" t="s">
        <v>34</v>
      </c>
      <c r="H714" s="2" t="s">
        <v>35</v>
      </c>
      <c r="I714" s="2" t="s">
        <v>36</v>
      </c>
      <c r="J714" s="2" t="s">
        <v>37</v>
      </c>
      <c r="K714" s="2" t="s">
        <v>38</v>
      </c>
      <c r="L714" s="2" t="s">
        <v>38</v>
      </c>
      <c r="M714" s="2" t="s">
        <v>39</v>
      </c>
      <c r="N714" s="2" t="s">
        <v>38</v>
      </c>
      <c r="O714" s="2" t="s">
        <v>38</v>
      </c>
      <c r="P714" s="2" t="s">
        <v>2060</v>
      </c>
      <c r="Q714" s="2" t="s">
        <v>38</v>
      </c>
      <c r="R714" s="2" t="s">
        <v>98</v>
      </c>
      <c r="S714" s="2" t="s">
        <v>89</v>
      </c>
      <c r="T714" s="2" t="s">
        <v>90</v>
      </c>
      <c r="U714" s="2" t="s">
        <v>81</v>
      </c>
      <c r="V714" s="2" t="s">
        <v>2296</v>
      </c>
      <c r="W714" s="2" t="s">
        <v>38</v>
      </c>
      <c r="X714" s="3">
        <v>41255</v>
      </c>
      <c r="Y714" s="2" t="s">
        <v>2297</v>
      </c>
      <c r="Z714" s="4"/>
      <c r="AA714" s="2" t="s">
        <v>672</v>
      </c>
      <c r="AB714" s="2" t="s">
        <v>2256</v>
      </c>
      <c r="AC714" s="12">
        <f t="shared" si="66"/>
        <v>2012</v>
      </c>
      <c r="AD714" s="12">
        <f t="shared" si="67"/>
        <v>12</v>
      </c>
      <c r="AE714" s="12">
        <f t="shared" si="68"/>
        <v>12</v>
      </c>
      <c r="AF714" s="16">
        <f t="shared" si="69"/>
        <v>1.6</v>
      </c>
      <c r="AG714" s="16">
        <f t="shared" si="70"/>
        <v>31.2</v>
      </c>
      <c r="AH714" s="16" t="str">
        <f t="shared" si="71"/>
        <v/>
      </c>
    </row>
    <row r="715" spans="1:34" x14ac:dyDescent="0.35">
      <c r="A715" s="2" t="s">
        <v>2299</v>
      </c>
      <c r="B715" s="2" t="s">
        <v>29</v>
      </c>
      <c r="C715" s="2" t="s">
        <v>30</v>
      </c>
      <c r="D715" s="2" t="s">
        <v>31</v>
      </c>
      <c r="E715" s="2" t="s">
        <v>112</v>
      </c>
      <c r="F715" s="2" t="s">
        <v>370</v>
      </c>
      <c r="G715" s="2" t="s">
        <v>34</v>
      </c>
      <c r="H715" s="2" t="s">
        <v>144</v>
      </c>
      <c r="I715" s="2" t="s">
        <v>36</v>
      </c>
      <c r="J715" s="2" t="s">
        <v>37</v>
      </c>
      <c r="K715" s="2" t="s">
        <v>38</v>
      </c>
      <c r="L715" s="2" t="s">
        <v>38</v>
      </c>
      <c r="M715" s="2" t="s">
        <v>39</v>
      </c>
      <c r="N715" s="2" t="s">
        <v>38</v>
      </c>
      <c r="O715" s="2" t="s">
        <v>38</v>
      </c>
      <c r="P715" s="2" t="s">
        <v>80</v>
      </c>
      <c r="Q715" s="2" t="s">
        <v>38</v>
      </c>
      <c r="R715" s="2" t="s">
        <v>98</v>
      </c>
      <c r="S715" s="2" t="s">
        <v>1959</v>
      </c>
      <c r="T715" s="2" t="s">
        <v>73</v>
      </c>
      <c r="U715" s="2" t="s">
        <v>1281</v>
      </c>
      <c r="V715" s="2" t="s">
        <v>169</v>
      </c>
      <c r="W715" s="2" t="s">
        <v>38</v>
      </c>
      <c r="X715" s="3">
        <v>41256</v>
      </c>
      <c r="Y715" s="2" t="s">
        <v>2300</v>
      </c>
      <c r="Z715" s="34"/>
      <c r="AA715" s="2" t="s">
        <v>672</v>
      </c>
      <c r="AB715" s="2" t="s">
        <v>2256</v>
      </c>
      <c r="AC715" s="12">
        <f t="shared" si="66"/>
        <v>2012</v>
      </c>
      <c r="AD715" s="12">
        <f t="shared" si="67"/>
        <v>12</v>
      </c>
      <c r="AE715" s="12">
        <f t="shared" si="68"/>
        <v>13</v>
      </c>
      <c r="AF715" s="16">
        <f t="shared" si="69"/>
        <v>10</v>
      </c>
      <c r="AG715" s="16">
        <f t="shared" si="70"/>
        <v>30.9</v>
      </c>
      <c r="AH715" s="16" t="str">
        <f t="shared" si="71"/>
        <v/>
      </c>
    </row>
    <row r="716" spans="1:34" x14ac:dyDescent="0.35">
      <c r="A716" s="2" t="s">
        <v>2303</v>
      </c>
      <c r="B716" s="2" t="s">
        <v>29</v>
      </c>
      <c r="C716" s="2" t="s">
        <v>30</v>
      </c>
      <c r="D716" s="2" t="s">
        <v>77</v>
      </c>
      <c r="E716" s="2" t="s">
        <v>32</v>
      </c>
      <c r="F716" s="2" t="s">
        <v>432</v>
      </c>
      <c r="G716" s="2" t="s">
        <v>34</v>
      </c>
      <c r="H716" s="2" t="s">
        <v>2307</v>
      </c>
      <c r="I716" s="2" t="s">
        <v>111</v>
      </c>
      <c r="J716" s="2" t="s">
        <v>37</v>
      </c>
      <c r="K716" s="2" t="s">
        <v>38</v>
      </c>
      <c r="L716" s="2" t="s">
        <v>38</v>
      </c>
      <c r="M716" s="2" t="s">
        <v>39</v>
      </c>
      <c r="N716" s="2" t="s">
        <v>38</v>
      </c>
      <c r="O716" s="2" t="s">
        <v>38</v>
      </c>
      <c r="P716" s="2" t="s">
        <v>174</v>
      </c>
      <c r="Q716" s="2" t="s">
        <v>38</v>
      </c>
      <c r="R716" s="2" t="s">
        <v>98</v>
      </c>
      <c r="S716" s="2" t="s">
        <v>167</v>
      </c>
      <c r="T716" s="2" t="s">
        <v>73</v>
      </c>
      <c r="U716" s="2" t="s">
        <v>147</v>
      </c>
      <c r="V716" s="2" t="s">
        <v>92</v>
      </c>
      <c r="W716" s="2" t="s">
        <v>38</v>
      </c>
      <c r="X716" s="3">
        <v>41257</v>
      </c>
      <c r="Y716" s="2" t="s">
        <v>2308</v>
      </c>
      <c r="Z716" s="34"/>
      <c r="AA716" s="2" t="s">
        <v>672</v>
      </c>
      <c r="AB716" s="2" t="s">
        <v>2256</v>
      </c>
      <c r="AC716" s="12">
        <f t="shared" si="66"/>
        <v>2012</v>
      </c>
      <c r="AD716" s="12">
        <f t="shared" si="67"/>
        <v>12</v>
      </c>
      <c r="AE716" s="12">
        <f t="shared" si="68"/>
        <v>14</v>
      </c>
      <c r="AF716" s="16">
        <f t="shared" si="69"/>
        <v>15.8</v>
      </c>
      <c r="AG716" s="16">
        <f t="shared" si="70"/>
        <v>30.4</v>
      </c>
      <c r="AH716" s="16" t="str">
        <f t="shared" si="71"/>
        <v/>
      </c>
    </row>
    <row r="717" spans="1:34" x14ac:dyDescent="0.35">
      <c r="A717" s="2" t="s">
        <v>2309</v>
      </c>
      <c r="B717" s="2" t="s">
        <v>29</v>
      </c>
      <c r="C717" s="2" t="s">
        <v>30</v>
      </c>
      <c r="D717" s="2" t="s">
        <v>77</v>
      </c>
      <c r="E717" s="2" t="s">
        <v>51</v>
      </c>
      <c r="F717" s="2" t="s">
        <v>432</v>
      </c>
      <c r="G717" s="2" t="s">
        <v>34</v>
      </c>
      <c r="H717" s="2" t="s">
        <v>113</v>
      </c>
      <c r="I717" s="2" t="s">
        <v>128</v>
      </c>
      <c r="J717" s="2" t="s">
        <v>37</v>
      </c>
      <c r="K717" s="2" t="s">
        <v>38</v>
      </c>
      <c r="L717" s="2" t="s">
        <v>38</v>
      </c>
      <c r="M717" s="2" t="s">
        <v>39</v>
      </c>
      <c r="N717" s="2" t="s">
        <v>38</v>
      </c>
      <c r="O717" s="2" t="s">
        <v>38</v>
      </c>
      <c r="P717" s="2" t="s">
        <v>487</v>
      </c>
      <c r="Q717" s="2" t="s">
        <v>38</v>
      </c>
      <c r="R717" s="2" t="s">
        <v>41</v>
      </c>
      <c r="S717" s="2" t="s">
        <v>2312</v>
      </c>
      <c r="T717" s="2" t="s">
        <v>372</v>
      </c>
      <c r="U717" s="2" t="s">
        <v>2025</v>
      </c>
      <c r="V717" s="2" t="s">
        <v>933</v>
      </c>
      <c r="W717" s="2" t="s">
        <v>38</v>
      </c>
      <c r="X717" s="3">
        <v>41258</v>
      </c>
      <c r="Y717" s="2" t="s">
        <v>2313</v>
      </c>
      <c r="Z717" s="4"/>
      <c r="AA717" s="2" t="s">
        <v>672</v>
      </c>
      <c r="AB717" s="2" t="s">
        <v>2256</v>
      </c>
      <c r="AC717" s="12">
        <f t="shared" si="66"/>
        <v>2012</v>
      </c>
      <c r="AD717" s="12">
        <f t="shared" si="67"/>
        <v>12</v>
      </c>
      <c r="AE717" s="12">
        <f t="shared" si="68"/>
        <v>15</v>
      </c>
      <c r="AF717" s="16">
        <f t="shared" si="69"/>
        <v>16.899999999999999</v>
      </c>
      <c r="AG717" s="16">
        <f t="shared" si="70"/>
        <v>31.8</v>
      </c>
      <c r="AH717" s="16" t="str">
        <f t="shared" si="71"/>
        <v/>
      </c>
    </row>
    <row r="718" spans="1:34" x14ac:dyDescent="0.35">
      <c r="A718" s="2" t="s">
        <v>2314</v>
      </c>
      <c r="B718" s="2" t="s">
        <v>29</v>
      </c>
      <c r="C718" s="2" t="s">
        <v>30</v>
      </c>
      <c r="D718" s="2" t="s">
        <v>31</v>
      </c>
      <c r="E718" s="2" t="s">
        <v>142</v>
      </c>
      <c r="F718" s="2" t="s">
        <v>52</v>
      </c>
      <c r="G718" s="2" t="s">
        <v>34</v>
      </c>
      <c r="H718" s="2" t="s">
        <v>877</v>
      </c>
      <c r="I718" s="2" t="s">
        <v>111</v>
      </c>
      <c r="J718" s="2" t="s">
        <v>37</v>
      </c>
      <c r="K718" s="2" t="s">
        <v>38</v>
      </c>
      <c r="L718" s="2" t="s">
        <v>38</v>
      </c>
      <c r="M718" s="2" t="s">
        <v>39</v>
      </c>
      <c r="N718" s="2" t="s">
        <v>38</v>
      </c>
      <c r="O718" s="2" t="s">
        <v>38</v>
      </c>
      <c r="P718" s="2" t="s">
        <v>1590</v>
      </c>
      <c r="Q718" s="2" t="s">
        <v>38</v>
      </c>
      <c r="R718" s="2" t="s">
        <v>98</v>
      </c>
      <c r="S718" s="2" t="s">
        <v>2074</v>
      </c>
      <c r="T718" s="2" t="s">
        <v>73</v>
      </c>
      <c r="U718" s="2" t="s">
        <v>1281</v>
      </c>
      <c r="V718" s="2" t="s">
        <v>184</v>
      </c>
      <c r="W718" s="2" t="s">
        <v>38</v>
      </c>
      <c r="X718" s="3">
        <v>41259</v>
      </c>
      <c r="Y718" s="2" t="s">
        <v>2317</v>
      </c>
      <c r="Z718" s="34"/>
      <c r="AA718" s="2" t="s">
        <v>672</v>
      </c>
      <c r="AB718" s="2" t="s">
        <v>2256</v>
      </c>
      <c r="AC718" s="12">
        <f t="shared" si="66"/>
        <v>2012</v>
      </c>
      <c r="AD718" s="12">
        <f t="shared" si="67"/>
        <v>12</v>
      </c>
      <c r="AE718" s="12">
        <f t="shared" si="68"/>
        <v>16</v>
      </c>
      <c r="AF718" s="16">
        <f t="shared" si="69"/>
        <v>11.4</v>
      </c>
      <c r="AG718" s="16">
        <f t="shared" si="70"/>
        <v>30.2</v>
      </c>
      <c r="AH718" s="16" t="str">
        <f t="shared" si="71"/>
        <v/>
      </c>
    </row>
    <row r="719" spans="1:34" x14ac:dyDescent="0.35">
      <c r="A719" s="2" t="s">
        <v>2318</v>
      </c>
      <c r="B719" s="2" t="s">
        <v>29</v>
      </c>
      <c r="C719" s="2" t="s">
        <v>30</v>
      </c>
      <c r="D719" s="2" t="s">
        <v>31</v>
      </c>
      <c r="E719" s="2" t="s">
        <v>30</v>
      </c>
      <c r="F719" s="2" t="s">
        <v>650</v>
      </c>
      <c r="G719" s="2" t="s">
        <v>34</v>
      </c>
      <c r="H719" s="2" t="s">
        <v>451</v>
      </c>
      <c r="I719" s="2" t="s">
        <v>77</v>
      </c>
      <c r="J719" s="2" t="s">
        <v>37</v>
      </c>
      <c r="K719" s="2" t="s">
        <v>38</v>
      </c>
      <c r="L719" s="2" t="s">
        <v>38</v>
      </c>
      <c r="M719" s="2" t="s">
        <v>39</v>
      </c>
      <c r="N719" s="2" t="s">
        <v>38</v>
      </c>
      <c r="O719" s="2" t="s">
        <v>38</v>
      </c>
      <c r="P719" s="2" t="s">
        <v>1598</v>
      </c>
      <c r="Q719" s="2" t="s">
        <v>38</v>
      </c>
      <c r="R719" s="2" t="s">
        <v>98</v>
      </c>
      <c r="S719" s="2" t="s">
        <v>1020</v>
      </c>
      <c r="T719" s="2" t="s">
        <v>73</v>
      </c>
      <c r="U719" s="2" t="s">
        <v>418</v>
      </c>
      <c r="V719" s="2" t="s">
        <v>354</v>
      </c>
      <c r="W719" s="2" t="s">
        <v>38</v>
      </c>
      <c r="X719" s="3">
        <v>41260</v>
      </c>
      <c r="Y719" s="2" t="s">
        <v>2319</v>
      </c>
      <c r="Z719" s="4"/>
      <c r="AA719" s="2" t="s">
        <v>672</v>
      </c>
      <c r="AB719" s="2" t="s">
        <v>2256</v>
      </c>
      <c r="AC719" s="12">
        <f t="shared" si="66"/>
        <v>2012</v>
      </c>
      <c r="AD719" s="12">
        <f t="shared" si="67"/>
        <v>12</v>
      </c>
      <c r="AE719" s="12">
        <f t="shared" si="68"/>
        <v>17</v>
      </c>
      <c r="AF719" s="16">
        <f t="shared" si="69"/>
        <v>12.1</v>
      </c>
      <c r="AG719" s="16">
        <f t="shared" si="70"/>
        <v>29.5</v>
      </c>
      <c r="AH719" s="16" t="str">
        <f t="shared" si="71"/>
        <v/>
      </c>
    </row>
    <row r="720" spans="1:34" x14ac:dyDescent="0.35">
      <c r="A720" s="2" t="s">
        <v>2323</v>
      </c>
      <c r="B720" s="2" t="s">
        <v>29</v>
      </c>
      <c r="C720" s="2" t="s">
        <v>30</v>
      </c>
      <c r="D720" s="2" t="s">
        <v>31</v>
      </c>
      <c r="E720" s="2" t="s">
        <v>165</v>
      </c>
      <c r="F720" s="2" t="s">
        <v>889</v>
      </c>
      <c r="G720" s="2" t="s">
        <v>34</v>
      </c>
      <c r="H720" s="2" t="s">
        <v>233</v>
      </c>
      <c r="I720" s="2" t="s">
        <v>111</v>
      </c>
      <c r="J720" s="2" t="s">
        <v>37</v>
      </c>
      <c r="K720" s="2" t="s">
        <v>38</v>
      </c>
      <c r="L720" s="2" t="s">
        <v>38</v>
      </c>
      <c r="M720" s="2" t="s">
        <v>39</v>
      </c>
      <c r="N720" s="2" t="s">
        <v>38</v>
      </c>
      <c r="O720" s="2" t="s">
        <v>38</v>
      </c>
      <c r="P720" s="2" t="s">
        <v>516</v>
      </c>
      <c r="Q720" s="2" t="s">
        <v>38</v>
      </c>
      <c r="R720" s="2" t="s">
        <v>98</v>
      </c>
      <c r="S720" s="2" t="s">
        <v>2119</v>
      </c>
      <c r="T720" s="2" t="s">
        <v>73</v>
      </c>
      <c r="U720" s="2" t="s">
        <v>418</v>
      </c>
      <c r="V720" s="2" t="s">
        <v>586</v>
      </c>
      <c r="W720" s="2" t="s">
        <v>38</v>
      </c>
      <c r="X720" s="3">
        <v>41261</v>
      </c>
      <c r="Y720" s="2" t="s">
        <v>2324</v>
      </c>
      <c r="Z720" s="4"/>
      <c r="AA720" s="2" t="s">
        <v>672</v>
      </c>
      <c r="AB720" s="2" t="s">
        <v>2256</v>
      </c>
      <c r="AC720" s="12">
        <f t="shared" si="66"/>
        <v>2012</v>
      </c>
      <c r="AD720" s="12">
        <f t="shared" si="67"/>
        <v>12</v>
      </c>
      <c r="AE720" s="12">
        <f t="shared" si="68"/>
        <v>18</v>
      </c>
      <c r="AF720" s="16">
        <f t="shared" si="69"/>
        <v>8.8000000000000007</v>
      </c>
      <c r="AG720" s="16">
        <f t="shared" si="70"/>
        <v>29.8</v>
      </c>
      <c r="AH720" s="16" t="str">
        <f t="shared" si="71"/>
        <v/>
      </c>
    </row>
    <row r="721" spans="1:34" x14ac:dyDescent="0.35">
      <c r="A721" s="2" t="s">
        <v>2327</v>
      </c>
      <c r="B721" s="2" t="s">
        <v>29</v>
      </c>
      <c r="C721" s="2" t="s">
        <v>30</v>
      </c>
      <c r="D721" s="2" t="s">
        <v>200</v>
      </c>
      <c r="E721" s="2" t="s">
        <v>112</v>
      </c>
      <c r="F721" s="2" t="s">
        <v>143</v>
      </c>
      <c r="G721" s="2" t="s">
        <v>34</v>
      </c>
      <c r="H721" s="2" t="s">
        <v>54</v>
      </c>
      <c r="I721" s="2" t="s">
        <v>171</v>
      </c>
      <c r="J721" s="2" t="s">
        <v>37</v>
      </c>
      <c r="K721" s="2" t="s">
        <v>38</v>
      </c>
      <c r="L721" s="2" t="s">
        <v>38</v>
      </c>
      <c r="M721" s="2" t="s">
        <v>39</v>
      </c>
      <c r="N721" s="2" t="s">
        <v>38</v>
      </c>
      <c r="O721" s="2" t="s">
        <v>38</v>
      </c>
      <c r="P721" s="2" t="s">
        <v>321</v>
      </c>
      <c r="Q721" s="2" t="s">
        <v>38</v>
      </c>
      <c r="R721" s="2" t="s">
        <v>98</v>
      </c>
      <c r="S721" s="2" t="s">
        <v>122</v>
      </c>
      <c r="T721" s="2" t="s">
        <v>73</v>
      </c>
      <c r="U721" s="2" t="s">
        <v>236</v>
      </c>
      <c r="V721" s="2" t="s">
        <v>228</v>
      </c>
      <c r="W721" s="2" t="s">
        <v>38</v>
      </c>
      <c r="X721" s="3">
        <v>41262</v>
      </c>
      <c r="Y721" s="2" t="s">
        <v>2329</v>
      </c>
      <c r="Z721" s="34"/>
      <c r="AA721" s="2" t="s">
        <v>672</v>
      </c>
      <c r="AB721" s="2" t="s">
        <v>2256</v>
      </c>
      <c r="AC721" s="12">
        <f t="shared" si="66"/>
        <v>2012</v>
      </c>
      <c r="AD721" s="12">
        <f t="shared" si="67"/>
        <v>12</v>
      </c>
      <c r="AE721" s="12">
        <f t="shared" si="68"/>
        <v>19</v>
      </c>
      <c r="AF721" s="16">
        <f t="shared" si="69"/>
        <v>9.8000000000000007</v>
      </c>
      <c r="AG721" s="16">
        <f t="shared" si="70"/>
        <v>27.2</v>
      </c>
      <c r="AH721" s="16" t="str">
        <f t="shared" si="71"/>
        <v/>
      </c>
    </row>
    <row r="722" spans="1:34" x14ac:dyDescent="0.35">
      <c r="A722" s="2" t="s">
        <v>2330</v>
      </c>
      <c r="B722" s="2" t="s">
        <v>29</v>
      </c>
      <c r="C722" s="2" t="s">
        <v>30</v>
      </c>
      <c r="D722" s="2" t="s">
        <v>171</v>
      </c>
      <c r="E722" s="2" t="s">
        <v>112</v>
      </c>
      <c r="F722" s="2" t="s">
        <v>330</v>
      </c>
      <c r="G722" s="2" t="s">
        <v>34</v>
      </c>
      <c r="H722" s="2" t="s">
        <v>2332</v>
      </c>
      <c r="I722" s="2" t="s">
        <v>77</v>
      </c>
      <c r="J722" s="2" t="s">
        <v>37</v>
      </c>
      <c r="K722" s="2" t="s">
        <v>38</v>
      </c>
      <c r="L722" s="2" t="s">
        <v>38</v>
      </c>
      <c r="M722" s="2" t="s">
        <v>39</v>
      </c>
      <c r="N722" s="2" t="s">
        <v>38</v>
      </c>
      <c r="O722" s="2" t="s">
        <v>38</v>
      </c>
      <c r="P722" s="2" t="s">
        <v>1691</v>
      </c>
      <c r="Q722" s="2" t="s">
        <v>38</v>
      </c>
      <c r="R722" s="2" t="s">
        <v>98</v>
      </c>
      <c r="S722" s="2" t="s">
        <v>167</v>
      </c>
      <c r="T722" s="2" t="s">
        <v>73</v>
      </c>
      <c r="U722" s="2" t="s">
        <v>175</v>
      </c>
      <c r="V722" s="2" t="s">
        <v>664</v>
      </c>
      <c r="W722" s="2" t="s">
        <v>38</v>
      </c>
      <c r="X722" s="3">
        <v>41263</v>
      </c>
      <c r="Y722" s="2" t="s">
        <v>2333</v>
      </c>
      <c r="Z722" s="34"/>
      <c r="AA722" s="2" t="s">
        <v>672</v>
      </c>
      <c r="AB722" s="2" t="s">
        <v>2256</v>
      </c>
      <c r="AC722" s="12">
        <f t="shared" si="66"/>
        <v>2012</v>
      </c>
      <c r="AD722" s="12">
        <f t="shared" si="67"/>
        <v>12</v>
      </c>
      <c r="AE722" s="12">
        <f t="shared" si="68"/>
        <v>20</v>
      </c>
      <c r="AF722" s="16">
        <f t="shared" si="69"/>
        <v>10.1</v>
      </c>
      <c r="AG722" s="16">
        <f t="shared" si="70"/>
        <v>28.7</v>
      </c>
      <c r="AH722" s="16" t="str">
        <f t="shared" si="71"/>
        <v/>
      </c>
    </row>
    <row r="723" spans="1:34" x14ac:dyDescent="0.35">
      <c r="A723" s="2" t="s">
        <v>2334</v>
      </c>
      <c r="B723" s="2" t="s">
        <v>29</v>
      </c>
      <c r="C723" s="2" t="s">
        <v>30</v>
      </c>
      <c r="D723" s="2" t="s">
        <v>77</v>
      </c>
      <c r="E723" s="2" t="s">
        <v>51</v>
      </c>
      <c r="F723" s="2" t="s">
        <v>515</v>
      </c>
      <c r="G723" s="2" t="s">
        <v>34</v>
      </c>
      <c r="H723" s="2" t="s">
        <v>137</v>
      </c>
      <c r="I723" s="2" t="s">
        <v>36</v>
      </c>
      <c r="J723" s="2" t="s">
        <v>37</v>
      </c>
      <c r="K723" s="2" t="s">
        <v>38</v>
      </c>
      <c r="L723" s="2" t="s">
        <v>38</v>
      </c>
      <c r="M723" s="2" t="s">
        <v>39</v>
      </c>
      <c r="N723" s="2" t="s">
        <v>38</v>
      </c>
      <c r="O723" s="2" t="s">
        <v>38</v>
      </c>
      <c r="P723" s="2" t="s">
        <v>2100</v>
      </c>
      <c r="Q723" s="2" t="s">
        <v>38</v>
      </c>
      <c r="R723" s="2" t="s">
        <v>98</v>
      </c>
      <c r="S723" s="2" t="s">
        <v>89</v>
      </c>
      <c r="T723" s="2" t="s">
        <v>90</v>
      </c>
      <c r="U723" s="2" t="s">
        <v>1124</v>
      </c>
      <c r="V723" s="2" t="s">
        <v>933</v>
      </c>
      <c r="W723" s="2" t="s">
        <v>38</v>
      </c>
      <c r="X723" s="3">
        <v>41264</v>
      </c>
      <c r="Y723" s="2" t="s">
        <v>2337</v>
      </c>
      <c r="Z723" s="4"/>
      <c r="AA723" s="2" t="s">
        <v>672</v>
      </c>
      <c r="AB723" s="2" t="s">
        <v>2256</v>
      </c>
      <c r="AC723" s="12">
        <f t="shared" si="66"/>
        <v>2012</v>
      </c>
      <c r="AD723" s="12">
        <f t="shared" si="67"/>
        <v>12</v>
      </c>
      <c r="AE723" s="12">
        <f t="shared" si="68"/>
        <v>21</v>
      </c>
      <c r="AF723" s="16">
        <f t="shared" si="69"/>
        <v>16.899999999999999</v>
      </c>
      <c r="AG723" s="16">
        <f t="shared" si="70"/>
        <v>31.5</v>
      </c>
      <c r="AH723" s="16" t="str">
        <f t="shared" si="71"/>
        <v/>
      </c>
    </row>
    <row r="724" spans="1:34" x14ac:dyDescent="0.35">
      <c r="A724" s="2" t="s">
        <v>2338</v>
      </c>
      <c r="B724" s="2" t="s">
        <v>29</v>
      </c>
      <c r="C724" s="2" t="s">
        <v>30</v>
      </c>
      <c r="D724" s="2" t="s">
        <v>77</v>
      </c>
      <c r="E724" s="2" t="s">
        <v>94</v>
      </c>
      <c r="F724" s="2" t="s">
        <v>462</v>
      </c>
      <c r="G724" s="2" t="s">
        <v>34</v>
      </c>
      <c r="H724" s="2" t="s">
        <v>240</v>
      </c>
      <c r="I724" s="2" t="s">
        <v>128</v>
      </c>
      <c r="J724" s="2" t="s">
        <v>37</v>
      </c>
      <c r="K724" s="2" t="s">
        <v>38</v>
      </c>
      <c r="L724" s="2" t="s">
        <v>38</v>
      </c>
      <c r="M724" s="2" t="s">
        <v>39</v>
      </c>
      <c r="N724" s="2" t="s">
        <v>38</v>
      </c>
      <c r="O724" s="2" t="s">
        <v>38</v>
      </c>
      <c r="P724" s="2" t="s">
        <v>463</v>
      </c>
      <c r="Q724" s="2" t="s">
        <v>38</v>
      </c>
      <c r="R724" s="2" t="s">
        <v>98</v>
      </c>
      <c r="S724" s="2" t="s">
        <v>167</v>
      </c>
      <c r="T724" s="2" t="s">
        <v>73</v>
      </c>
      <c r="U724" s="2" t="s">
        <v>442</v>
      </c>
      <c r="V724" s="2" t="s">
        <v>133</v>
      </c>
      <c r="W724" s="2" t="s">
        <v>38</v>
      </c>
      <c r="X724" s="3">
        <v>41265</v>
      </c>
      <c r="Y724" s="2" t="s">
        <v>2339</v>
      </c>
      <c r="Z724" s="34"/>
      <c r="AA724" s="2" t="s">
        <v>672</v>
      </c>
      <c r="AB724" s="2" t="s">
        <v>2256</v>
      </c>
      <c r="AC724" s="12">
        <f t="shared" si="66"/>
        <v>2012</v>
      </c>
      <c r="AD724" s="12">
        <f t="shared" si="67"/>
        <v>12</v>
      </c>
      <c r="AE724" s="12">
        <f t="shared" si="68"/>
        <v>22</v>
      </c>
      <c r="AF724" s="16">
        <f t="shared" si="69"/>
        <v>14.1</v>
      </c>
      <c r="AG724" s="16">
        <f t="shared" si="70"/>
        <v>31.7</v>
      </c>
      <c r="AH724" s="16" t="str">
        <f t="shared" si="71"/>
        <v/>
      </c>
    </row>
    <row r="725" spans="1:34" x14ac:dyDescent="0.35">
      <c r="A725" s="2" t="s">
        <v>2341</v>
      </c>
      <c r="B725" s="2" t="s">
        <v>29</v>
      </c>
      <c r="C725" s="2" t="s">
        <v>30</v>
      </c>
      <c r="D725" s="2" t="s">
        <v>31</v>
      </c>
      <c r="E725" s="2" t="s">
        <v>66</v>
      </c>
      <c r="F725" s="2" t="s">
        <v>370</v>
      </c>
      <c r="G725" s="2" t="s">
        <v>34</v>
      </c>
      <c r="H725" s="2" t="s">
        <v>233</v>
      </c>
      <c r="I725" s="2" t="s">
        <v>36</v>
      </c>
      <c r="J725" s="2" t="s">
        <v>37</v>
      </c>
      <c r="K725" s="2" t="s">
        <v>38</v>
      </c>
      <c r="L725" s="2" t="s">
        <v>38</v>
      </c>
      <c r="M725" s="2" t="s">
        <v>39</v>
      </c>
      <c r="N725" s="2" t="s">
        <v>38</v>
      </c>
      <c r="O725" s="2" t="s">
        <v>38</v>
      </c>
      <c r="P725" s="2" t="s">
        <v>452</v>
      </c>
      <c r="Q725" s="2" t="s">
        <v>38</v>
      </c>
      <c r="R725" s="2" t="s">
        <v>98</v>
      </c>
      <c r="S725" s="2" t="s">
        <v>167</v>
      </c>
      <c r="T725" s="2" t="s">
        <v>73</v>
      </c>
      <c r="U725" s="2" t="s">
        <v>418</v>
      </c>
      <c r="V725" s="2" t="s">
        <v>459</v>
      </c>
      <c r="W725" s="2" t="s">
        <v>38</v>
      </c>
      <c r="X725" s="3">
        <v>41266</v>
      </c>
      <c r="Y725" s="2" t="s">
        <v>2343</v>
      </c>
      <c r="Z725" s="4"/>
      <c r="AA725" s="2" t="s">
        <v>672</v>
      </c>
      <c r="AB725" s="2" t="s">
        <v>2256</v>
      </c>
      <c r="AC725" s="12">
        <f t="shared" si="66"/>
        <v>2012</v>
      </c>
      <c r="AD725" s="12">
        <f t="shared" si="67"/>
        <v>12</v>
      </c>
      <c r="AE725" s="12">
        <f t="shared" si="68"/>
        <v>23</v>
      </c>
      <c r="AF725" s="16">
        <f t="shared" si="69"/>
        <v>15.4</v>
      </c>
      <c r="AG725" s="16">
        <f t="shared" si="70"/>
        <v>30.5</v>
      </c>
      <c r="AH725" s="16" t="str">
        <f t="shared" si="71"/>
        <v/>
      </c>
    </row>
    <row r="726" spans="1:34" x14ac:dyDescent="0.35">
      <c r="A726" s="2" t="s">
        <v>2344</v>
      </c>
      <c r="B726" s="2" t="s">
        <v>29</v>
      </c>
      <c r="C726" s="2" t="s">
        <v>30</v>
      </c>
      <c r="D726" s="2" t="s">
        <v>31</v>
      </c>
      <c r="E726" s="2" t="s">
        <v>104</v>
      </c>
      <c r="F726" s="2" t="s">
        <v>300</v>
      </c>
      <c r="G726" s="2" t="s">
        <v>34</v>
      </c>
      <c r="H726" s="2" t="s">
        <v>386</v>
      </c>
      <c r="I726" s="2" t="s">
        <v>111</v>
      </c>
      <c r="J726" s="2" t="s">
        <v>37</v>
      </c>
      <c r="K726" s="2" t="s">
        <v>38</v>
      </c>
      <c r="L726" s="2" t="s">
        <v>38</v>
      </c>
      <c r="M726" s="2" t="s">
        <v>39</v>
      </c>
      <c r="N726" s="2" t="s">
        <v>38</v>
      </c>
      <c r="O726" s="2" t="s">
        <v>38</v>
      </c>
      <c r="P726" s="2" t="s">
        <v>440</v>
      </c>
      <c r="Q726" s="2" t="s">
        <v>38</v>
      </c>
      <c r="R726" s="2" t="s">
        <v>41</v>
      </c>
      <c r="S726" s="2" t="s">
        <v>503</v>
      </c>
      <c r="T726" s="2" t="s">
        <v>417</v>
      </c>
      <c r="U726" s="2" t="s">
        <v>278</v>
      </c>
      <c r="V726" s="2" t="s">
        <v>892</v>
      </c>
      <c r="W726" s="2" t="s">
        <v>38</v>
      </c>
      <c r="X726" s="3">
        <v>41267</v>
      </c>
      <c r="Y726" s="2" t="s">
        <v>2346</v>
      </c>
      <c r="Z726" s="4"/>
      <c r="AA726" s="2" t="s">
        <v>672</v>
      </c>
      <c r="AB726" s="2" t="s">
        <v>2256</v>
      </c>
      <c r="AC726" s="12">
        <f t="shared" si="66"/>
        <v>2012</v>
      </c>
      <c r="AD726" s="12">
        <f t="shared" si="67"/>
        <v>12</v>
      </c>
      <c r="AE726" s="12">
        <f t="shared" si="68"/>
        <v>24</v>
      </c>
      <c r="AF726" s="16">
        <f t="shared" si="69"/>
        <v>13.3</v>
      </c>
      <c r="AG726" s="16">
        <f t="shared" si="70"/>
        <v>30.1</v>
      </c>
      <c r="AH726" s="16" t="str">
        <f t="shared" si="71"/>
        <v/>
      </c>
    </row>
    <row r="727" spans="1:34" x14ac:dyDescent="0.35">
      <c r="A727" s="2" t="s">
        <v>2347</v>
      </c>
      <c r="B727" s="2" t="s">
        <v>29</v>
      </c>
      <c r="C727" s="2" t="s">
        <v>30</v>
      </c>
      <c r="D727" s="2" t="s">
        <v>187</v>
      </c>
      <c r="E727" s="2" t="s">
        <v>142</v>
      </c>
      <c r="F727" s="2" t="s">
        <v>352</v>
      </c>
      <c r="G727" s="2" t="s">
        <v>34</v>
      </c>
      <c r="H727" s="2" t="s">
        <v>96</v>
      </c>
      <c r="I727" s="2" t="s">
        <v>31</v>
      </c>
      <c r="J727" s="2" t="s">
        <v>37</v>
      </c>
      <c r="K727" s="2" t="s">
        <v>38</v>
      </c>
      <c r="L727" s="2" t="s">
        <v>38</v>
      </c>
      <c r="M727" s="2" t="s">
        <v>39</v>
      </c>
      <c r="N727" s="2" t="s">
        <v>38</v>
      </c>
      <c r="O727" s="2" t="s">
        <v>38</v>
      </c>
      <c r="P727" s="2" t="s">
        <v>252</v>
      </c>
      <c r="Q727" s="2" t="s">
        <v>38</v>
      </c>
      <c r="R727" s="2" t="s">
        <v>98</v>
      </c>
      <c r="S727" s="2" t="s">
        <v>2348</v>
      </c>
      <c r="T727" s="2" t="s">
        <v>73</v>
      </c>
      <c r="U727" s="2" t="s">
        <v>891</v>
      </c>
      <c r="V727" s="2" t="s">
        <v>272</v>
      </c>
      <c r="W727" s="2" t="s">
        <v>38</v>
      </c>
      <c r="X727" s="3">
        <v>41268</v>
      </c>
      <c r="Y727" s="2" t="s">
        <v>2349</v>
      </c>
      <c r="Z727" s="34"/>
      <c r="AA727" s="2" t="s">
        <v>672</v>
      </c>
      <c r="AB727" s="2" t="s">
        <v>2256</v>
      </c>
      <c r="AC727" s="12">
        <f t="shared" si="66"/>
        <v>2012</v>
      </c>
      <c r="AD727" s="12">
        <f t="shared" si="67"/>
        <v>12</v>
      </c>
      <c r="AE727" s="12">
        <f t="shared" si="68"/>
        <v>25</v>
      </c>
      <c r="AF727" s="16">
        <f t="shared" si="69"/>
        <v>11.2</v>
      </c>
      <c r="AG727" s="16">
        <f t="shared" si="70"/>
        <v>27.9</v>
      </c>
      <c r="AH727" s="16" t="str">
        <f t="shared" si="71"/>
        <v/>
      </c>
    </row>
    <row r="728" spans="1:34" x14ac:dyDescent="0.35">
      <c r="A728" s="2" t="s">
        <v>2351</v>
      </c>
      <c r="B728" s="2" t="s">
        <v>29</v>
      </c>
      <c r="C728" s="2" t="s">
        <v>30</v>
      </c>
      <c r="D728" s="2" t="s">
        <v>200</v>
      </c>
      <c r="E728" s="2" t="s">
        <v>181</v>
      </c>
      <c r="F728" s="2" t="s">
        <v>1310</v>
      </c>
      <c r="G728" s="2" t="s">
        <v>34</v>
      </c>
      <c r="H728" s="2" t="s">
        <v>113</v>
      </c>
      <c r="I728" s="2" t="s">
        <v>31</v>
      </c>
      <c r="J728" s="2" t="s">
        <v>37</v>
      </c>
      <c r="K728" s="2" t="s">
        <v>38</v>
      </c>
      <c r="L728" s="2" t="s">
        <v>38</v>
      </c>
      <c r="M728" s="2" t="s">
        <v>39</v>
      </c>
      <c r="N728" s="2" t="s">
        <v>38</v>
      </c>
      <c r="O728" s="2" t="s">
        <v>38</v>
      </c>
      <c r="P728" s="2" t="s">
        <v>252</v>
      </c>
      <c r="Q728" s="2" t="s">
        <v>38</v>
      </c>
      <c r="R728" s="2" t="s">
        <v>98</v>
      </c>
      <c r="S728" s="2" t="s">
        <v>2353</v>
      </c>
      <c r="T728" s="2" t="s">
        <v>90</v>
      </c>
      <c r="U728" s="2" t="s">
        <v>236</v>
      </c>
      <c r="V728" s="2" t="s">
        <v>632</v>
      </c>
      <c r="W728" s="2" t="s">
        <v>38</v>
      </c>
      <c r="X728" s="3">
        <v>41269</v>
      </c>
      <c r="Y728" s="2" t="s">
        <v>2354</v>
      </c>
      <c r="Z728" s="4"/>
      <c r="AA728" s="2" t="s">
        <v>672</v>
      </c>
      <c r="AB728" s="2" t="s">
        <v>2256</v>
      </c>
      <c r="AC728" s="12">
        <f t="shared" si="66"/>
        <v>2012</v>
      </c>
      <c r="AD728" s="12">
        <f t="shared" si="67"/>
        <v>12</v>
      </c>
      <c r="AE728" s="12">
        <f t="shared" si="68"/>
        <v>26</v>
      </c>
      <c r="AF728" s="16">
        <f t="shared" si="69"/>
        <v>7.3</v>
      </c>
      <c r="AG728" s="16">
        <f t="shared" si="70"/>
        <v>27.9</v>
      </c>
      <c r="AH728" s="16" t="str">
        <f t="shared" si="71"/>
        <v/>
      </c>
    </row>
    <row r="729" spans="1:34" x14ac:dyDescent="0.35">
      <c r="A729" s="2" t="s">
        <v>2355</v>
      </c>
      <c r="B729" s="2" t="s">
        <v>29</v>
      </c>
      <c r="C729" s="2" t="s">
        <v>30</v>
      </c>
      <c r="D729" s="2" t="s">
        <v>187</v>
      </c>
      <c r="E729" s="2" t="s">
        <v>142</v>
      </c>
      <c r="F729" s="2" t="s">
        <v>307</v>
      </c>
      <c r="G729" s="2" t="s">
        <v>34</v>
      </c>
      <c r="H729" s="2" t="s">
        <v>180</v>
      </c>
      <c r="I729" s="2" t="s">
        <v>77</v>
      </c>
      <c r="J729" s="2" t="s">
        <v>37</v>
      </c>
      <c r="K729" s="2" t="s">
        <v>38</v>
      </c>
      <c r="L729" s="2" t="s">
        <v>38</v>
      </c>
      <c r="M729" s="2" t="s">
        <v>39</v>
      </c>
      <c r="N729" s="2" t="s">
        <v>38</v>
      </c>
      <c r="O729" s="2" t="s">
        <v>38</v>
      </c>
      <c r="P729" s="2" t="s">
        <v>1691</v>
      </c>
      <c r="Q729" s="2" t="s">
        <v>38</v>
      </c>
      <c r="R729" s="2" t="s">
        <v>98</v>
      </c>
      <c r="S729" s="2" t="s">
        <v>89</v>
      </c>
      <c r="T729" s="2" t="s">
        <v>90</v>
      </c>
      <c r="U729" s="2" t="s">
        <v>891</v>
      </c>
      <c r="V729" s="2" t="s">
        <v>272</v>
      </c>
      <c r="W729" s="2" t="s">
        <v>38</v>
      </c>
      <c r="X729" s="3">
        <v>41270</v>
      </c>
      <c r="Y729" s="2" t="s">
        <v>2357</v>
      </c>
      <c r="Z729" s="34"/>
      <c r="AA729" s="2" t="s">
        <v>672</v>
      </c>
      <c r="AB729" s="2" t="s">
        <v>2256</v>
      </c>
      <c r="AC729" s="12">
        <f t="shared" si="66"/>
        <v>2012</v>
      </c>
      <c r="AD729" s="12">
        <f t="shared" si="67"/>
        <v>12</v>
      </c>
      <c r="AE729" s="12">
        <f t="shared" si="68"/>
        <v>27</v>
      </c>
      <c r="AF729" s="16">
        <f t="shared" si="69"/>
        <v>11.2</v>
      </c>
      <c r="AG729" s="16">
        <f t="shared" si="70"/>
        <v>28.7</v>
      </c>
      <c r="AH729" s="16" t="str">
        <f t="shared" si="71"/>
        <v/>
      </c>
    </row>
    <row r="730" spans="1:34" x14ac:dyDescent="0.35">
      <c r="A730" s="2" t="s">
        <v>2358</v>
      </c>
      <c r="B730" s="2" t="s">
        <v>29</v>
      </c>
      <c r="C730" s="2" t="s">
        <v>30</v>
      </c>
      <c r="D730" s="2" t="s">
        <v>31</v>
      </c>
      <c r="E730" s="2" t="s">
        <v>142</v>
      </c>
      <c r="F730" s="2" t="s">
        <v>1535</v>
      </c>
      <c r="G730" s="2" t="s">
        <v>34</v>
      </c>
      <c r="H730" s="2" t="s">
        <v>1564</v>
      </c>
      <c r="I730" s="2" t="s">
        <v>77</v>
      </c>
      <c r="J730" s="2" t="s">
        <v>37</v>
      </c>
      <c r="K730" s="2" t="s">
        <v>38</v>
      </c>
      <c r="L730" s="2" t="s">
        <v>38</v>
      </c>
      <c r="M730" s="2" t="s">
        <v>39</v>
      </c>
      <c r="N730" s="2" t="s">
        <v>38</v>
      </c>
      <c r="O730" s="2" t="s">
        <v>38</v>
      </c>
      <c r="P730" s="2" t="s">
        <v>1598</v>
      </c>
      <c r="Q730" s="2" t="s">
        <v>38</v>
      </c>
      <c r="R730" s="2" t="s">
        <v>98</v>
      </c>
      <c r="S730" s="2" t="s">
        <v>1003</v>
      </c>
      <c r="T730" s="2" t="s">
        <v>73</v>
      </c>
      <c r="U730" s="2" t="s">
        <v>418</v>
      </c>
      <c r="V730" s="2" t="s">
        <v>272</v>
      </c>
      <c r="W730" s="2" t="s">
        <v>38</v>
      </c>
      <c r="X730" s="3">
        <v>41271</v>
      </c>
      <c r="Y730" s="2" t="s">
        <v>2359</v>
      </c>
      <c r="Z730" s="4"/>
      <c r="AA730" s="2" t="s">
        <v>672</v>
      </c>
      <c r="AB730" s="2" t="s">
        <v>2256</v>
      </c>
      <c r="AC730" s="12">
        <f t="shared" si="66"/>
        <v>2012</v>
      </c>
      <c r="AD730" s="12">
        <f t="shared" si="67"/>
        <v>12</v>
      </c>
      <c r="AE730" s="12">
        <f t="shared" si="68"/>
        <v>28</v>
      </c>
      <c r="AF730" s="16">
        <f t="shared" si="69"/>
        <v>11.2</v>
      </c>
      <c r="AG730" s="16">
        <f t="shared" si="70"/>
        <v>29.5</v>
      </c>
      <c r="AH730" s="16" t="str">
        <f t="shared" si="71"/>
        <v/>
      </c>
    </row>
    <row r="731" spans="1:34" x14ac:dyDescent="0.35">
      <c r="A731" s="2" t="s">
        <v>2361</v>
      </c>
      <c r="B731" s="2" t="s">
        <v>29</v>
      </c>
      <c r="C731" s="2" t="s">
        <v>30</v>
      </c>
      <c r="D731" s="2" t="s">
        <v>31</v>
      </c>
      <c r="E731" s="2" t="s">
        <v>66</v>
      </c>
      <c r="F731" s="2" t="s">
        <v>841</v>
      </c>
      <c r="G731" s="2" t="s">
        <v>34</v>
      </c>
      <c r="H731" s="2" t="s">
        <v>79</v>
      </c>
      <c r="I731" s="2" t="s">
        <v>111</v>
      </c>
      <c r="J731" s="2" t="s">
        <v>37</v>
      </c>
      <c r="K731" s="2" t="s">
        <v>38</v>
      </c>
      <c r="L731" s="2" t="s">
        <v>38</v>
      </c>
      <c r="M731" s="2" t="s">
        <v>39</v>
      </c>
      <c r="N731" s="2" t="s">
        <v>38</v>
      </c>
      <c r="O731" s="2" t="s">
        <v>38</v>
      </c>
      <c r="P731" s="2" t="s">
        <v>174</v>
      </c>
      <c r="Q731" s="2" t="s">
        <v>38</v>
      </c>
      <c r="R731" s="2" t="s">
        <v>98</v>
      </c>
      <c r="S731" s="2" t="s">
        <v>89</v>
      </c>
      <c r="T731" s="2" t="s">
        <v>90</v>
      </c>
      <c r="U731" s="2" t="s">
        <v>278</v>
      </c>
      <c r="V731" s="2" t="s">
        <v>75</v>
      </c>
      <c r="W731" s="2" t="s">
        <v>38</v>
      </c>
      <c r="X731" s="3">
        <v>41272</v>
      </c>
      <c r="Y731" s="2" t="s">
        <v>2362</v>
      </c>
      <c r="Z731" s="34"/>
      <c r="AA731" s="2" t="s">
        <v>672</v>
      </c>
      <c r="AB731" s="2" t="s">
        <v>2256</v>
      </c>
      <c r="AC731" s="12">
        <f t="shared" si="66"/>
        <v>2012</v>
      </c>
      <c r="AD731" s="12">
        <f t="shared" si="67"/>
        <v>12</v>
      </c>
      <c r="AE731" s="12">
        <f t="shared" si="68"/>
        <v>29</v>
      </c>
      <c r="AF731" s="16">
        <f t="shared" si="69"/>
        <v>15.3</v>
      </c>
      <c r="AG731" s="16">
        <f t="shared" si="70"/>
        <v>30.4</v>
      </c>
      <c r="AH731" s="16" t="str">
        <f t="shared" si="71"/>
        <v/>
      </c>
    </row>
    <row r="732" spans="1:34" x14ac:dyDescent="0.35">
      <c r="A732" s="7" t="s">
        <v>2365</v>
      </c>
      <c r="B732" s="7" t="s">
        <v>29</v>
      </c>
      <c r="C732" s="7" t="s">
        <v>30</v>
      </c>
      <c r="D732" s="7" t="s">
        <v>111</v>
      </c>
      <c r="E732" s="7" t="s">
        <v>51</v>
      </c>
      <c r="F732" s="7" t="s">
        <v>841</v>
      </c>
      <c r="G732" s="7" t="s">
        <v>34</v>
      </c>
      <c r="H732" s="7" t="s">
        <v>79</v>
      </c>
      <c r="I732" s="7" t="s">
        <v>36</v>
      </c>
      <c r="J732" s="7" t="s">
        <v>37</v>
      </c>
      <c r="K732" s="7" t="s">
        <v>38</v>
      </c>
      <c r="L732" s="7" t="s">
        <v>38</v>
      </c>
      <c r="M732" s="7" t="s">
        <v>39</v>
      </c>
      <c r="N732" s="7" t="s">
        <v>38</v>
      </c>
      <c r="O732" s="7" t="s">
        <v>38</v>
      </c>
      <c r="P732" s="7" t="s">
        <v>2024</v>
      </c>
      <c r="Q732" s="7" t="s">
        <v>38</v>
      </c>
      <c r="R732" s="7" t="s">
        <v>183</v>
      </c>
      <c r="S732" s="7" t="s">
        <v>159</v>
      </c>
      <c r="T732" s="7" t="s">
        <v>73</v>
      </c>
      <c r="U732" s="7" t="s">
        <v>470</v>
      </c>
      <c r="V732" s="7" t="s">
        <v>886</v>
      </c>
      <c r="W732" s="7" t="s">
        <v>38</v>
      </c>
      <c r="X732" s="8">
        <v>41273</v>
      </c>
      <c r="Y732" s="7" t="s">
        <v>2366</v>
      </c>
      <c r="Z732" s="36"/>
      <c r="AA732" s="7" t="s">
        <v>672</v>
      </c>
      <c r="AB732" s="7" t="s">
        <v>2256</v>
      </c>
      <c r="AC732" s="13">
        <f t="shared" si="66"/>
        <v>2012</v>
      </c>
      <c r="AD732" s="13">
        <f t="shared" si="67"/>
        <v>12</v>
      </c>
      <c r="AE732" s="13">
        <f t="shared" si="68"/>
        <v>30</v>
      </c>
      <c r="AF732" s="17">
        <f t="shared" si="69"/>
        <v>16.7</v>
      </c>
      <c r="AG732" s="17">
        <f t="shared" si="70"/>
        <v>31.3</v>
      </c>
      <c r="AH732" s="17" t="str">
        <f t="shared" si="71"/>
        <v/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C42" sqref="AC42"/>
    </sheetView>
  </sheetViews>
  <sheetFormatPr defaultColWidth="9.1796875" defaultRowHeight="14.5" x14ac:dyDescent="0.35"/>
  <cols>
    <col min="1" max="1" width="5.7265625" style="20" customWidth="1"/>
    <col min="2" max="49" width="8.26953125" style="19" customWidth="1"/>
    <col min="50" max="16384" width="9.1796875" style="20"/>
  </cols>
  <sheetData>
    <row r="1" spans="1:49" ht="18.5" x14ac:dyDescent="0.35">
      <c r="B1" s="131" t="s">
        <v>2396</v>
      </c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 t="s">
        <v>2396</v>
      </c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 t="s">
        <v>2396</v>
      </c>
      <c r="AI1" s="131"/>
      <c r="AJ1" s="131"/>
      <c r="AK1" s="131"/>
      <c r="AL1" s="131"/>
      <c r="AM1" s="131"/>
      <c r="AN1" s="131"/>
      <c r="AO1" s="131"/>
      <c r="AP1" s="131"/>
      <c r="AQ1" s="131"/>
      <c r="AR1" s="131"/>
      <c r="AS1" s="131"/>
      <c r="AT1" s="131"/>
      <c r="AU1" s="131"/>
      <c r="AV1" s="131"/>
      <c r="AW1" s="131"/>
    </row>
    <row r="2" spans="1:49" hidden="1" x14ac:dyDescent="0.35"/>
    <row r="3" spans="1:49" s="21" customFormat="1" ht="15" hidden="1" x14ac:dyDescent="0.35"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</row>
    <row r="4" spans="1:49" s="21" customFormat="1" ht="15" x14ac:dyDescent="0.4">
      <c r="A4" s="125" t="s">
        <v>2379</v>
      </c>
      <c r="B4" s="128" t="s">
        <v>2382</v>
      </c>
      <c r="C4" s="129"/>
      <c r="D4" s="129"/>
      <c r="E4" s="130"/>
      <c r="F4" s="128" t="s">
        <v>2383</v>
      </c>
      <c r="G4" s="129"/>
      <c r="H4" s="129"/>
      <c r="I4" s="130"/>
      <c r="J4" s="128" t="s">
        <v>2384</v>
      </c>
      <c r="K4" s="129"/>
      <c r="L4" s="129"/>
      <c r="M4" s="130"/>
      <c r="N4" s="128" t="s">
        <v>2385</v>
      </c>
      <c r="O4" s="129"/>
      <c r="P4" s="129"/>
      <c r="Q4" s="130"/>
      <c r="R4" s="128" t="s">
        <v>2386</v>
      </c>
      <c r="S4" s="129"/>
      <c r="T4" s="129"/>
      <c r="U4" s="130"/>
      <c r="V4" s="128" t="s">
        <v>2387</v>
      </c>
      <c r="W4" s="129"/>
      <c r="X4" s="129"/>
      <c r="Y4" s="130"/>
      <c r="Z4" s="128" t="s">
        <v>2388</v>
      </c>
      <c r="AA4" s="129"/>
      <c r="AB4" s="129"/>
      <c r="AC4" s="130"/>
      <c r="AD4" s="128" t="s">
        <v>2389</v>
      </c>
      <c r="AE4" s="129"/>
      <c r="AF4" s="129"/>
      <c r="AG4" s="130"/>
      <c r="AH4" s="128" t="s">
        <v>2390</v>
      </c>
      <c r="AI4" s="129"/>
      <c r="AJ4" s="129"/>
      <c r="AK4" s="130"/>
      <c r="AL4" s="128" t="s">
        <v>2391</v>
      </c>
      <c r="AM4" s="129"/>
      <c r="AN4" s="129"/>
      <c r="AO4" s="130"/>
      <c r="AP4" s="128" t="s">
        <v>2392</v>
      </c>
      <c r="AQ4" s="129"/>
      <c r="AR4" s="129"/>
      <c r="AS4" s="130"/>
      <c r="AT4" s="128" t="s">
        <v>2393</v>
      </c>
      <c r="AU4" s="129"/>
      <c r="AV4" s="129"/>
      <c r="AW4" s="130"/>
    </row>
    <row r="5" spans="1:49" s="21" customFormat="1" ht="15" x14ac:dyDescent="0.4">
      <c r="A5" s="126"/>
      <c r="B5" s="123" t="s">
        <v>2397</v>
      </c>
      <c r="C5" s="124"/>
      <c r="D5" s="123" t="s">
        <v>2398</v>
      </c>
      <c r="E5" s="124"/>
      <c r="F5" s="123" t="s">
        <v>2397</v>
      </c>
      <c r="G5" s="124"/>
      <c r="H5" s="123" t="s">
        <v>2398</v>
      </c>
      <c r="I5" s="124"/>
      <c r="J5" s="123" t="s">
        <v>2397</v>
      </c>
      <c r="K5" s="124"/>
      <c r="L5" s="123" t="s">
        <v>2398</v>
      </c>
      <c r="M5" s="124"/>
      <c r="N5" s="123" t="s">
        <v>2397</v>
      </c>
      <c r="O5" s="124"/>
      <c r="P5" s="123" t="s">
        <v>2398</v>
      </c>
      <c r="Q5" s="124"/>
      <c r="R5" s="123" t="s">
        <v>2397</v>
      </c>
      <c r="S5" s="124"/>
      <c r="T5" s="123" t="s">
        <v>2398</v>
      </c>
      <c r="U5" s="124"/>
      <c r="V5" s="123" t="s">
        <v>2397</v>
      </c>
      <c r="W5" s="124"/>
      <c r="X5" s="123" t="s">
        <v>2398</v>
      </c>
      <c r="Y5" s="124"/>
      <c r="Z5" s="123" t="s">
        <v>2397</v>
      </c>
      <c r="AA5" s="124"/>
      <c r="AB5" s="123" t="s">
        <v>2398</v>
      </c>
      <c r="AC5" s="124"/>
      <c r="AD5" s="123" t="s">
        <v>2397</v>
      </c>
      <c r="AE5" s="124"/>
      <c r="AF5" s="123" t="s">
        <v>2398</v>
      </c>
      <c r="AG5" s="124"/>
      <c r="AH5" s="123" t="s">
        <v>2397</v>
      </c>
      <c r="AI5" s="124"/>
      <c r="AJ5" s="123" t="s">
        <v>2398</v>
      </c>
      <c r="AK5" s="124"/>
      <c r="AL5" s="123" t="s">
        <v>2397</v>
      </c>
      <c r="AM5" s="124"/>
      <c r="AN5" s="123" t="s">
        <v>2398</v>
      </c>
      <c r="AO5" s="124"/>
      <c r="AP5" s="123" t="s">
        <v>2397</v>
      </c>
      <c r="AQ5" s="124"/>
      <c r="AR5" s="123" t="s">
        <v>2398</v>
      </c>
      <c r="AS5" s="124"/>
      <c r="AT5" s="123" t="s">
        <v>2397</v>
      </c>
      <c r="AU5" s="124"/>
      <c r="AV5" s="123" t="s">
        <v>2398</v>
      </c>
      <c r="AW5" s="124"/>
    </row>
    <row r="6" spans="1:49" s="23" customFormat="1" ht="30" x14ac:dyDescent="0.35">
      <c r="A6" s="127"/>
      <c r="B6" s="32" t="s">
        <v>2381</v>
      </c>
      <c r="C6" s="33" t="s">
        <v>2394</v>
      </c>
      <c r="D6" s="32" t="s">
        <v>2381</v>
      </c>
      <c r="E6" s="33" t="s">
        <v>2395</v>
      </c>
      <c r="F6" s="32" t="s">
        <v>2381</v>
      </c>
      <c r="G6" s="33" t="s">
        <v>2394</v>
      </c>
      <c r="H6" s="32" t="s">
        <v>2381</v>
      </c>
      <c r="I6" s="33" t="s">
        <v>2395</v>
      </c>
      <c r="J6" s="32" t="s">
        <v>2381</v>
      </c>
      <c r="K6" s="33" t="s">
        <v>2394</v>
      </c>
      <c r="L6" s="32" t="s">
        <v>2381</v>
      </c>
      <c r="M6" s="33" t="s">
        <v>2395</v>
      </c>
      <c r="N6" s="32" t="s">
        <v>2381</v>
      </c>
      <c r="O6" s="33" t="s">
        <v>2394</v>
      </c>
      <c r="P6" s="32" t="s">
        <v>2381</v>
      </c>
      <c r="Q6" s="33" t="s">
        <v>2395</v>
      </c>
      <c r="R6" s="32" t="s">
        <v>2381</v>
      </c>
      <c r="S6" s="33" t="s">
        <v>2394</v>
      </c>
      <c r="T6" s="32" t="s">
        <v>2381</v>
      </c>
      <c r="U6" s="33" t="s">
        <v>2395</v>
      </c>
      <c r="V6" s="32" t="s">
        <v>2381</v>
      </c>
      <c r="W6" s="33" t="s">
        <v>2394</v>
      </c>
      <c r="X6" s="32" t="s">
        <v>2381</v>
      </c>
      <c r="Y6" s="33" t="s">
        <v>2395</v>
      </c>
      <c r="Z6" s="32" t="s">
        <v>2381</v>
      </c>
      <c r="AA6" s="33" t="s">
        <v>2394</v>
      </c>
      <c r="AB6" s="32" t="s">
        <v>2381</v>
      </c>
      <c r="AC6" s="33" t="s">
        <v>2395</v>
      </c>
      <c r="AD6" s="32" t="s">
        <v>2381</v>
      </c>
      <c r="AE6" s="33" t="s">
        <v>2394</v>
      </c>
      <c r="AF6" s="32" t="s">
        <v>2381</v>
      </c>
      <c r="AG6" s="33" t="s">
        <v>2395</v>
      </c>
      <c r="AH6" s="32" t="s">
        <v>2381</v>
      </c>
      <c r="AI6" s="33" t="s">
        <v>2394</v>
      </c>
      <c r="AJ6" s="32" t="s">
        <v>2381</v>
      </c>
      <c r="AK6" s="33" t="s">
        <v>2395</v>
      </c>
      <c r="AL6" s="32" t="s">
        <v>2381</v>
      </c>
      <c r="AM6" s="33" t="s">
        <v>2394</v>
      </c>
      <c r="AN6" s="32" t="s">
        <v>2381</v>
      </c>
      <c r="AO6" s="33" t="s">
        <v>2395</v>
      </c>
      <c r="AP6" s="32" t="s">
        <v>2381</v>
      </c>
      <c r="AQ6" s="33" t="s">
        <v>2394</v>
      </c>
      <c r="AR6" s="32" t="s">
        <v>2381</v>
      </c>
      <c r="AS6" s="33" t="s">
        <v>2395</v>
      </c>
      <c r="AT6" s="32" t="s">
        <v>2381</v>
      </c>
      <c r="AU6" s="33" t="s">
        <v>2394</v>
      </c>
      <c r="AV6" s="32" t="s">
        <v>2381</v>
      </c>
      <c r="AW6" s="33" t="s">
        <v>2395</v>
      </c>
    </row>
    <row r="7" spans="1:49" x14ac:dyDescent="0.35">
      <c r="A7" s="24">
        <v>1</v>
      </c>
      <c r="B7" s="25">
        <v>16.8</v>
      </c>
      <c r="C7" s="26">
        <v>18.100000000000001</v>
      </c>
      <c r="D7" s="25">
        <v>16.399999999999999</v>
      </c>
      <c r="E7" s="26">
        <v>30.6</v>
      </c>
      <c r="F7" s="25">
        <v>13.5</v>
      </c>
      <c r="G7" s="26">
        <v>13.1</v>
      </c>
      <c r="H7" s="25">
        <v>8.5</v>
      </c>
      <c r="I7" s="26">
        <v>30</v>
      </c>
      <c r="J7" s="25">
        <v>10.9</v>
      </c>
      <c r="K7" s="26">
        <v>9.8000000000000007</v>
      </c>
      <c r="L7" s="25">
        <v>1.1000000000000001</v>
      </c>
      <c r="M7" s="26">
        <v>32.700000000000003</v>
      </c>
      <c r="N7" s="25">
        <v>16.2</v>
      </c>
      <c r="O7" s="26">
        <v>19.7</v>
      </c>
      <c r="P7" s="25">
        <v>8.8000000000000007</v>
      </c>
      <c r="Q7" s="26">
        <v>38.5</v>
      </c>
      <c r="R7" s="25">
        <v>14.1</v>
      </c>
      <c r="S7" s="26">
        <v>18.5</v>
      </c>
      <c r="T7" s="25">
        <v>9.6</v>
      </c>
      <c r="U7" s="26">
        <v>37.1</v>
      </c>
      <c r="V7" s="25">
        <v>18.8</v>
      </c>
      <c r="W7" s="26">
        <v>23.8</v>
      </c>
      <c r="X7" s="25">
        <v>14.7</v>
      </c>
      <c r="Y7" s="26">
        <v>35.700000000000003</v>
      </c>
      <c r="Z7" s="25">
        <v>19.600000000000001</v>
      </c>
      <c r="AA7" s="26">
        <v>23.6</v>
      </c>
      <c r="AB7" s="25">
        <v>22</v>
      </c>
      <c r="AC7" s="26">
        <v>33</v>
      </c>
      <c r="AD7" s="25">
        <v>21.5</v>
      </c>
      <c r="AE7" s="26">
        <v>19.2</v>
      </c>
      <c r="AF7" s="25">
        <v>21.7</v>
      </c>
      <c r="AG7" s="26">
        <v>26</v>
      </c>
      <c r="AH7" s="25">
        <v>21.2</v>
      </c>
      <c r="AI7" s="26">
        <v>22.1</v>
      </c>
      <c r="AJ7" s="25">
        <v>22.3</v>
      </c>
      <c r="AK7" s="26">
        <v>29.8</v>
      </c>
      <c r="AL7" s="25">
        <v>22.5</v>
      </c>
      <c r="AM7" s="26">
        <v>21.5</v>
      </c>
      <c r="AN7" s="25">
        <v>22.4</v>
      </c>
      <c r="AO7" s="26">
        <v>30.1</v>
      </c>
      <c r="AP7" s="25">
        <v>16.600000000000001</v>
      </c>
      <c r="AQ7" s="26">
        <v>15.1</v>
      </c>
      <c r="AR7" s="25">
        <v>16.899999999999999</v>
      </c>
      <c r="AS7" s="26">
        <v>28.1</v>
      </c>
      <c r="AT7" s="25">
        <v>13.7</v>
      </c>
      <c r="AU7" s="26">
        <v>12</v>
      </c>
      <c r="AV7" s="25">
        <v>13.4</v>
      </c>
      <c r="AW7" s="26">
        <v>31.8</v>
      </c>
    </row>
    <row r="8" spans="1:49" x14ac:dyDescent="0.35">
      <c r="A8" s="24">
        <v>2</v>
      </c>
      <c r="B8" s="27">
        <v>15.3</v>
      </c>
      <c r="C8" s="28">
        <v>15.3</v>
      </c>
      <c r="D8" s="27">
        <v>17.8</v>
      </c>
      <c r="E8" s="28">
        <v>30.9</v>
      </c>
      <c r="F8" s="27">
        <v>13.5</v>
      </c>
      <c r="G8" s="28">
        <v>12.7</v>
      </c>
      <c r="H8" s="27">
        <v>8.6</v>
      </c>
      <c r="I8" s="28">
        <v>30.1</v>
      </c>
      <c r="J8" s="27">
        <v>7.8</v>
      </c>
      <c r="K8" s="28">
        <v>8.8000000000000007</v>
      </c>
      <c r="L8" s="27">
        <v>4.3</v>
      </c>
      <c r="M8" s="28">
        <v>32.200000000000003</v>
      </c>
      <c r="N8" s="27">
        <v>15.4</v>
      </c>
      <c r="O8" s="28">
        <v>20</v>
      </c>
      <c r="P8" s="27">
        <v>26.3</v>
      </c>
      <c r="Q8" s="28">
        <v>38.799999999999997</v>
      </c>
      <c r="R8" s="27">
        <v>8.4</v>
      </c>
      <c r="S8" s="28">
        <v>17.899999999999999</v>
      </c>
      <c r="T8" s="27">
        <v>9.1</v>
      </c>
      <c r="U8" s="28">
        <v>37.5</v>
      </c>
      <c r="V8" s="27">
        <v>19.600000000000001</v>
      </c>
      <c r="W8" s="28">
        <v>23.7</v>
      </c>
      <c r="X8" s="27">
        <v>15.9</v>
      </c>
      <c r="Y8" s="28">
        <v>35.1</v>
      </c>
      <c r="Z8" s="27">
        <v>22.4</v>
      </c>
      <c r="AA8" s="28">
        <v>22.4</v>
      </c>
      <c r="AB8" s="27">
        <v>20.6</v>
      </c>
      <c r="AC8" s="28">
        <v>33.4</v>
      </c>
      <c r="AD8" s="27">
        <v>21.8</v>
      </c>
      <c r="AE8" s="28">
        <v>22</v>
      </c>
      <c r="AF8" s="27">
        <v>21.6</v>
      </c>
      <c r="AG8" s="28">
        <v>28.1</v>
      </c>
      <c r="AH8" s="27">
        <v>22.4</v>
      </c>
      <c r="AI8" s="28">
        <v>22.1</v>
      </c>
      <c r="AJ8" s="27">
        <v>22.3</v>
      </c>
      <c r="AK8" s="28">
        <v>29.8</v>
      </c>
      <c r="AL8" s="27">
        <v>21.8</v>
      </c>
      <c r="AM8" s="28">
        <v>20.6</v>
      </c>
      <c r="AN8" s="27">
        <v>21.7</v>
      </c>
      <c r="AO8" s="28">
        <v>30.8</v>
      </c>
      <c r="AP8" s="27">
        <v>17.3</v>
      </c>
      <c r="AQ8" s="28">
        <v>19</v>
      </c>
      <c r="AR8" s="27">
        <v>21.1</v>
      </c>
      <c r="AS8" s="28">
        <v>30.8</v>
      </c>
      <c r="AT8" s="27">
        <v>15.7</v>
      </c>
      <c r="AU8" s="28">
        <v>13.6</v>
      </c>
      <c r="AV8" s="27">
        <v>18.100000000000001</v>
      </c>
      <c r="AW8" s="28">
        <v>31</v>
      </c>
    </row>
    <row r="9" spans="1:49" x14ac:dyDescent="0.35">
      <c r="A9" s="24">
        <v>3</v>
      </c>
      <c r="B9" s="27">
        <v>15.8</v>
      </c>
      <c r="C9" s="28">
        <v>14.9</v>
      </c>
      <c r="D9" s="27">
        <v>13.9</v>
      </c>
      <c r="E9" s="28">
        <v>31.4</v>
      </c>
      <c r="F9" s="27">
        <v>12.3</v>
      </c>
      <c r="G9" s="28">
        <v>11.8</v>
      </c>
      <c r="H9" s="27">
        <v>9.6</v>
      </c>
      <c r="I9" s="28">
        <v>30.5</v>
      </c>
      <c r="J9" s="27">
        <v>13.6</v>
      </c>
      <c r="K9" s="28">
        <v>12.2</v>
      </c>
      <c r="L9" s="27">
        <v>8.6</v>
      </c>
      <c r="M9" s="28">
        <v>33.6</v>
      </c>
      <c r="N9" s="27">
        <v>18.3</v>
      </c>
      <c r="O9" s="28">
        <v>22.3</v>
      </c>
      <c r="P9" s="27">
        <v>15.1</v>
      </c>
      <c r="Q9" s="28">
        <v>38.799999999999997</v>
      </c>
      <c r="R9" s="27">
        <v>11.6</v>
      </c>
      <c r="S9" s="28">
        <v>18.3</v>
      </c>
      <c r="T9" s="27">
        <v>13.4</v>
      </c>
      <c r="U9" s="28">
        <v>38.200000000000003</v>
      </c>
      <c r="V9" s="27">
        <v>19.8</v>
      </c>
      <c r="W9" s="28">
        <v>24.8</v>
      </c>
      <c r="X9" s="27">
        <v>17.899999999999999</v>
      </c>
      <c r="Y9" s="28">
        <v>36.1</v>
      </c>
      <c r="Z9" s="27">
        <v>21.4</v>
      </c>
      <c r="AA9" s="28">
        <v>23.2</v>
      </c>
      <c r="AB9" s="27">
        <v>20.3</v>
      </c>
      <c r="AC9" s="28">
        <v>32</v>
      </c>
      <c r="AD9" s="27">
        <v>21.2</v>
      </c>
      <c r="AE9" s="28">
        <v>22.5</v>
      </c>
      <c r="AF9" s="27">
        <v>21.5</v>
      </c>
      <c r="AG9" s="28">
        <v>27.6</v>
      </c>
      <c r="AH9" s="27">
        <v>22.8</v>
      </c>
      <c r="AI9" s="28">
        <v>22.6</v>
      </c>
      <c r="AJ9" s="27">
        <v>21.7</v>
      </c>
      <c r="AK9" s="28">
        <v>26.3</v>
      </c>
      <c r="AL9" s="27">
        <v>20.7</v>
      </c>
      <c r="AM9" s="28">
        <v>21.3</v>
      </c>
      <c r="AN9" s="27">
        <v>21.9</v>
      </c>
      <c r="AO9" s="28">
        <v>30.1</v>
      </c>
      <c r="AP9" s="27">
        <v>20.3</v>
      </c>
      <c r="AQ9" s="28">
        <v>19.2</v>
      </c>
      <c r="AR9" s="27">
        <v>20.2</v>
      </c>
      <c r="AS9" s="28">
        <v>31.9</v>
      </c>
      <c r="AT9" s="27">
        <v>15.6</v>
      </c>
      <c r="AU9" s="28">
        <v>15.1</v>
      </c>
      <c r="AV9" s="27">
        <v>15.5</v>
      </c>
      <c r="AW9" s="28">
        <v>28.9</v>
      </c>
    </row>
    <row r="10" spans="1:49" x14ac:dyDescent="0.35">
      <c r="A10" s="24">
        <v>4</v>
      </c>
      <c r="B10" s="27">
        <v>13.2</v>
      </c>
      <c r="C10" s="28">
        <v>12.6</v>
      </c>
      <c r="D10" s="27">
        <v>10.4</v>
      </c>
      <c r="E10" s="28">
        <v>32.5</v>
      </c>
      <c r="F10" s="27">
        <v>13.7</v>
      </c>
      <c r="G10" s="28">
        <v>13</v>
      </c>
      <c r="H10" s="27">
        <v>12</v>
      </c>
      <c r="I10" s="28">
        <v>31.7</v>
      </c>
      <c r="J10" s="27">
        <v>14.4</v>
      </c>
      <c r="K10" s="28">
        <v>13.3</v>
      </c>
      <c r="L10" s="27">
        <v>2.9</v>
      </c>
      <c r="M10" s="28">
        <v>35</v>
      </c>
      <c r="N10" s="27">
        <v>16.899999999999999</v>
      </c>
      <c r="O10" s="28">
        <v>20.7</v>
      </c>
      <c r="P10" s="27">
        <v>13.4</v>
      </c>
      <c r="Q10" s="28">
        <v>38.799999999999997</v>
      </c>
      <c r="R10" s="27">
        <v>15.2</v>
      </c>
      <c r="S10" s="28">
        <v>22.3</v>
      </c>
      <c r="T10" s="27">
        <v>16.5</v>
      </c>
      <c r="U10" s="28">
        <v>36.4</v>
      </c>
      <c r="V10" s="27">
        <v>19.899999999999999</v>
      </c>
      <c r="W10" s="28">
        <v>23.9</v>
      </c>
      <c r="X10" s="27">
        <v>19.3</v>
      </c>
      <c r="Y10" s="28">
        <v>37.799999999999997</v>
      </c>
      <c r="Z10" s="27">
        <v>22.6</v>
      </c>
      <c r="AA10" s="28">
        <v>23.1</v>
      </c>
      <c r="AB10" s="27">
        <v>20.3</v>
      </c>
      <c r="AC10" s="28">
        <v>28.2</v>
      </c>
      <c r="AD10" s="27">
        <v>20.9</v>
      </c>
      <c r="AE10" s="28">
        <v>22.2</v>
      </c>
      <c r="AF10" s="27">
        <v>21.8</v>
      </c>
      <c r="AG10" s="28">
        <v>27.4</v>
      </c>
      <c r="AH10" s="27">
        <v>21.3</v>
      </c>
      <c r="AI10" s="28">
        <v>21.6</v>
      </c>
      <c r="AJ10" s="27">
        <v>21.5</v>
      </c>
      <c r="AK10" s="28">
        <v>25.4</v>
      </c>
      <c r="AL10" s="27">
        <v>22.8</v>
      </c>
      <c r="AM10" s="28">
        <v>22</v>
      </c>
      <c r="AN10" s="27">
        <v>23</v>
      </c>
      <c r="AO10" s="28">
        <v>30.5</v>
      </c>
      <c r="AP10" s="27">
        <v>20.3</v>
      </c>
      <c r="AQ10" s="28">
        <v>18.100000000000001</v>
      </c>
      <c r="AR10" s="27">
        <v>16.8</v>
      </c>
      <c r="AS10" s="28">
        <v>32.5</v>
      </c>
      <c r="AT10" s="27">
        <v>13.3</v>
      </c>
      <c r="AU10" s="28">
        <v>13.4</v>
      </c>
      <c r="AV10" s="27">
        <v>11.2</v>
      </c>
      <c r="AW10" s="28">
        <v>29.9</v>
      </c>
    </row>
    <row r="11" spans="1:49" x14ac:dyDescent="0.35">
      <c r="A11" s="24">
        <v>5</v>
      </c>
      <c r="B11" s="27">
        <v>13.5</v>
      </c>
      <c r="C11" s="28">
        <v>12.6</v>
      </c>
      <c r="D11" s="27">
        <v>14.1</v>
      </c>
      <c r="E11" s="28">
        <v>32.299999999999997</v>
      </c>
      <c r="F11" s="27">
        <v>13.2</v>
      </c>
      <c r="G11" s="28">
        <v>13.3</v>
      </c>
      <c r="H11" s="27">
        <v>10.3</v>
      </c>
      <c r="I11" s="28">
        <v>31.9</v>
      </c>
      <c r="J11" s="27">
        <v>11.7</v>
      </c>
      <c r="K11" s="28">
        <v>13.3</v>
      </c>
      <c r="L11" s="27">
        <v>8.5</v>
      </c>
      <c r="M11" s="28">
        <v>36.5</v>
      </c>
      <c r="N11" s="27">
        <v>17.7</v>
      </c>
      <c r="O11" s="28">
        <v>22.1</v>
      </c>
      <c r="P11" s="27">
        <v>10</v>
      </c>
      <c r="Q11" s="28">
        <v>38.200000000000003</v>
      </c>
      <c r="R11" s="27">
        <v>17.7</v>
      </c>
      <c r="S11" s="28">
        <v>21.6</v>
      </c>
      <c r="T11" s="27">
        <v>14.7</v>
      </c>
      <c r="U11" s="28">
        <v>35.299999999999997</v>
      </c>
      <c r="V11" s="27">
        <v>20.399999999999999</v>
      </c>
      <c r="W11" s="28">
        <v>24.8</v>
      </c>
      <c r="X11" s="27">
        <v>20.7</v>
      </c>
      <c r="Y11" s="28">
        <v>35.5</v>
      </c>
      <c r="Z11" s="27">
        <v>21.5</v>
      </c>
      <c r="AA11" s="28">
        <v>21.9</v>
      </c>
      <c r="AB11" s="27">
        <v>20</v>
      </c>
      <c r="AC11" s="28">
        <v>30.2</v>
      </c>
      <c r="AD11" s="27">
        <v>21.5</v>
      </c>
      <c r="AE11" s="28">
        <v>22.2</v>
      </c>
      <c r="AF11" s="27">
        <v>21.7</v>
      </c>
      <c r="AG11" s="28">
        <v>28.6</v>
      </c>
      <c r="AH11" s="27">
        <v>21.5</v>
      </c>
      <c r="AI11" s="28">
        <v>21.5</v>
      </c>
      <c r="AJ11" s="27">
        <v>22.9</v>
      </c>
      <c r="AK11" s="28">
        <v>26</v>
      </c>
      <c r="AL11" s="27">
        <v>22.4</v>
      </c>
      <c r="AM11" s="28">
        <v>22</v>
      </c>
      <c r="AN11" s="27">
        <v>22</v>
      </c>
      <c r="AO11" s="28">
        <v>30.1</v>
      </c>
      <c r="AP11" s="27">
        <v>18.899999999999999</v>
      </c>
      <c r="AQ11" s="28">
        <v>16.899999999999999</v>
      </c>
      <c r="AR11" s="27">
        <v>18.7</v>
      </c>
      <c r="AS11" s="28">
        <v>31.8</v>
      </c>
      <c r="AT11" s="27">
        <v>12.2</v>
      </c>
      <c r="AU11" s="28">
        <v>13.6</v>
      </c>
      <c r="AV11" s="27">
        <v>14.7</v>
      </c>
      <c r="AW11" s="28">
        <v>30.8</v>
      </c>
    </row>
    <row r="12" spans="1:49" x14ac:dyDescent="0.35">
      <c r="A12" s="24">
        <v>6</v>
      </c>
      <c r="B12" s="27">
        <v>14.7</v>
      </c>
      <c r="C12" s="28">
        <v>13.6</v>
      </c>
      <c r="D12" s="27">
        <v>10.7</v>
      </c>
      <c r="E12" s="28">
        <v>31.9</v>
      </c>
      <c r="F12" s="27">
        <v>14.3</v>
      </c>
      <c r="G12" s="28">
        <v>13.5</v>
      </c>
      <c r="H12" s="27">
        <v>11.9</v>
      </c>
      <c r="I12" s="28">
        <v>32.799999999999997</v>
      </c>
      <c r="J12" s="27">
        <v>10.6</v>
      </c>
      <c r="K12" s="28">
        <v>13.7</v>
      </c>
      <c r="L12" s="27">
        <v>4.8</v>
      </c>
      <c r="M12" s="28">
        <v>34.9</v>
      </c>
      <c r="N12" s="27">
        <v>9.3000000000000007</v>
      </c>
      <c r="O12" s="28">
        <v>18.399999999999999</v>
      </c>
      <c r="P12" s="27">
        <v>8.5</v>
      </c>
      <c r="Q12" s="28">
        <v>37.1</v>
      </c>
      <c r="R12" s="27">
        <v>18.5</v>
      </c>
      <c r="S12" s="28">
        <v>22</v>
      </c>
      <c r="T12" s="27">
        <v>15.9</v>
      </c>
      <c r="U12" s="28">
        <v>34.9</v>
      </c>
      <c r="V12" s="27">
        <v>21.3</v>
      </c>
      <c r="W12" s="28">
        <v>25</v>
      </c>
      <c r="X12" s="27">
        <v>21.3</v>
      </c>
      <c r="Y12" s="28">
        <v>28.8</v>
      </c>
      <c r="Z12" s="27">
        <v>23.4</v>
      </c>
      <c r="AA12" s="28">
        <v>22.2</v>
      </c>
      <c r="AB12" s="27">
        <v>21.9</v>
      </c>
      <c r="AC12" s="28">
        <v>29.5</v>
      </c>
      <c r="AD12" s="27">
        <v>21.7</v>
      </c>
      <c r="AE12" s="28">
        <v>22.2</v>
      </c>
      <c r="AF12" s="27">
        <v>22.3</v>
      </c>
      <c r="AG12" s="28">
        <v>26.8</v>
      </c>
      <c r="AH12" s="27">
        <v>21.7</v>
      </c>
      <c r="AI12" s="28">
        <v>21.9</v>
      </c>
      <c r="AJ12" s="27">
        <v>22</v>
      </c>
      <c r="AK12" s="28">
        <v>27.8</v>
      </c>
      <c r="AL12" s="27">
        <v>22.2</v>
      </c>
      <c r="AM12" s="28">
        <v>21.3</v>
      </c>
      <c r="AN12" s="27">
        <v>21.1</v>
      </c>
      <c r="AO12" s="28">
        <v>31.1</v>
      </c>
      <c r="AP12" s="27">
        <v>19.2</v>
      </c>
      <c r="AQ12" s="28">
        <v>15.6</v>
      </c>
      <c r="AR12" s="27">
        <v>17.2</v>
      </c>
      <c r="AS12" s="28">
        <v>31.9</v>
      </c>
      <c r="AT12" s="27">
        <v>16.100000000000001</v>
      </c>
      <c r="AU12" s="28">
        <v>17.899999999999999</v>
      </c>
      <c r="AV12" s="27">
        <v>18.3</v>
      </c>
      <c r="AW12" s="28">
        <v>31.6</v>
      </c>
    </row>
    <row r="13" spans="1:49" x14ac:dyDescent="0.35">
      <c r="A13" s="24">
        <v>7</v>
      </c>
      <c r="B13" s="27">
        <v>12.9</v>
      </c>
      <c r="C13" s="28">
        <v>10.7</v>
      </c>
      <c r="D13" s="27">
        <v>3.2</v>
      </c>
      <c r="E13" s="28">
        <v>31.4</v>
      </c>
      <c r="F13" s="27">
        <v>14.1</v>
      </c>
      <c r="G13" s="28">
        <v>13.2</v>
      </c>
      <c r="H13" s="27">
        <v>9.6</v>
      </c>
      <c r="I13" s="28">
        <v>31.8</v>
      </c>
      <c r="J13" s="27">
        <v>7.9</v>
      </c>
      <c r="K13" s="28">
        <v>10.3</v>
      </c>
      <c r="L13" s="27">
        <v>-0.5</v>
      </c>
      <c r="M13" s="28">
        <v>33.5</v>
      </c>
      <c r="N13" s="27">
        <v>7.6</v>
      </c>
      <c r="O13" s="28">
        <v>17.3</v>
      </c>
      <c r="P13" s="27">
        <v>9.1999999999999993</v>
      </c>
      <c r="Q13" s="28">
        <v>39</v>
      </c>
      <c r="R13" s="27">
        <v>18</v>
      </c>
      <c r="S13" s="28">
        <v>21.7</v>
      </c>
      <c r="T13" s="27">
        <v>14.7</v>
      </c>
      <c r="U13" s="28">
        <v>37.200000000000003</v>
      </c>
      <c r="V13" s="27">
        <v>19.899999999999999</v>
      </c>
      <c r="W13" s="28">
        <v>21.5</v>
      </c>
      <c r="X13" s="27">
        <v>21.3</v>
      </c>
      <c r="Y13" s="28">
        <v>33.700000000000003</v>
      </c>
      <c r="Z13" s="27">
        <v>21.3</v>
      </c>
      <c r="AA13" s="28">
        <v>23</v>
      </c>
      <c r="AB13" s="27">
        <v>22</v>
      </c>
      <c r="AC13" s="28">
        <v>29.3</v>
      </c>
      <c r="AD13" s="27">
        <v>22.6</v>
      </c>
      <c r="AE13" s="28">
        <v>22.1</v>
      </c>
      <c r="AF13" s="27">
        <v>22.1</v>
      </c>
      <c r="AG13" s="28">
        <v>28.4</v>
      </c>
      <c r="AH13" s="27">
        <v>20.100000000000001</v>
      </c>
      <c r="AI13" s="28">
        <v>21.2</v>
      </c>
      <c r="AJ13" s="27">
        <v>21.6</v>
      </c>
      <c r="AK13" s="28">
        <v>26.9</v>
      </c>
      <c r="AL13" s="27">
        <v>22.7</v>
      </c>
      <c r="AM13" s="28">
        <v>21.6</v>
      </c>
      <c r="AN13" s="27">
        <v>22.5</v>
      </c>
      <c r="AO13" s="28">
        <v>30.9</v>
      </c>
      <c r="AP13" s="27">
        <v>17.399999999999999</v>
      </c>
      <c r="AQ13" s="28">
        <v>18.2</v>
      </c>
      <c r="AR13" s="27">
        <v>15</v>
      </c>
      <c r="AS13" s="28">
        <v>32.4</v>
      </c>
      <c r="AT13" s="27">
        <v>19.5</v>
      </c>
      <c r="AU13" s="28">
        <v>17.7</v>
      </c>
      <c r="AV13" s="27">
        <v>16.2</v>
      </c>
      <c r="AW13" s="28">
        <v>32.9</v>
      </c>
    </row>
    <row r="14" spans="1:49" x14ac:dyDescent="0.35">
      <c r="A14" s="24">
        <v>8</v>
      </c>
      <c r="B14" s="27">
        <v>10</v>
      </c>
      <c r="C14" s="28">
        <v>9.1</v>
      </c>
      <c r="D14" s="27">
        <v>5.4</v>
      </c>
      <c r="E14" s="28">
        <v>30.4</v>
      </c>
      <c r="F14" s="27">
        <v>10.199999999999999</v>
      </c>
      <c r="G14" s="28">
        <v>10.7</v>
      </c>
      <c r="H14" s="27">
        <v>-4.5999999999999996</v>
      </c>
      <c r="I14" s="28">
        <v>29.3</v>
      </c>
      <c r="J14" s="27">
        <v>7.7</v>
      </c>
      <c r="K14" s="28">
        <v>10.1</v>
      </c>
      <c r="L14" s="27">
        <v>3.1</v>
      </c>
      <c r="M14" s="28">
        <v>31</v>
      </c>
      <c r="N14" s="27">
        <v>12.1</v>
      </c>
      <c r="O14" s="28">
        <v>17.899999999999999</v>
      </c>
      <c r="P14" s="27">
        <v>13</v>
      </c>
      <c r="Q14" s="28">
        <v>39.9</v>
      </c>
      <c r="R14" s="27">
        <v>19.600000000000001</v>
      </c>
      <c r="S14" s="28">
        <v>22.8</v>
      </c>
      <c r="T14" s="27">
        <v>11.1</v>
      </c>
      <c r="U14" s="28">
        <v>38.200000000000003</v>
      </c>
      <c r="V14" s="27">
        <v>20.7</v>
      </c>
      <c r="W14" s="28">
        <v>20.6</v>
      </c>
      <c r="X14" s="27">
        <v>19.5</v>
      </c>
      <c r="Y14" s="28">
        <v>32.799999999999997</v>
      </c>
      <c r="Z14" s="27">
        <v>21.1</v>
      </c>
      <c r="AA14" s="28">
        <v>23.3</v>
      </c>
      <c r="AB14" s="27">
        <v>20.9</v>
      </c>
      <c r="AC14" s="28">
        <v>29.8</v>
      </c>
      <c r="AD14" s="27">
        <v>22.5</v>
      </c>
      <c r="AE14" s="28">
        <v>22.3</v>
      </c>
      <c r="AF14" s="27">
        <v>20.9</v>
      </c>
      <c r="AG14" s="28">
        <v>28.4</v>
      </c>
      <c r="AH14" s="27">
        <v>21.4</v>
      </c>
      <c r="AI14" s="28">
        <v>22</v>
      </c>
      <c r="AJ14" s="27">
        <v>22.2</v>
      </c>
      <c r="AK14" s="28">
        <v>28.5</v>
      </c>
      <c r="AL14" s="27">
        <v>22</v>
      </c>
      <c r="AM14" s="28">
        <v>20.5</v>
      </c>
      <c r="AN14" s="27">
        <v>18.3</v>
      </c>
      <c r="AO14" s="28">
        <v>31.3</v>
      </c>
      <c r="AP14" s="27">
        <v>16.5</v>
      </c>
      <c r="AQ14" s="28">
        <v>15.9</v>
      </c>
      <c r="AR14" s="27">
        <v>13.5</v>
      </c>
      <c r="AS14" s="28">
        <v>32.700000000000003</v>
      </c>
      <c r="AT14" s="27">
        <v>18.899999999999999</v>
      </c>
      <c r="AU14" s="28">
        <v>17.600000000000001</v>
      </c>
      <c r="AV14" s="27">
        <v>19.399999999999999</v>
      </c>
      <c r="AW14" s="28">
        <v>32.9</v>
      </c>
    </row>
    <row r="15" spans="1:49" x14ac:dyDescent="0.35">
      <c r="A15" s="24">
        <v>9</v>
      </c>
      <c r="B15" s="27">
        <v>8.6999999999999993</v>
      </c>
      <c r="C15" s="28">
        <v>7.2</v>
      </c>
      <c r="D15" s="27">
        <v>5.3</v>
      </c>
      <c r="E15" s="28">
        <v>28</v>
      </c>
      <c r="F15" s="27">
        <v>5.2</v>
      </c>
      <c r="G15" s="28">
        <v>4.5999999999999996</v>
      </c>
      <c r="H15" s="27">
        <v>-5.4</v>
      </c>
      <c r="I15" s="28">
        <v>28.9</v>
      </c>
      <c r="J15" s="27">
        <v>12</v>
      </c>
      <c r="K15" s="28">
        <v>10.6</v>
      </c>
      <c r="L15" s="27">
        <v>2.4</v>
      </c>
      <c r="M15" s="28">
        <v>30.9</v>
      </c>
      <c r="N15" s="27">
        <v>13</v>
      </c>
      <c r="O15" s="28">
        <v>20</v>
      </c>
      <c r="P15" s="27">
        <v>12.6</v>
      </c>
      <c r="Q15" s="28">
        <v>38.9</v>
      </c>
      <c r="R15" s="27">
        <v>18.2</v>
      </c>
      <c r="S15" s="28">
        <v>23.8</v>
      </c>
      <c r="T15" s="27">
        <v>17.600000000000001</v>
      </c>
      <c r="U15" s="28">
        <v>38.5</v>
      </c>
      <c r="V15" s="27">
        <v>20.5</v>
      </c>
      <c r="W15" s="28">
        <v>23.4</v>
      </c>
      <c r="X15" s="27">
        <v>20.100000000000001</v>
      </c>
      <c r="Y15" s="28">
        <v>33</v>
      </c>
      <c r="Z15" s="27">
        <v>21.2</v>
      </c>
      <c r="AA15" s="28">
        <v>21.2</v>
      </c>
      <c r="AB15" s="27">
        <v>20.399999999999999</v>
      </c>
      <c r="AC15" s="28">
        <v>29.6</v>
      </c>
      <c r="AD15" s="27">
        <v>21.4</v>
      </c>
      <c r="AE15" s="28">
        <v>21.6</v>
      </c>
      <c r="AF15" s="27">
        <v>20.100000000000001</v>
      </c>
      <c r="AG15" s="28">
        <v>27.6</v>
      </c>
      <c r="AH15" s="27">
        <v>20.8</v>
      </c>
      <c r="AI15" s="28">
        <v>22.3</v>
      </c>
      <c r="AJ15" s="27">
        <v>22.3</v>
      </c>
      <c r="AK15" s="28">
        <v>28.4</v>
      </c>
      <c r="AL15" s="27">
        <v>22.3</v>
      </c>
      <c r="AM15" s="28">
        <v>21</v>
      </c>
      <c r="AN15" s="27">
        <v>22.3</v>
      </c>
      <c r="AO15" s="28">
        <v>32.1</v>
      </c>
      <c r="AP15" s="27">
        <v>15.2</v>
      </c>
      <c r="AQ15" s="28">
        <v>14.1</v>
      </c>
      <c r="AR15" s="27">
        <v>9.4</v>
      </c>
      <c r="AS15" s="28">
        <v>32.5</v>
      </c>
      <c r="AT15" s="27">
        <v>19.5</v>
      </c>
      <c r="AU15" s="28">
        <v>17.600000000000001</v>
      </c>
      <c r="AV15" s="27">
        <v>15.3</v>
      </c>
      <c r="AW15" s="28">
        <v>32.9</v>
      </c>
    </row>
    <row r="16" spans="1:49" x14ac:dyDescent="0.35">
      <c r="A16" s="24">
        <v>10</v>
      </c>
      <c r="B16" s="27">
        <v>9.1</v>
      </c>
      <c r="C16" s="28">
        <v>7.8</v>
      </c>
      <c r="D16" s="27">
        <v>5.3</v>
      </c>
      <c r="E16" s="28">
        <v>26.9</v>
      </c>
      <c r="F16" s="27">
        <v>4</v>
      </c>
      <c r="G16" s="28">
        <v>6.6</v>
      </c>
      <c r="H16" s="27">
        <v>3.3</v>
      </c>
      <c r="I16" s="28">
        <v>29.8</v>
      </c>
      <c r="J16" s="27">
        <v>10.3</v>
      </c>
      <c r="K16" s="28">
        <v>10.1</v>
      </c>
      <c r="L16" s="27">
        <v>1.2</v>
      </c>
      <c r="M16" s="28">
        <v>32.9</v>
      </c>
      <c r="N16" s="27">
        <v>16.5</v>
      </c>
      <c r="O16" s="28">
        <v>23.3</v>
      </c>
      <c r="P16" s="27">
        <v>10.3</v>
      </c>
      <c r="Q16" s="28">
        <v>39.1</v>
      </c>
      <c r="R16" s="27">
        <v>16.899999999999999</v>
      </c>
      <c r="S16" s="28">
        <v>23.7</v>
      </c>
      <c r="T16" s="27">
        <v>19</v>
      </c>
      <c r="U16" s="28">
        <v>37.799999999999997</v>
      </c>
      <c r="V16" s="27">
        <v>20.100000000000001</v>
      </c>
      <c r="W16" s="28">
        <v>23.5</v>
      </c>
      <c r="X16" s="27">
        <v>21.5</v>
      </c>
      <c r="Y16" s="28">
        <v>31.1</v>
      </c>
      <c r="Z16" s="27">
        <v>21.2</v>
      </c>
      <c r="AA16" s="28">
        <v>22.3</v>
      </c>
      <c r="AB16" s="27">
        <v>19.8</v>
      </c>
      <c r="AC16" s="28">
        <v>31.4</v>
      </c>
      <c r="AD16" s="27">
        <v>22</v>
      </c>
      <c r="AE16" s="28">
        <v>22.3</v>
      </c>
      <c r="AF16" s="27">
        <v>20.7</v>
      </c>
      <c r="AG16" s="28">
        <v>27.5</v>
      </c>
      <c r="AH16" s="27">
        <v>22.6</v>
      </c>
      <c r="AI16" s="28">
        <v>22.1</v>
      </c>
      <c r="AJ16" s="27">
        <v>21.6</v>
      </c>
      <c r="AK16" s="28">
        <v>26.9</v>
      </c>
      <c r="AL16" s="27">
        <v>22.6</v>
      </c>
      <c r="AM16" s="28">
        <v>21.2</v>
      </c>
      <c r="AN16" s="27">
        <v>18.7</v>
      </c>
      <c r="AO16" s="28">
        <v>32.9</v>
      </c>
      <c r="AP16" s="27">
        <v>15.8</v>
      </c>
      <c r="AQ16" s="28">
        <v>15</v>
      </c>
      <c r="AR16" s="27">
        <v>14.5</v>
      </c>
      <c r="AS16" s="28">
        <v>32.6</v>
      </c>
      <c r="AT16" s="27">
        <v>17.899999999999999</v>
      </c>
      <c r="AU16" s="28">
        <v>16.100000000000001</v>
      </c>
      <c r="AV16" s="27">
        <v>12.7</v>
      </c>
      <c r="AW16" s="28">
        <v>32.299999999999997</v>
      </c>
    </row>
    <row r="17" spans="1:49" x14ac:dyDescent="0.35">
      <c r="A17" s="24">
        <v>11</v>
      </c>
      <c r="B17" s="27">
        <v>7.9</v>
      </c>
      <c r="C17" s="28">
        <v>7.7</v>
      </c>
      <c r="D17" s="27">
        <v>5.7</v>
      </c>
      <c r="E17" s="28">
        <v>25.9</v>
      </c>
      <c r="F17" s="27">
        <v>8.1999999999999993</v>
      </c>
      <c r="G17" s="28">
        <v>9.3000000000000007</v>
      </c>
      <c r="H17" s="27">
        <v>6.4</v>
      </c>
      <c r="I17" s="28">
        <v>32</v>
      </c>
      <c r="J17" s="27">
        <v>8.6999999999999993</v>
      </c>
      <c r="K17" s="28">
        <v>12.3</v>
      </c>
      <c r="L17" s="27">
        <v>5.4</v>
      </c>
      <c r="M17" s="28">
        <v>35.1</v>
      </c>
      <c r="N17" s="27">
        <v>18.399999999999999</v>
      </c>
      <c r="O17" s="28">
        <v>23.7</v>
      </c>
      <c r="P17" s="27">
        <v>18.2</v>
      </c>
      <c r="Q17" s="28">
        <v>37.700000000000003</v>
      </c>
      <c r="R17" s="27">
        <v>19.3</v>
      </c>
      <c r="S17" s="28">
        <v>22.8</v>
      </c>
      <c r="T17" s="27">
        <v>15.6</v>
      </c>
      <c r="U17" s="28">
        <v>37.5</v>
      </c>
      <c r="V17" s="27">
        <v>20.3</v>
      </c>
      <c r="W17" s="28">
        <v>21.8</v>
      </c>
      <c r="X17" s="27">
        <v>18.8</v>
      </c>
      <c r="Y17" s="28">
        <v>32.299999999999997</v>
      </c>
      <c r="Z17" s="27">
        <v>20.399999999999999</v>
      </c>
      <c r="AA17" s="28">
        <v>23.1</v>
      </c>
      <c r="AB17" s="27">
        <v>21</v>
      </c>
      <c r="AC17" s="28">
        <v>31.1</v>
      </c>
      <c r="AD17" s="27">
        <v>20.8</v>
      </c>
      <c r="AE17" s="28">
        <v>21.2</v>
      </c>
      <c r="AF17" s="27">
        <v>20.9</v>
      </c>
      <c r="AG17" s="28">
        <v>27.9</v>
      </c>
      <c r="AH17" s="27">
        <v>21.4</v>
      </c>
      <c r="AI17" s="28">
        <v>21.5</v>
      </c>
      <c r="AJ17" s="27">
        <v>20.399999999999999</v>
      </c>
      <c r="AK17" s="28">
        <v>25.9</v>
      </c>
      <c r="AL17" s="27">
        <v>21.1</v>
      </c>
      <c r="AM17" s="28">
        <v>20.100000000000001</v>
      </c>
      <c r="AN17" s="27">
        <v>19.399999999999999</v>
      </c>
      <c r="AO17" s="28">
        <v>32.4</v>
      </c>
      <c r="AP17" s="27">
        <v>18.5</v>
      </c>
      <c r="AQ17" s="28">
        <v>17.2</v>
      </c>
      <c r="AR17" s="27">
        <v>13.5</v>
      </c>
      <c r="AS17" s="28">
        <v>31.6</v>
      </c>
      <c r="AT17" s="27">
        <v>15.1</v>
      </c>
      <c r="AU17" s="28">
        <v>13</v>
      </c>
      <c r="AV17" s="27">
        <v>7.9</v>
      </c>
      <c r="AW17" s="28">
        <v>31.9</v>
      </c>
    </row>
    <row r="18" spans="1:49" x14ac:dyDescent="0.35">
      <c r="A18" s="24">
        <v>12</v>
      </c>
      <c r="B18" s="27">
        <v>8.1999999999999993</v>
      </c>
      <c r="C18" s="28">
        <v>6.8</v>
      </c>
      <c r="D18" s="27">
        <v>3.1</v>
      </c>
      <c r="E18" s="28">
        <v>26.9</v>
      </c>
      <c r="F18" s="27">
        <v>11.7</v>
      </c>
      <c r="G18" s="28">
        <v>11.4</v>
      </c>
      <c r="H18" s="27">
        <v>3.8</v>
      </c>
      <c r="I18" s="28">
        <v>34</v>
      </c>
      <c r="J18" s="27">
        <v>4.4000000000000004</v>
      </c>
      <c r="K18" s="28">
        <v>14.3</v>
      </c>
      <c r="L18" s="27">
        <v>5.5</v>
      </c>
      <c r="M18" s="28">
        <v>35.200000000000003</v>
      </c>
      <c r="N18" s="27">
        <v>16.8</v>
      </c>
      <c r="O18" s="28">
        <v>21.3</v>
      </c>
      <c r="P18" s="27">
        <v>18.7</v>
      </c>
      <c r="Q18" s="28">
        <v>37.700000000000003</v>
      </c>
      <c r="R18" s="27">
        <v>18.399999999999999</v>
      </c>
      <c r="S18" s="28">
        <v>23.8</v>
      </c>
      <c r="T18" s="27">
        <v>18.100000000000001</v>
      </c>
      <c r="U18" s="28">
        <v>37</v>
      </c>
      <c r="V18" s="27">
        <v>20.399999999999999</v>
      </c>
      <c r="W18" s="28">
        <v>21.1</v>
      </c>
      <c r="X18" s="27">
        <v>20.100000000000001</v>
      </c>
      <c r="Y18" s="28">
        <v>34.1</v>
      </c>
      <c r="Z18" s="27">
        <v>20.2</v>
      </c>
      <c r="AA18" s="28">
        <v>22.7</v>
      </c>
      <c r="AB18" s="27">
        <v>20.3</v>
      </c>
      <c r="AC18" s="28">
        <v>30.5</v>
      </c>
      <c r="AD18" s="27">
        <v>20.9</v>
      </c>
      <c r="AE18" s="28">
        <v>22.1</v>
      </c>
      <c r="AF18" s="27">
        <v>20.399999999999999</v>
      </c>
      <c r="AG18" s="28">
        <v>28.1</v>
      </c>
      <c r="AH18" s="27">
        <v>20.399999999999999</v>
      </c>
      <c r="AI18" s="28">
        <v>20.6</v>
      </c>
      <c r="AJ18" s="27">
        <v>19.899999999999999</v>
      </c>
      <c r="AK18" s="28">
        <v>28.3</v>
      </c>
      <c r="AL18" s="27">
        <v>19.100000000000001</v>
      </c>
      <c r="AM18" s="28">
        <v>17.5</v>
      </c>
      <c r="AN18" s="27">
        <v>19.7</v>
      </c>
      <c r="AO18" s="28">
        <v>33.1</v>
      </c>
      <c r="AP18" s="27">
        <v>15.3</v>
      </c>
      <c r="AQ18" s="28">
        <v>16.7</v>
      </c>
      <c r="AR18" s="27">
        <v>17.399999999999999</v>
      </c>
      <c r="AS18" s="28">
        <v>30.9</v>
      </c>
      <c r="AT18" s="27">
        <v>15.8</v>
      </c>
      <c r="AU18" s="28">
        <v>12.5</v>
      </c>
      <c r="AV18" s="27">
        <v>1.6</v>
      </c>
      <c r="AW18" s="28">
        <v>31.2</v>
      </c>
    </row>
    <row r="19" spans="1:49" x14ac:dyDescent="0.35">
      <c r="A19" s="24">
        <v>13</v>
      </c>
      <c r="B19" s="27">
        <v>8</v>
      </c>
      <c r="C19" s="28">
        <v>6.6</v>
      </c>
      <c r="D19" s="27">
        <v>5.0999999999999996</v>
      </c>
      <c r="E19" s="28">
        <v>27.1</v>
      </c>
      <c r="F19" s="27">
        <v>12.3</v>
      </c>
      <c r="G19" s="28">
        <v>11.9</v>
      </c>
      <c r="H19" s="27">
        <v>5.5</v>
      </c>
      <c r="I19" s="28">
        <v>34.4</v>
      </c>
      <c r="J19" s="27">
        <v>10.6</v>
      </c>
      <c r="K19" s="28">
        <v>12.8</v>
      </c>
      <c r="L19" s="27">
        <v>2.7</v>
      </c>
      <c r="M19" s="28">
        <v>34.1</v>
      </c>
      <c r="N19" s="27">
        <v>15</v>
      </c>
      <c r="O19" s="28">
        <v>18.5</v>
      </c>
      <c r="P19" s="27">
        <v>9.6</v>
      </c>
      <c r="Q19" s="28">
        <v>38.1</v>
      </c>
      <c r="R19" s="27">
        <v>18.7</v>
      </c>
      <c r="S19" s="28">
        <v>21.6</v>
      </c>
      <c r="T19" s="27">
        <v>14.3</v>
      </c>
      <c r="U19" s="28">
        <v>36.799999999999997</v>
      </c>
      <c r="V19" s="27">
        <v>20.2</v>
      </c>
      <c r="W19" s="28">
        <v>22.5</v>
      </c>
      <c r="X19" s="27">
        <v>19.2</v>
      </c>
      <c r="Y19" s="28">
        <v>35</v>
      </c>
      <c r="Z19" s="27">
        <v>20.9</v>
      </c>
      <c r="AA19" s="28">
        <v>22.3</v>
      </c>
      <c r="AB19" s="27">
        <v>20</v>
      </c>
      <c r="AC19" s="28">
        <v>30.3</v>
      </c>
      <c r="AD19" s="27">
        <v>21.3</v>
      </c>
      <c r="AE19" s="28">
        <v>22.1</v>
      </c>
      <c r="AF19" s="27">
        <v>20</v>
      </c>
      <c r="AG19" s="28">
        <v>28.6</v>
      </c>
      <c r="AH19" s="27">
        <v>20.2</v>
      </c>
      <c r="AI19" s="28">
        <v>19.600000000000001</v>
      </c>
      <c r="AJ19" s="27">
        <v>20.100000000000001</v>
      </c>
      <c r="AK19" s="28">
        <v>27.8</v>
      </c>
      <c r="AL19" s="27">
        <v>19.899999999999999</v>
      </c>
      <c r="AM19" s="28">
        <v>19.600000000000001</v>
      </c>
      <c r="AN19" s="27">
        <v>18.600000000000001</v>
      </c>
      <c r="AO19" s="28">
        <v>32.4</v>
      </c>
      <c r="AP19" s="27">
        <v>14.1</v>
      </c>
      <c r="AQ19" s="28">
        <v>17.8</v>
      </c>
      <c r="AR19" s="27">
        <v>12.2</v>
      </c>
      <c r="AS19" s="28">
        <v>30.9</v>
      </c>
      <c r="AT19" s="27">
        <v>14.2</v>
      </c>
      <c r="AU19" s="28">
        <v>10.5</v>
      </c>
      <c r="AV19" s="27">
        <v>10</v>
      </c>
      <c r="AW19" s="28">
        <v>30.9</v>
      </c>
    </row>
    <row r="20" spans="1:49" x14ac:dyDescent="0.35">
      <c r="A20" s="24">
        <v>14</v>
      </c>
      <c r="B20" s="27">
        <v>7.9</v>
      </c>
      <c r="C20" s="28">
        <v>7.6</v>
      </c>
      <c r="D20" s="27">
        <v>5.5</v>
      </c>
      <c r="E20" s="28">
        <v>27.9</v>
      </c>
      <c r="F20" s="27">
        <v>12.8</v>
      </c>
      <c r="G20" s="28">
        <v>11.5</v>
      </c>
      <c r="H20" s="27">
        <v>6.7</v>
      </c>
      <c r="I20" s="28">
        <v>33.6</v>
      </c>
      <c r="J20" s="27">
        <v>10</v>
      </c>
      <c r="K20" s="28">
        <v>12.9</v>
      </c>
      <c r="L20" s="27">
        <v>5.4</v>
      </c>
      <c r="M20" s="28">
        <v>35.1</v>
      </c>
      <c r="N20" s="27">
        <v>15.7</v>
      </c>
      <c r="O20" s="28">
        <v>18.8</v>
      </c>
      <c r="P20" s="27">
        <v>6.9</v>
      </c>
      <c r="Q20" s="28">
        <v>38</v>
      </c>
      <c r="R20" s="27">
        <v>16.8</v>
      </c>
      <c r="S20" s="28">
        <v>21.9</v>
      </c>
      <c r="T20" s="27">
        <v>11.1</v>
      </c>
      <c r="U20" s="28">
        <v>37.6</v>
      </c>
      <c r="V20" s="27">
        <v>20.2</v>
      </c>
      <c r="W20" s="28">
        <v>23.2</v>
      </c>
      <c r="X20" s="27">
        <v>20.8</v>
      </c>
      <c r="Y20" s="28">
        <v>36</v>
      </c>
      <c r="Z20" s="27">
        <v>20.3</v>
      </c>
      <c r="AA20" s="28">
        <v>22.6</v>
      </c>
      <c r="AB20" s="27">
        <v>20.7</v>
      </c>
      <c r="AC20" s="28">
        <v>30.4</v>
      </c>
      <c r="AD20" s="27">
        <v>20.5</v>
      </c>
      <c r="AE20" s="28">
        <v>21.9</v>
      </c>
      <c r="AF20" s="27">
        <v>20.2</v>
      </c>
      <c r="AG20" s="28">
        <v>28.9</v>
      </c>
      <c r="AH20" s="27">
        <v>20.7</v>
      </c>
      <c r="AI20" s="28">
        <v>20</v>
      </c>
      <c r="AJ20" s="27">
        <v>20.3</v>
      </c>
      <c r="AK20" s="28">
        <v>27.8</v>
      </c>
      <c r="AL20" s="27">
        <v>21</v>
      </c>
      <c r="AM20" s="28">
        <v>17.600000000000001</v>
      </c>
      <c r="AN20" s="27">
        <v>18.2</v>
      </c>
      <c r="AO20" s="28">
        <v>31.8</v>
      </c>
      <c r="AP20" s="27">
        <v>14.8</v>
      </c>
      <c r="AQ20" s="28">
        <v>15</v>
      </c>
      <c r="AR20" s="27">
        <v>12.2</v>
      </c>
      <c r="AS20" s="28">
        <v>30.6</v>
      </c>
      <c r="AT20" s="27">
        <v>14.7</v>
      </c>
      <c r="AU20" s="28">
        <v>12.9</v>
      </c>
      <c r="AV20" s="27">
        <v>15.8</v>
      </c>
      <c r="AW20" s="28">
        <v>30.4</v>
      </c>
    </row>
    <row r="21" spans="1:49" x14ac:dyDescent="0.35">
      <c r="A21" s="24">
        <v>15</v>
      </c>
      <c r="B21" s="27">
        <v>8.5</v>
      </c>
      <c r="C21" s="28">
        <v>7.4</v>
      </c>
      <c r="D21" s="27">
        <v>4.5</v>
      </c>
      <c r="E21" s="28">
        <v>30</v>
      </c>
      <c r="F21" s="27">
        <v>14.3</v>
      </c>
      <c r="G21" s="28">
        <v>14.2</v>
      </c>
      <c r="H21" s="27">
        <v>2.2999999999999998</v>
      </c>
      <c r="I21" s="28">
        <v>31.9</v>
      </c>
      <c r="J21" s="27">
        <v>10.3</v>
      </c>
      <c r="K21" s="28">
        <v>13.5</v>
      </c>
      <c r="L21" s="27">
        <v>5.3</v>
      </c>
      <c r="M21" s="28">
        <v>36.9</v>
      </c>
      <c r="N21" s="27">
        <v>16.399999999999999</v>
      </c>
      <c r="O21" s="28">
        <v>20.9</v>
      </c>
      <c r="P21" s="27">
        <v>7.1</v>
      </c>
      <c r="Q21" s="28">
        <v>38.5</v>
      </c>
      <c r="R21" s="27">
        <v>14.2</v>
      </c>
      <c r="S21" s="28">
        <v>19.8</v>
      </c>
      <c r="T21" s="27">
        <v>11</v>
      </c>
      <c r="U21" s="28">
        <v>39.4</v>
      </c>
      <c r="V21" s="27">
        <v>20.6</v>
      </c>
      <c r="W21" s="28">
        <v>24.7</v>
      </c>
      <c r="X21" s="27">
        <v>20.2</v>
      </c>
      <c r="Y21" s="28">
        <v>33.1</v>
      </c>
      <c r="Z21" s="27">
        <v>21.1</v>
      </c>
      <c r="AA21" s="28">
        <v>22.6</v>
      </c>
      <c r="AB21" s="27">
        <v>20.100000000000001</v>
      </c>
      <c r="AC21" s="28">
        <v>30.3</v>
      </c>
      <c r="AD21" s="27">
        <v>20.9</v>
      </c>
      <c r="AE21" s="28">
        <v>22.1</v>
      </c>
      <c r="AF21" s="27">
        <v>20.3</v>
      </c>
      <c r="AG21" s="28">
        <v>28.4</v>
      </c>
      <c r="AH21" s="27">
        <v>21.1</v>
      </c>
      <c r="AI21" s="28">
        <v>21.2</v>
      </c>
      <c r="AJ21" s="27">
        <v>19.600000000000001</v>
      </c>
      <c r="AK21" s="28">
        <v>28.1</v>
      </c>
      <c r="AL21" s="27">
        <v>17.600000000000001</v>
      </c>
      <c r="AM21" s="28">
        <v>16.600000000000001</v>
      </c>
      <c r="AN21" s="27">
        <v>18.600000000000001</v>
      </c>
      <c r="AO21" s="28">
        <v>31.9</v>
      </c>
      <c r="AP21" s="27">
        <v>15.6</v>
      </c>
      <c r="AQ21" s="28">
        <v>13.7</v>
      </c>
      <c r="AR21" s="27">
        <v>12.9</v>
      </c>
      <c r="AS21" s="28">
        <v>30</v>
      </c>
      <c r="AT21" s="27">
        <v>14</v>
      </c>
      <c r="AU21" s="28">
        <v>11.5</v>
      </c>
      <c r="AV21" s="27">
        <v>16.899999999999999</v>
      </c>
      <c r="AW21" s="28">
        <v>31.8</v>
      </c>
    </row>
    <row r="22" spans="1:49" x14ac:dyDescent="0.35">
      <c r="A22" s="24">
        <v>16</v>
      </c>
      <c r="B22" s="27">
        <v>8.9</v>
      </c>
      <c r="C22" s="28">
        <v>8.1999999999999993</v>
      </c>
      <c r="D22" s="27">
        <v>2.8</v>
      </c>
      <c r="E22" s="28">
        <v>31.1</v>
      </c>
      <c r="F22" s="27">
        <v>6.7</v>
      </c>
      <c r="G22" s="28">
        <v>9.8000000000000007</v>
      </c>
      <c r="H22" s="27">
        <v>0</v>
      </c>
      <c r="I22" s="28">
        <v>30.9</v>
      </c>
      <c r="J22" s="27">
        <v>11.6</v>
      </c>
      <c r="K22" s="28">
        <v>14.4</v>
      </c>
      <c r="L22" s="27">
        <v>9</v>
      </c>
      <c r="M22" s="28">
        <v>37.200000000000003</v>
      </c>
      <c r="N22" s="27">
        <v>12.7</v>
      </c>
      <c r="O22" s="28">
        <v>21</v>
      </c>
      <c r="P22" s="27">
        <v>18.899999999999999</v>
      </c>
      <c r="Q22" s="28">
        <v>38.9</v>
      </c>
      <c r="R22" s="27">
        <v>17.7</v>
      </c>
      <c r="S22" s="28">
        <v>23.7</v>
      </c>
      <c r="T22" s="27">
        <v>12.8</v>
      </c>
      <c r="U22" s="28">
        <v>38.4</v>
      </c>
      <c r="V22" s="27">
        <v>20.8</v>
      </c>
      <c r="W22" s="28">
        <v>24.1</v>
      </c>
      <c r="X22" s="27">
        <v>20.399999999999999</v>
      </c>
      <c r="Y22" s="28">
        <v>32.6</v>
      </c>
      <c r="Z22" s="27">
        <v>21</v>
      </c>
      <c r="AA22" s="28">
        <v>22.6</v>
      </c>
      <c r="AB22" s="27">
        <v>21</v>
      </c>
      <c r="AC22" s="28">
        <v>31.7</v>
      </c>
      <c r="AD22" s="27">
        <v>20.9</v>
      </c>
      <c r="AE22" s="28">
        <v>21.6</v>
      </c>
      <c r="AF22" s="27">
        <v>19.899999999999999</v>
      </c>
      <c r="AG22" s="28">
        <v>28.9</v>
      </c>
      <c r="AH22" s="27">
        <v>20.6</v>
      </c>
      <c r="AI22" s="28">
        <v>21.3</v>
      </c>
      <c r="AJ22" s="27">
        <v>20.399999999999999</v>
      </c>
      <c r="AK22" s="28">
        <v>28.7</v>
      </c>
      <c r="AL22" s="27">
        <v>17.5</v>
      </c>
      <c r="AM22" s="28">
        <v>17.100000000000001</v>
      </c>
      <c r="AN22" s="27">
        <v>18.399999999999999</v>
      </c>
      <c r="AO22" s="28">
        <v>31.2</v>
      </c>
      <c r="AP22" s="27">
        <v>12.9</v>
      </c>
      <c r="AQ22" s="28">
        <v>11.9</v>
      </c>
      <c r="AR22" s="27">
        <v>10.6</v>
      </c>
      <c r="AS22" s="28">
        <v>29.2</v>
      </c>
      <c r="AT22" s="27">
        <v>15.2</v>
      </c>
      <c r="AU22" s="28">
        <v>13.5</v>
      </c>
      <c r="AV22" s="27">
        <v>11.4</v>
      </c>
      <c r="AW22" s="28">
        <v>30.2</v>
      </c>
    </row>
    <row r="23" spans="1:49" x14ac:dyDescent="0.35">
      <c r="A23" s="24">
        <v>17</v>
      </c>
      <c r="B23" s="27">
        <v>10.5</v>
      </c>
      <c r="C23" s="28">
        <v>8.1</v>
      </c>
      <c r="D23" s="27">
        <v>1.3</v>
      </c>
      <c r="E23" s="28">
        <v>31</v>
      </c>
      <c r="F23" s="27">
        <v>9.1</v>
      </c>
      <c r="G23" s="28">
        <v>9</v>
      </c>
      <c r="H23" s="27">
        <v>4.7</v>
      </c>
      <c r="I23" s="28">
        <v>32.200000000000003</v>
      </c>
      <c r="J23" s="27">
        <v>10.5</v>
      </c>
      <c r="K23" s="28">
        <v>14.8</v>
      </c>
      <c r="L23" s="27">
        <v>5.9</v>
      </c>
      <c r="M23" s="28">
        <v>38.1</v>
      </c>
      <c r="N23" s="27">
        <v>19.100000000000001</v>
      </c>
      <c r="O23" s="28">
        <v>21.3</v>
      </c>
      <c r="P23" s="27">
        <v>10.1</v>
      </c>
      <c r="Q23" s="28">
        <v>37.299999999999997</v>
      </c>
      <c r="R23" s="27">
        <v>15.8</v>
      </c>
      <c r="S23" s="28">
        <v>20.7</v>
      </c>
      <c r="T23" s="27">
        <v>14.3</v>
      </c>
      <c r="U23" s="28">
        <v>39</v>
      </c>
      <c r="V23" s="27">
        <v>22.3</v>
      </c>
      <c r="W23" s="28">
        <v>23.5</v>
      </c>
      <c r="X23" s="27">
        <v>22.6</v>
      </c>
      <c r="Y23" s="28">
        <v>28.2</v>
      </c>
      <c r="Z23" s="27">
        <v>20.7</v>
      </c>
      <c r="AA23" s="28">
        <v>20.7</v>
      </c>
      <c r="AB23" s="27">
        <v>20.7</v>
      </c>
      <c r="AC23" s="28">
        <v>32.200000000000003</v>
      </c>
      <c r="AD23" s="27">
        <v>19.899999999999999</v>
      </c>
      <c r="AE23" s="28">
        <v>21.2</v>
      </c>
      <c r="AF23" s="27">
        <v>18.899999999999999</v>
      </c>
      <c r="AG23" s="28">
        <v>28.8</v>
      </c>
      <c r="AH23" s="27">
        <v>21</v>
      </c>
      <c r="AI23" s="28">
        <v>19.2</v>
      </c>
      <c r="AJ23" s="27">
        <v>20.100000000000001</v>
      </c>
      <c r="AK23" s="28">
        <v>28.9</v>
      </c>
      <c r="AL23" s="27">
        <v>17.899999999999999</v>
      </c>
      <c r="AM23" s="28">
        <v>17.399999999999999</v>
      </c>
      <c r="AN23" s="27">
        <v>15.5</v>
      </c>
      <c r="AO23" s="28">
        <v>31.9</v>
      </c>
      <c r="AP23" s="27">
        <v>11.4</v>
      </c>
      <c r="AQ23" s="28">
        <v>9.5</v>
      </c>
      <c r="AR23" s="27">
        <v>9</v>
      </c>
      <c r="AS23" s="28">
        <v>28.3</v>
      </c>
      <c r="AT23" s="27">
        <v>13.8</v>
      </c>
      <c r="AU23" s="28">
        <v>12.5</v>
      </c>
      <c r="AV23" s="27">
        <v>12.1</v>
      </c>
      <c r="AW23" s="28">
        <v>29.5</v>
      </c>
    </row>
    <row r="24" spans="1:49" x14ac:dyDescent="0.35">
      <c r="A24" s="24">
        <v>18</v>
      </c>
      <c r="B24" s="27">
        <v>11.9</v>
      </c>
      <c r="C24" s="28">
        <v>9.4</v>
      </c>
      <c r="D24" s="27">
        <v>8.9</v>
      </c>
      <c r="E24" s="28">
        <v>27</v>
      </c>
      <c r="F24" s="27">
        <v>12.1</v>
      </c>
      <c r="G24" s="28">
        <v>12.2</v>
      </c>
      <c r="H24" s="27">
        <v>11</v>
      </c>
      <c r="I24" s="28">
        <v>34</v>
      </c>
      <c r="J24" s="27">
        <v>9.8000000000000007</v>
      </c>
      <c r="K24" s="28">
        <v>14.8</v>
      </c>
      <c r="L24" s="27">
        <v>5.9</v>
      </c>
      <c r="M24" s="28">
        <v>37.799999999999997</v>
      </c>
      <c r="N24" s="27">
        <v>16.8</v>
      </c>
      <c r="O24" s="28">
        <v>21.8</v>
      </c>
      <c r="P24" s="27">
        <v>8.3000000000000007</v>
      </c>
      <c r="Q24" s="28">
        <v>38.9</v>
      </c>
      <c r="R24" s="27">
        <v>17.100000000000001</v>
      </c>
      <c r="S24" s="28">
        <v>22.1</v>
      </c>
      <c r="T24" s="27">
        <v>11.2</v>
      </c>
      <c r="U24" s="28">
        <v>37.700000000000003</v>
      </c>
      <c r="V24" s="27">
        <v>22.3</v>
      </c>
      <c r="W24" s="28">
        <v>22.7</v>
      </c>
      <c r="X24" s="27">
        <v>20.8</v>
      </c>
      <c r="Y24" s="28">
        <v>31.4</v>
      </c>
      <c r="Z24" s="27">
        <v>22</v>
      </c>
      <c r="AA24" s="28">
        <v>22.1</v>
      </c>
      <c r="AB24" s="27">
        <v>21.5</v>
      </c>
      <c r="AC24" s="28">
        <v>28.3</v>
      </c>
      <c r="AD24" s="27">
        <v>21.3</v>
      </c>
      <c r="AE24" s="28">
        <v>21</v>
      </c>
      <c r="AF24" s="27">
        <v>20.399999999999999</v>
      </c>
      <c r="AG24" s="28">
        <v>28.3</v>
      </c>
      <c r="AH24" s="27">
        <v>19.899999999999999</v>
      </c>
      <c r="AI24" s="28">
        <v>19.8</v>
      </c>
      <c r="AJ24" s="27">
        <v>19.7</v>
      </c>
      <c r="AK24" s="28">
        <v>30</v>
      </c>
      <c r="AL24" s="27">
        <v>18.3</v>
      </c>
      <c r="AM24" s="28">
        <v>16.5</v>
      </c>
      <c r="AN24" s="27">
        <v>15.1</v>
      </c>
      <c r="AO24" s="28">
        <v>32.1</v>
      </c>
      <c r="AP24" s="27">
        <v>13.1</v>
      </c>
      <c r="AQ24" s="28">
        <v>9</v>
      </c>
      <c r="AR24" s="27">
        <v>9.5</v>
      </c>
      <c r="AS24" s="28">
        <v>29.3</v>
      </c>
      <c r="AT24" s="27">
        <v>13.9</v>
      </c>
      <c r="AU24" s="28">
        <v>13.1</v>
      </c>
      <c r="AV24" s="27">
        <v>8.8000000000000007</v>
      </c>
      <c r="AW24" s="28">
        <v>29.8</v>
      </c>
    </row>
    <row r="25" spans="1:49" x14ac:dyDescent="0.35">
      <c r="A25" s="24">
        <v>19</v>
      </c>
      <c r="B25" s="27">
        <v>10.5</v>
      </c>
      <c r="C25" s="28">
        <v>9.9</v>
      </c>
      <c r="D25" s="27">
        <v>10.6</v>
      </c>
      <c r="E25" s="28">
        <v>25.1</v>
      </c>
      <c r="F25" s="27">
        <v>14.3</v>
      </c>
      <c r="G25" s="28">
        <v>14.8</v>
      </c>
      <c r="H25" s="27">
        <v>8.8000000000000007</v>
      </c>
      <c r="I25" s="28">
        <v>35.1</v>
      </c>
      <c r="J25" s="27">
        <v>9.5</v>
      </c>
      <c r="K25" s="28">
        <v>14.3</v>
      </c>
      <c r="L25" s="27">
        <v>3.6</v>
      </c>
      <c r="M25" s="28">
        <v>38.1</v>
      </c>
      <c r="N25" s="27">
        <v>20.100000000000001</v>
      </c>
      <c r="O25" s="28">
        <v>25</v>
      </c>
      <c r="P25" s="27">
        <v>18.5</v>
      </c>
      <c r="Q25" s="28">
        <v>36.799999999999997</v>
      </c>
      <c r="R25" s="27">
        <v>12.8</v>
      </c>
      <c r="S25" s="28">
        <v>20.7</v>
      </c>
      <c r="T25" s="27">
        <v>9.1999999999999993</v>
      </c>
      <c r="U25" s="28">
        <v>38.4</v>
      </c>
      <c r="V25" s="27">
        <v>20.8</v>
      </c>
      <c r="W25" s="28">
        <v>24.4</v>
      </c>
      <c r="X25" s="27">
        <v>20</v>
      </c>
      <c r="Y25" s="28">
        <v>32.5</v>
      </c>
      <c r="Z25" s="27">
        <v>21.6</v>
      </c>
      <c r="AA25" s="28">
        <v>22.1</v>
      </c>
      <c r="AB25" s="27">
        <v>21.7</v>
      </c>
      <c r="AC25" s="28">
        <v>26.4</v>
      </c>
      <c r="AD25" s="27">
        <v>21.7</v>
      </c>
      <c r="AE25" s="28">
        <v>21.3</v>
      </c>
      <c r="AF25" s="27">
        <v>20.9</v>
      </c>
      <c r="AG25" s="28">
        <v>26.9</v>
      </c>
      <c r="AH25" s="27">
        <v>19.899999999999999</v>
      </c>
      <c r="AI25" s="28">
        <v>20.100000000000001</v>
      </c>
      <c r="AJ25" s="27">
        <v>21.5</v>
      </c>
      <c r="AK25" s="28">
        <v>28.8</v>
      </c>
      <c r="AL25" s="27">
        <v>16.600000000000001</v>
      </c>
      <c r="AM25" s="28">
        <v>15.7</v>
      </c>
      <c r="AN25" s="27">
        <v>11.4</v>
      </c>
      <c r="AO25" s="28">
        <v>31.6</v>
      </c>
      <c r="AP25" s="27">
        <v>10.6</v>
      </c>
      <c r="AQ25" s="28">
        <v>7.9</v>
      </c>
      <c r="AR25" s="27">
        <v>10.9</v>
      </c>
      <c r="AS25" s="28">
        <v>29.4</v>
      </c>
      <c r="AT25" s="27">
        <v>11.6</v>
      </c>
      <c r="AU25" s="28">
        <v>10.3</v>
      </c>
      <c r="AV25" s="27">
        <v>9.8000000000000007</v>
      </c>
      <c r="AW25" s="28">
        <v>27.2</v>
      </c>
    </row>
    <row r="26" spans="1:49" x14ac:dyDescent="0.35">
      <c r="A26" s="24">
        <v>20</v>
      </c>
      <c r="B26" s="27">
        <v>10.5</v>
      </c>
      <c r="C26" s="28">
        <v>7.8</v>
      </c>
      <c r="D26" s="27">
        <v>9.1999999999999993</v>
      </c>
      <c r="E26" s="28">
        <v>27.2</v>
      </c>
      <c r="F26" s="27">
        <v>14.8</v>
      </c>
      <c r="G26" s="28">
        <v>14.6</v>
      </c>
      <c r="H26" s="27">
        <v>6.7</v>
      </c>
      <c r="I26" s="28">
        <v>34.5</v>
      </c>
      <c r="J26" s="27">
        <v>10.3</v>
      </c>
      <c r="K26" s="28">
        <v>14.6</v>
      </c>
      <c r="L26" s="27">
        <v>3.8</v>
      </c>
      <c r="M26" s="28">
        <v>39.1</v>
      </c>
      <c r="N26" s="27">
        <v>17.7</v>
      </c>
      <c r="O26" s="28">
        <v>20.399999999999999</v>
      </c>
      <c r="P26" s="27">
        <v>14</v>
      </c>
      <c r="Q26" s="28">
        <v>36.9</v>
      </c>
      <c r="R26" s="27">
        <v>15.5</v>
      </c>
      <c r="S26" s="28">
        <v>21.8</v>
      </c>
      <c r="T26" s="27">
        <v>12.5</v>
      </c>
      <c r="U26" s="28">
        <v>38.6</v>
      </c>
      <c r="V26" s="27">
        <v>21.1</v>
      </c>
      <c r="W26" s="28">
        <v>23.8</v>
      </c>
      <c r="X26" s="27">
        <v>19.399999999999999</v>
      </c>
      <c r="Y26" s="28">
        <v>32.799999999999997</v>
      </c>
      <c r="Z26" s="27">
        <v>22.3</v>
      </c>
      <c r="AA26" s="28">
        <v>22.7</v>
      </c>
      <c r="AB26" s="27">
        <v>22.6</v>
      </c>
      <c r="AC26" s="28">
        <v>26.1</v>
      </c>
      <c r="AD26" s="27">
        <v>20.9</v>
      </c>
      <c r="AE26" s="28">
        <v>22</v>
      </c>
      <c r="AF26" s="27">
        <v>20.3</v>
      </c>
      <c r="AG26" s="28">
        <v>28.4</v>
      </c>
      <c r="AH26" s="27">
        <v>20.7</v>
      </c>
      <c r="AI26" s="28">
        <v>21.6</v>
      </c>
      <c r="AJ26" s="27">
        <v>20.3</v>
      </c>
      <c r="AK26" s="28">
        <v>30.9</v>
      </c>
      <c r="AL26" s="27">
        <v>14</v>
      </c>
      <c r="AM26" s="28">
        <v>14.8</v>
      </c>
      <c r="AN26" s="27">
        <v>14.4</v>
      </c>
      <c r="AO26" s="28">
        <v>31.7</v>
      </c>
      <c r="AP26" s="27">
        <v>10.4</v>
      </c>
      <c r="AQ26" s="28">
        <v>8.6</v>
      </c>
      <c r="AR26" s="27">
        <v>13</v>
      </c>
      <c r="AS26" s="28">
        <v>29.2</v>
      </c>
      <c r="AT26" s="27">
        <v>11.9</v>
      </c>
      <c r="AU26" s="28">
        <v>10.1</v>
      </c>
      <c r="AV26" s="27">
        <v>10.1</v>
      </c>
      <c r="AW26" s="28">
        <v>28.7</v>
      </c>
    </row>
    <row r="27" spans="1:49" x14ac:dyDescent="0.35">
      <c r="A27" s="24">
        <v>21</v>
      </c>
      <c r="B27" s="27">
        <v>11.1</v>
      </c>
      <c r="C27" s="28">
        <v>8.6999999999999993</v>
      </c>
      <c r="D27" s="27">
        <v>9</v>
      </c>
      <c r="E27" s="28">
        <v>29.6</v>
      </c>
      <c r="F27" s="27">
        <v>12.8</v>
      </c>
      <c r="G27" s="28">
        <v>13.1</v>
      </c>
      <c r="H27" s="27">
        <v>2.7</v>
      </c>
      <c r="I27" s="28">
        <v>35.4</v>
      </c>
      <c r="J27" s="27">
        <v>13.5</v>
      </c>
      <c r="K27" s="28">
        <v>15.8</v>
      </c>
      <c r="L27" s="27">
        <v>5.6</v>
      </c>
      <c r="M27" s="28">
        <v>38.4</v>
      </c>
      <c r="N27" s="27">
        <v>18.7</v>
      </c>
      <c r="O27" s="28">
        <v>21</v>
      </c>
      <c r="P27" s="27">
        <v>16.899999999999999</v>
      </c>
      <c r="Q27" s="28">
        <v>36.9</v>
      </c>
      <c r="R27" s="27">
        <v>16.899999999999999</v>
      </c>
      <c r="S27" s="28">
        <v>23.4</v>
      </c>
      <c r="T27" s="27">
        <v>13.5</v>
      </c>
      <c r="U27" s="28">
        <v>37.5</v>
      </c>
      <c r="V27" s="27">
        <v>20.100000000000001</v>
      </c>
      <c r="W27" s="28">
        <v>24.3</v>
      </c>
      <c r="X27" s="27">
        <v>18</v>
      </c>
      <c r="Y27" s="28">
        <v>33.1</v>
      </c>
      <c r="Z27" s="27">
        <v>22.4</v>
      </c>
      <c r="AA27" s="28">
        <v>23</v>
      </c>
      <c r="AB27" s="27">
        <v>21.5</v>
      </c>
      <c r="AC27" s="28">
        <v>29.5</v>
      </c>
      <c r="AD27" s="27">
        <v>21.1</v>
      </c>
      <c r="AE27" s="28">
        <v>20.8</v>
      </c>
      <c r="AF27" s="27">
        <v>20.7</v>
      </c>
      <c r="AG27" s="28">
        <v>28.3</v>
      </c>
      <c r="AH27" s="27">
        <v>20</v>
      </c>
      <c r="AI27" s="28">
        <v>22.5</v>
      </c>
      <c r="AJ27" s="27">
        <v>21.7</v>
      </c>
      <c r="AK27" s="28">
        <v>28</v>
      </c>
      <c r="AL27" s="27">
        <v>20.6</v>
      </c>
      <c r="AM27" s="28">
        <v>20.100000000000001</v>
      </c>
      <c r="AN27" s="27">
        <v>18</v>
      </c>
      <c r="AO27" s="28">
        <v>29.2</v>
      </c>
      <c r="AP27" s="27">
        <v>13.6</v>
      </c>
      <c r="AQ27" s="28">
        <v>10.8</v>
      </c>
      <c r="AR27" s="27">
        <v>16.5</v>
      </c>
      <c r="AS27" s="28">
        <v>30.5</v>
      </c>
      <c r="AT27" s="27">
        <v>12.5</v>
      </c>
      <c r="AU27" s="28">
        <v>10</v>
      </c>
      <c r="AV27" s="27">
        <v>16.899999999999999</v>
      </c>
      <c r="AW27" s="28">
        <v>31.5</v>
      </c>
    </row>
    <row r="28" spans="1:49" x14ac:dyDescent="0.35">
      <c r="A28" s="24">
        <v>22</v>
      </c>
      <c r="B28" s="27">
        <v>12.8</v>
      </c>
      <c r="C28" s="28">
        <v>11.2</v>
      </c>
      <c r="D28" s="27">
        <v>13.5</v>
      </c>
      <c r="E28" s="28">
        <v>29</v>
      </c>
      <c r="F28" s="27">
        <v>11.7</v>
      </c>
      <c r="G28" s="28">
        <v>12.8</v>
      </c>
      <c r="H28" s="27">
        <v>2.6</v>
      </c>
      <c r="I28" s="28">
        <v>36</v>
      </c>
      <c r="J28" s="27">
        <v>11.6</v>
      </c>
      <c r="K28" s="28">
        <v>16.3</v>
      </c>
      <c r="L28" s="27">
        <v>8.3000000000000007</v>
      </c>
      <c r="M28" s="28">
        <v>38</v>
      </c>
      <c r="N28" s="27">
        <v>14.1</v>
      </c>
      <c r="O28" s="28">
        <v>20.7</v>
      </c>
      <c r="P28" s="27">
        <v>10.3</v>
      </c>
      <c r="Q28" s="28">
        <v>37.9</v>
      </c>
      <c r="R28" s="27">
        <v>18.899999999999999</v>
      </c>
      <c r="S28" s="28">
        <v>22.2</v>
      </c>
      <c r="T28" s="27">
        <v>15.8</v>
      </c>
      <c r="U28" s="28">
        <v>37.700000000000003</v>
      </c>
      <c r="V28" s="27">
        <v>20.100000000000001</v>
      </c>
      <c r="W28" s="28">
        <v>23.4</v>
      </c>
      <c r="X28" s="27">
        <v>18.7</v>
      </c>
      <c r="Y28" s="28">
        <v>32.700000000000003</v>
      </c>
      <c r="Z28" s="27">
        <v>21.5</v>
      </c>
      <c r="AA28" s="28">
        <v>23.2</v>
      </c>
      <c r="AB28" s="27">
        <v>21.3</v>
      </c>
      <c r="AC28" s="28">
        <v>27.4</v>
      </c>
      <c r="AD28" s="27">
        <v>20.100000000000001</v>
      </c>
      <c r="AE28" s="28">
        <v>21.1</v>
      </c>
      <c r="AF28" s="27">
        <v>20.100000000000001</v>
      </c>
      <c r="AG28" s="28">
        <v>29.1</v>
      </c>
      <c r="AH28" s="27">
        <v>20.9</v>
      </c>
      <c r="AI28" s="28">
        <v>21.7</v>
      </c>
      <c r="AJ28" s="27">
        <v>20.399999999999999</v>
      </c>
      <c r="AK28" s="28">
        <v>30.6</v>
      </c>
      <c r="AL28" s="27">
        <v>13.5</v>
      </c>
      <c r="AM28" s="28">
        <v>20.2</v>
      </c>
      <c r="AN28" s="27">
        <v>19.600000000000001</v>
      </c>
      <c r="AO28" s="28">
        <v>29.5</v>
      </c>
      <c r="AP28" s="27">
        <v>16.100000000000001</v>
      </c>
      <c r="AQ28" s="28">
        <v>13.4</v>
      </c>
      <c r="AR28" s="27">
        <v>16.3</v>
      </c>
      <c r="AS28" s="28">
        <v>31.4</v>
      </c>
      <c r="AT28" s="27">
        <v>15.3</v>
      </c>
      <c r="AU28" s="28">
        <v>12.6</v>
      </c>
      <c r="AV28" s="27">
        <v>14.1</v>
      </c>
      <c r="AW28" s="28">
        <v>31.7</v>
      </c>
    </row>
    <row r="29" spans="1:49" x14ac:dyDescent="0.35">
      <c r="A29" s="24">
        <v>23</v>
      </c>
      <c r="B29" s="27">
        <v>14.7</v>
      </c>
      <c r="C29" s="28">
        <v>13.8</v>
      </c>
      <c r="D29" s="27">
        <v>12.1</v>
      </c>
      <c r="E29" s="28">
        <v>30</v>
      </c>
      <c r="F29" s="27">
        <v>12.7</v>
      </c>
      <c r="G29" s="28">
        <v>12.9</v>
      </c>
      <c r="H29" s="27">
        <v>4.4000000000000004</v>
      </c>
      <c r="I29" s="28">
        <v>35</v>
      </c>
      <c r="J29" s="27">
        <v>13.5</v>
      </c>
      <c r="K29" s="28">
        <v>16.399999999999999</v>
      </c>
      <c r="L29" s="27">
        <v>5.0999999999999996</v>
      </c>
      <c r="M29" s="28">
        <v>38.4</v>
      </c>
      <c r="N29" s="27">
        <v>11.2</v>
      </c>
      <c r="O29" s="28">
        <v>19.899999999999999</v>
      </c>
      <c r="P29" s="27">
        <v>0.5</v>
      </c>
      <c r="Q29" s="28">
        <v>37.1</v>
      </c>
      <c r="R29" s="27">
        <v>19.5</v>
      </c>
      <c r="S29" s="28">
        <v>22.9</v>
      </c>
      <c r="T29" s="27">
        <v>16.399999999999999</v>
      </c>
      <c r="U29" s="28">
        <v>37.9</v>
      </c>
      <c r="V29" s="27">
        <v>20.3</v>
      </c>
      <c r="W29" s="28">
        <v>23.5</v>
      </c>
      <c r="X29" s="27">
        <v>19.100000000000001</v>
      </c>
      <c r="Y29" s="28">
        <v>33.1</v>
      </c>
      <c r="Z29" s="27">
        <v>21.4</v>
      </c>
      <c r="AA29" s="28">
        <v>22.6</v>
      </c>
      <c r="AB29" s="27">
        <v>21.5</v>
      </c>
      <c r="AC29" s="28">
        <v>28.7</v>
      </c>
      <c r="AD29" s="27">
        <v>21.1</v>
      </c>
      <c r="AE29" s="28">
        <v>20.6</v>
      </c>
      <c r="AF29" s="27">
        <v>21.3</v>
      </c>
      <c r="AG29" s="28">
        <v>30.9</v>
      </c>
      <c r="AH29" s="27">
        <v>20.3</v>
      </c>
      <c r="AI29" s="28">
        <v>19.3</v>
      </c>
      <c r="AJ29" s="27">
        <v>19.7</v>
      </c>
      <c r="AK29" s="28">
        <v>30.1</v>
      </c>
      <c r="AL29" s="27">
        <v>20.100000000000001</v>
      </c>
      <c r="AM29" s="28">
        <v>21.8</v>
      </c>
      <c r="AN29" s="27">
        <v>17.899999999999999</v>
      </c>
      <c r="AO29" s="28">
        <v>31.7</v>
      </c>
      <c r="AP29" s="27">
        <v>17.100000000000001</v>
      </c>
      <c r="AQ29" s="28">
        <v>14.8</v>
      </c>
      <c r="AR29" s="27">
        <v>13.9</v>
      </c>
      <c r="AS29" s="28">
        <v>31.1</v>
      </c>
      <c r="AT29" s="27">
        <v>15</v>
      </c>
      <c r="AU29" s="28">
        <v>14</v>
      </c>
      <c r="AV29" s="27">
        <v>15.4</v>
      </c>
      <c r="AW29" s="28">
        <v>30.5</v>
      </c>
    </row>
    <row r="30" spans="1:49" x14ac:dyDescent="0.35">
      <c r="A30" s="24">
        <v>24</v>
      </c>
      <c r="B30" s="27">
        <v>14.6</v>
      </c>
      <c r="C30" s="28">
        <v>13.8</v>
      </c>
      <c r="D30" s="27">
        <v>11.7</v>
      </c>
      <c r="E30" s="28">
        <v>29.6</v>
      </c>
      <c r="F30" s="27">
        <v>12.9</v>
      </c>
      <c r="G30" s="28">
        <v>14</v>
      </c>
      <c r="H30" s="27">
        <v>7.3</v>
      </c>
      <c r="I30" s="28">
        <v>35.200000000000003</v>
      </c>
      <c r="J30" s="27">
        <v>13.1</v>
      </c>
      <c r="K30" s="28">
        <v>16</v>
      </c>
      <c r="L30" s="27">
        <v>9.4</v>
      </c>
      <c r="M30" s="28">
        <v>38.4</v>
      </c>
      <c r="N30" s="27">
        <v>13.1</v>
      </c>
      <c r="O30" s="28">
        <v>18.399999999999999</v>
      </c>
      <c r="P30" s="27">
        <v>9.4</v>
      </c>
      <c r="Q30" s="28">
        <v>37.1</v>
      </c>
      <c r="R30" s="27">
        <v>18.2</v>
      </c>
      <c r="S30" s="28">
        <v>23.8</v>
      </c>
      <c r="T30" s="27">
        <v>16.899999999999999</v>
      </c>
      <c r="U30" s="28">
        <v>37.4</v>
      </c>
      <c r="V30" s="27">
        <v>21.4</v>
      </c>
      <c r="W30" s="28">
        <v>23.8</v>
      </c>
      <c r="X30" s="27">
        <v>22</v>
      </c>
      <c r="Y30" s="28">
        <v>31.6</v>
      </c>
      <c r="Z30" s="27">
        <v>21.9</v>
      </c>
      <c r="AA30" s="28">
        <v>22.5</v>
      </c>
      <c r="AB30" s="27">
        <v>20.8</v>
      </c>
      <c r="AC30" s="28">
        <v>29.3</v>
      </c>
      <c r="AD30" s="27">
        <v>21.4</v>
      </c>
      <c r="AE30" s="28">
        <v>21.7</v>
      </c>
      <c r="AF30" s="27">
        <v>20.7</v>
      </c>
      <c r="AG30" s="28">
        <v>30.8</v>
      </c>
      <c r="AH30" s="27">
        <v>18.7</v>
      </c>
      <c r="AI30" s="28">
        <v>18.7</v>
      </c>
      <c r="AJ30" s="27">
        <v>16.899999999999999</v>
      </c>
      <c r="AK30" s="28">
        <v>29.8</v>
      </c>
      <c r="AL30" s="27">
        <v>21.1</v>
      </c>
      <c r="AM30" s="28">
        <v>20.6</v>
      </c>
      <c r="AN30" s="27">
        <v>20.399999999999999</v>
      </c>
      <c r="AO30" s="28">
        <v>31.5</v>
      </c>
      <c r="AP30" s="27">
        <v>15.8</v>
      </c>
      <c r="AQ30" s="28">
        <v>15.3</v>
      </c>
      <c r="AR30" s="27">
        <v>18</v>
      </c>
      <c r="AS30" s="28">
        <v>31.8</v>
      </c>
      <c r="AT30" s="27">
        <v>13.9</v>
      </c>
      <c r="AU30" s="28">
        <v>14</v>
      </c>
      <c r="AV30" s="27">
        <v>13.3</v>
      </c>
      <c r="AW30" s="28">
        <v>30.1</v>
      </c>
    </row>
    <row r="31" spans="1:49" x14ac:dyDescent="0.35">
      <c r="A31" s="24">
        <v>25</v>
      </c>
      <c r="B31" s="27">
        <v>14.3</v>
      </c>
      <c r="C31" s="28">
        <v>13.5</v>
      </c>
      <c r="D31" s="27">
        <v>13.2</v>
      </c>
      <c r="E31" s="28">
        <v>30.6</v>
      </c>
      <c r="F31" s="27">
        <v>11.2</v>
      </c>
      <c r="G31" s="28">
        <v>13</v>
      </c>
      <c r="H31" s="27">
        <v>6.1</v>
      </c>
      <c r="I31" s="28">
        <v>35.1</v>
      </c>
      <c r="J31" s="27">
        <v>11.5</v>
      </c>
      <c r="K31" s="28">
        <v>15.3</v>
      </c>
      <c r="L31" s="27">
        <v>-0.3</v>
      </c>
      <c r="M31" s="28">
        <v>38.700000000000003</v>
      </c>
      <c r="N31" s="27">
        <v>14.9</v>
      </c>
      <c r="O31" s="28">
        <v>19.399999999999999</v>
      </c>
      <c r="P31" s="27">
        <v>8.3000000000000007</v>
      </c>
      <c r="Q31" s="28">
        <v>37.6</v>
      </c>
      <c r="R31" s="27">
        <v>20.100000000000001</v>
      </c>
      <c r="S31" s="28">
        <v>23.8</v>
      </c>
      <c r="T31" s="27">
        <v>16.899999999999999</v>
      </c>
      <c r="U31" s="28">
        <v>37.200000000000003</v>
      </c>
      <c r="V31" s="27">
        <v>23</v>
      </c>
      <c r="W31" s="28">
        <v>22.9</v>
      </c>
      <c r="X31" s="27">
        <v>20.7</v>
      </c>
      <c r="Y31" s="28">
        <v>31.6</v>
      </c>
      <c r="Z31" s="27">
        <v>21</v>
      </c>
      <c r="AA31" s="28">
        <v>23.1</v>
      </c>
      <c r="AB31" s="27">
        <v>20.8</v>
      </c>
      <c r="AC31" s="28">
        <v>28.6</v>
      </c>
      <c r="AD31" s="27">
        <v>21.5</v>
      </c>
      <c r="AE31" s="28">
        <v>21.7</v>
      </c>
      <c r="AF31" s="27">
        <v>19.7</v>
      </c>
      <c r="AG31" s="28">
        <v>30.1</v>
      </c>
      <c r="AH31" s="27">
        <v>19</v>
      </c>
      <c r="AI31" s="28">
        <v>19.100000000000001</v>
      </c>
      <c r="AJ31" s="27">
        <v>18.3</v>
      </c>
      <c r="AK31" s="28">
        <v>29.9</v>
      </c>
      <c r="AL31" s="27">
        <v>20.7</v>
      </c>
      <c r="AM31" s="28">
        <v>19.899999999999999</v>
      </c>
      <c r="AN31" s="27">
        <v>18.899999999999999</v>
      </c>
      <c r="AO31" s="28">
        <v>31.9</v>
      </c>
      <c r="AP31" s="27">
        <v>17</v>
      </c>
      <c r="AQ31" s="28">
        <v>15.6</v>
      </c>
      <c r="AR31" s="27">
        <v>18.399999999999999</v>
      </c>
      <c r="AS31" s="28">
        <v>31.1</v>
      </c>
      <c r="AT31" s="27">
        <v>15.2</v>
      </c>
      <c r="AU31" s="28">
        <v>13.1</v>
      </c>
      <c r="AV31" s="27">
        <v>11.2</v>
      </c>
      <c r="AW31" s="28">
        <v>27.9</v>
      </c>
    </row>
    <row r="32" spans="1:49" x14ac:dyDescent="0.35">
      <c r="A32" s="24">
        <v>26</v>
      </c>
      <c r="B32" s="27">
        <v>12.5</v>
      </c>
      <c r="C32" s="28">
        <v>11.8</v>
      </c>
      <c r="D32" s="27">
        <v>10.9</v>
      </c>
      <c r="E32" s="28">
        <v>29</v>
      </c>
      <c r="F32" s="27">
        <v>10.8</v>
      </c>
      <c r="G32" s="28">
        <v>12.5</v>
      </c>
      <c r="H32" s="27">
        <v>7.2</v>
      </c>
      <c r="I32" s="28">
        <v>35.9</v>
      </c>
      <c r="J32" s="27">
        <v>12.2</v>
      </c>
      <c r="K32" s="28">
        <v>15.7</v>
      </c>
      <c r="L32" s="27">
        <v>-1.1000000000000001</v>
      </c>
      <c r="M32" s="28">
        <v>38.6</v>
      </c>
      <c r="N32" s="27">
        <v>11.2</v>
      </c>
      <c r="O32" s="28">
        <v>21.3</v>
      </c>
      <c r="P32" s="27">
        <v>1.7</v>
      </c>
      <c r="Q32" s="28">
        <v>38.4</v>
      </c>
      <c r="R32" s="27">
        <v>20.3</v>
      </c>
      <c r="S32" s="28">
        <v>24</v>
      </c>
      <c r="T32" s="27">
        <v>15.7</v>
      </c>
      <c r="U32" s="28">
        <v>37.200000000000003</v>
      </c>
      <c r="V32" s="27">
        <v>21.7</v>
      </c>
      <c r="W32" s="28">
        <v>23.6</v>
      </c>
      <c r="X32" s="27">
        <v>20.3</v>
      </c>
      <c r="Y32" s="28">
        <v>32.1</v>
      </c>
      <c r="Z32" s="27">
        <v>21.4</v>
      </c>
      <c r="AA32" s="28">
        <v>23.2</v>
      </c>
      <c r="AB32" s="27">
        <v>21.1</v>
      </c>
      <c r="AC32" s="28">
        <v>25.6</v>
      </c>
      <c r="AD32" s="27">
        <v>20.3</v>
      </c>
      <c r="AE32" s="28">
        <v>22.1</v>
      </c>
      <c r="AF32" s="27">
        <v>20.7</v>
      </c>
      <c r="AG32" s="28">
        <v>28.3</v>
      </c>
      <c r="AH32" s="27">
        <v>19.7</v>
      </c>
      <c r="AI32" s="28">
        <v>18.5</v>
      </c>
      <c r="AJ32" s="27">
        <v>19.8</v>
      </c>
      <c r="AK32" s="28">
        <v>31.1</v>
      </c>
      <c r="AL32" s="27">
        <v>21.1</v>
      </c>
      <c r="AM32" s="28">
        <v>20.2</v>
      </c>
      <c r="AN32" s="27">
        <v>21.6</v>
      </c>
      <c r="AO32" s="28">
        <v>31.5</v>
      </c>
      <c r="AP32" s="27">
        <v>18.100000000000001</v>
      </c>
      <c r="AQ32" s="28">
        <v>16.3</v>
      </c>
      <c r="AR32" s="27">
        <v>17.8</v>
      </c>
      <c r="AS32" s="28">
        <v>31.7</v>
      </c>
      <c r="AT32" s="27">
        <v>11.4</v>
      </c>
      <c r="AU32" s="28">
        <v>9.9</v>
      </c>
      <c r="AV32" s="27">
        <v>7.3</v>
      </c>
      <c r="AW32" s="28">
        <v>27.9</v>
      </c>
    </row>
    <row r="33" spans="1:49" x14ac:dyDescent="0.35">
      <c r="A33" s="24">
        <v>27</v>
      </c>
      <c r="B33" s="27">
        <v>12.3</v>
      </c>
      <c r="C33" s="28">
        <v>10.9</v>
      </c>
      <c r="D33" s="27">
        <v>7.7</v>
      </c>
      <c r="E33" s="28">
        <v>30.7</v>
      </c>
      <c r="F33" s="27">
        <v>12.7</v>
      </c>
      <c r="G33" s="28">
        <v>13.5</v>
      </c>
      <c r="H33" s="27">
        <v>6.8</v>
      </c>
      <c r="I33" s="28">
        <v>36.700000000000003</v>
      </c>
      <c r="J33" s="27">
        <v>12.8</v>
      </c>
      <c r="K33" s="28">
        <v>16.7</v>
      </c>
      <c r="L33" s="27">
        <v>11.3</v>
      </c>
      <c r="M33" s="28">
        <v>38.799999999999997</v>
      </c>
      <c r="N33" s="27">
        <v>11.4</v>
      </c>
      <c r="O33" s="28">
        <v>20.2</v>
      </c>
      <c r="P33" s="27">
        <v>5.0999999999999996</v>
      </c>
      <c r="Q33" s="28">
        <v>37.1</v>
      </c>
      <c r="R33" s="27">
        <v>19.600000000000001</v>
      </c>
      <c r="S33" s="28">
        <v>23.6</v>
      </c>
      <c r="T33" s="27">
        <v>15.1</v>
      </c>
      <c r="U33" s="28">
        <v>35.299999999999997</v>
      </c>
      <c r="V33" s="27">
        <v>22.2</v>
      </c>
      <c r="W33" s="28">
        <v>23.4</v>
      </c>
      <c r="X33" s="27">
        <v>19.899999999999999</v>
      </c>
      <c r="Y33" s="28">
        <v>31.1</v>
      </c>
      <c r="Z33" s="27">
        <v>21.5</v>
      </c>
      <c r="AA33" s="28">
        <v>23.1</v>
      </c>
      <c r="AB33" s="27">
        <v>21.1</v>
      </c>
      <c r="AC33" s="28">
        <v>28.4</v>
      </c>
      <c r="AD33" s="27">
        <v>20.2</v>
      </c>
      <c r="AE33" s="28">
        <v>21.5</v>
      </c>
      <c r="AF33" s="27">
        <v>21.3</v>
      </c>
      <c r="AG33" s="28">
        <v>25.9</v>
      </c>
      <c r="AH33" s="27">
        <v>21.3</v>
      </c>
      <c r="AI33" s="28">
        <v>20.100000000000001</v>
      </c>
      <c r="AJ33" s="27">
        <v>20.3</v>
      </c>
      <c r="AK33" s="28">
        <v>31.4</v>
      </c>
      <c r="AL33" s="27">
        <v>20.2</v>
      </c>
      <c r="AM33" s="28">
        <v>18</v>
      </c>
      <c r="AN33" s="27">
        <v>17.3</v>
      </c>
      <c r="AO33" s="28">
        <v>30.9</v>
      </c>
      <c r="AP33" s="27">
        <v>16.899999999999999</v>
      </c>
      <c r="AQ33" s="28">
        <v>16.899999999999999</v>
      </c>
      <c r="AR33" s="27">
        <v>17.899999999999999</v>
      </c>
      <c r="AS33" s="28">
        <v>32.1</v>
      </c>
      <c r="AT33" s="27">
        <v>8.9</v>
      </c>
      <c r="AU33" s="28">
        <v>7.4</v>
      </c>
      <c r="AV33" s="27">
        <v>11.2</v>
      </c>
      <c r="AW33" s="28">
        <v>28.7</v>
      </c>
    </row>
    <row r="34" spans="1:49" x14ac:dyDescent="0.35">
      <c r="A34" s="24">
        <v>28</v>
      </c>
      <c r="B34" s="27">
        <v>12.1</v>
      </c>
      <c r="C34" s="28">
        <v>10.8</v>
      </c>
      <c r="D34" s="27">
        <v>6</v>
      </c>
      <c r="E34" s="28">
        <v>29.7</v>
      </c>
      <c r="F34" s="27">
        <v>10.1</v>
      </c>
      <c r="G34" s="28">
        <v>13.3</v>
      </c>
      <c r="H34" s="27">
        <v>1.1000000000000001</v>
      </c>
      <c r="I34" s="28">
        <v>34.700000000000003</v>
      </c>
      <c r="J34" s="27">
        <v>16.8</v>
      </c>
      <c r="K34" s="28">
        <v>18.600000000000001</v>
      </c>
      <c r="L34" s="27">
        <v>10.6</v>
      </c>
      <c r="M34" s="28">
        <v>38.700000000000003</v>
      </c>
      <c r="N34" s="27">
        <v>10.7</v>
      </c>
      <c r="O34" s="28">
        <v>21.5</v>
      </c>
      <c r="P34" s="27">
        <v>13.2</v>
      </c>
      <c r="Q34" s="28">
        <v>37.799999999999997</v>
      </c>
      <c r="R34" s="27">
        <v>19.8</v>
      </c>
      <c r="S34" s="28">
        <v>22.7</v>
      </c>
      <c r="T34" s="27">
        <v>20.2</v>
      </c>
      <c r="U34" s="28">
        <v>34.799999999999997</v>
      </c>
      <c r="V34" s="27">
        <v>20.7</v>
      </c>
      <c r="W34" s="28">
        <v>23</v>
      </c>
      <c r="X34" s="27">
        <v>20.2</v>
      </c>
      <c r="Y34" s="28">
        <v>31.8</v>
      </c>
      <c r="Z34" s="27">
        <v>21</v>
      </c>
      <c r="AA34" s="28">
        <v>22.4</v>
      </c>
      <c r="AB34" s="27">
        <v>21.5</v>
      </c>
      <c r="AC34" s="28">
        <v>28</v>
      </c>
      <c r="AD34" s="27">
        <v>21.8</v>
      </c>
      <c r="AE34" s="28">
        <v>21.6</v>
      </c>
      <c r="AF34" s="27">
        <v>21.8</v>
      </c>
      <c r="AG34" s="28">
        <v>27.8</v>
      </c>
      <c r="AH34" s="27">
        <v>20.399999999999999</v>
      </c>
      <c r="AI34" s="28">
        <v>21.7</v>
      </c>
      <c r="AJ34" s="27">
        <v>19.7</v>
      </c>
      <c r="AK34" s="28">
        <v>31.1</v>
      </c>
      <c r="AL34" s="27">
        <v>19.100000000000001</v>
      </c>
      <c r="AM34" s="28">
        <v>17.100000000000001</v>
      </c>
      <c r="AN34" s="27">
        <v>16.899999999999999</v>
      </c>
      <c r="AO34" s="28">
        <v>30.7</v>
      </c>
      <c r="AP34" s="27">
        <v>17.899999999999999</v>
      </c>
      <c r="AQ34" s="28">
        <v>15.7</v>
      </c>
      <c r="AR34" s="27">
        <v>12.4</v>
      </c>
      <c r="AS34" s="28">
        <v>30.8</v>
      </c>
      <c r="AT34" s="27">
        <v>10.3</v>
      </c>
      <c r="AU34" s="28">
        <v>7.8</v>
      </c>
      <c r="AV34" s="27">
        <v>11.2</v>
      </c>
      <c r="AW34" s="28">
        <v>29.5</v>
      </c>
    </row>
    <row r="35" spans="1:49" x14ac:dyDescent="0.35">
      <c r="A35" s="24">
        <v>29</v>
      </c>
      <c r="B35" s="27">
        <v>9.5</v>
      </c>
      <c r="C35" s="28">
        <v>9.1999999999999993</v>
      </c>
      <c r="D35" s="27">
        <v>1.7</v>
      </c>
      <c r="E35" s="28">
        <v>28.6</v>
      </c>
      <c r="F35" s="27">
        <v>6.3</v>
      </c>
      <c r="G35" s="28">
        <v>9.8000000000000007</v>
      </c>
      <c r="H35" s="27">
        <v>4.5</v>
      </c>
      <c r="I35" s="28">
        <v>33.6</v>
      </c>
      <c r="J35" s="27">
        <v>16.7</v>
      </c>
      <c r="K35" s="28">
        <v>19.7</v>
      </c>
      <c r="L35" s="27">
        <v>14.5</v>
      </c>
      <c r="M35" s="28">
        <v>38.700000000000003</v>
      </c>
      <c r="N35" s="27">
        <v>4.0999999999999996</v>
      </c>
      <c r="O35" s="28">
        <v>20.399999999999999</v>
      </c>
      <c r="P35" s="27">
        <v>10.6</v>
      </c>
      <c r="Q35" s="28">
        <v>38.200000000000003</v>
      </c>
      <c r="R35" s="27">
        <v>19.8</v>
      </c>
      <c r="S35" s="28">
        <v>23.4</v>
      </c>
      <c r="T35" s="27">
        <v>18.100000000000001</v>
      </c>
      <c r="U35" s="28">
        <v>36.1</v>
      </c>
      <c r="V35" s="27">
        <v>20.6</v>
      </c>
      <c r="W35" s="28">
        <v>23.4</v>
      </c>
      <c r="X35" s="27">
        <v>20.3</v>
      </c>
      <c r="Y35" s="28">
        <v>32.4</v>
      </c>
      <c r="Z35" s="27">
        <v>20.7</v>
      </c>
      <c r="AA35" s="28">
        <v>22.7</v>
      </c>
      <c r="AB35" s="27">
        <v>20.8</v>
      </c>
      <c r="AC35" s="28">
        <v>27.6</v>
      </c>
      <c r="AD35" s="27">
        <v>22.1</v>
      </c>
      <c r="AE35" s="28">
        <v>22</v>
      </c>
      <c r="AF35" s="27">
        <v>23.1</v>
      </c>
      <c r="AG35" s="28">
        <v>29.8</v>
      </c>
      <c r="AH35" s="27">
        <v>21.2</v>
      </c>
      <c r="AI35" s="28">
        <v>20.6</v>
      </c>
      <c r="AJ35" s="27">
        <v>21.8</v>
      </c>
      <c r="AK35" s="28">
        <v>31.9</v>
      </c>
      <c r="AL35" s="27">
        <v>19.100000000000001</v>
      </c>
      <c r="AM35" s="28">
        <v>17.7</v>
      </c>
      <c r="AN35" s="27">
        <v>22.9</v>
      </c>
      <c r="AO35" s="28">
        <v>30.1</v>
      </c>
      <c r="AP35" s="27">
        <v>15</v>
      </c>
      <c r="AQ35" s="28">
        <v>13.4</v>
      </c>
      <c r="AR35" s="27">
        <v>10.7</v>
      </c>
      <c r="AS35" s="28">
        <v>31.8</v>
      </c>
      <c r="AT35" s="27">
        <v>11.9</v>
      </c>
      <c r="AU35" s="28">
        <v>9.6</v>
      </c>
      <c r="AV35" s="27">
        <v>15.3</v>
      </c>
      <c r="AW35" s="28">
        <v>30.4</v>
      </c>
    </row>
    <row r="36" spans="1:49" x14ac:dyDescent="0.35">
      <c r="A36" s="24">
        <v>30</v>
      </c>
      <c r="B36" s="27">
        <v>9.1</v>
      </c>
      <c r="C36" s="28">
        <v>8.6999999999999993</v>
      </c>
      <c r="D36" s="27">
        <v>13.4</v>
      </c>
      <c r="E36" s="28">
        <v>29.9</v>
      </c>
      <c r="F36" s="27"/>
      <c r="G36" s="28"/>
      <c r="H36" s="27"/>
      <c r="I36" s="28"/>
      <c r="J36" s="27">
        <v>13.3</v>
      </c>
      <c r="K36" s="28">
        <v>18.8</v>
      </c>
      <c r="L36" s="27">
        <v>12.3</v>
      </c>
      <c r="M36" s="28">
        <v>36.6</v>
      </c>
      <c r="N36" s="27">
        <v>8.6999999999999993</v>
      </c>
      <c r="O36" s="28">
        <v>21.4</v>
      </c>
      <c r="P36" s="27">
        <v>14.7</v>
      </c>
      <c r="Q36" s="28">
        <v>37.700000000000003</v>
      </c>
      <c r="R36" s="27">
        <v>19.100000000000001</v>
      </c>
      <c r="S36" s="28">
        <v>23.3</v>
      </c>
      <c r="T36" s="27">
        <v>16.899999999999999</v>
      </c>
      <c r="U36" s="28">
        <v>35.6</v>
      </c>
      <c r="V36" s="27">
        <v>18.7</v>
      </c>
      <c r="W36" s="28">
        <v>22.7</v>
      </c>
      <c r="X36" s="27">
        <v>18.7</v>
      </c>
      <c r="Y36" s="28">
        <v>33.200000000000003</v>
      </c>
      <c r="Z36" s="27">
        <v>21.7</v>
      </c>
      <c r="AA36" s="28">
        <v>22.6</v>
      </c>
      <c r="AB36" s="27">
        <v>21.7</v>
      </c>
      <c r="AC36" s="28">
        <v>26.9</v>
      </c>
      <c r="AD36" s="27">
        <v>21.5</v>
      </c>
      <c r="AE36" s="28">
        <v>22.1</v>
      </c>
      <c r="AF36" s="27">
        <v>21.8</v>
      </c>
      <c r="AG36" s="28">
        <v>31.1</v>
      </c>
      <c r="AH36" s="27">
        <v>21.9</v>
      </c>
      <c r="AI36" s="28">
        <v>20.399999999999999</v>
      </c>
      <c r="AJ36" s="27">
        <v>20.7</v>
      </c>
      <c r="AK36" s="28">
        <v>31.8</v>
      </c>
      <c r="AL36" s="27">
        <v>15.1</v>
      </c>
      <c r="AM36" s="28">
        <v>12.7</v>
      </c>
      <c r="AN36" s="27">
        <v>6</v>
      </c>
      <c r="AO36" s="28">
        <v>30.5</v>
      </c>
      <c r="AP36" s="27">
        <v>13.7</v>
      </c>
      <c r="AQ36" s="28">
        <v>12.1</v>
      </c>
      <c r="AR36" s="27">
        <v>11.2</v>
      </c>
      <c r="AS36" s="28">
        <v>31.1</v>
      </c>
      <c r="AT36" s="27">
        <v>12.5</v>
      </c>
      <c r="AU36" s="28">
        <v>10.9</v>
      </c>
      <c r="AV36" s="27">
        <v>16.7</v>
      </c>
      <c r="AW36" s="28">
        <v>31.3</v>
      </c>
    </row>
    <row r="37" spans="1:49" x14ac:dyDescent="0.35">
      <c r="A37" s="29">
        <v>31</v>
      </c>
      <c r="B37" s="30">
        <v>12.3</v>
      </c>
      <c r="C37" s="31">
        <v>12.4</v>
      </c>
      <c r="D37" s="30">
        <v>11.8</v>
      </c>
      <c r="E37" s="31">
        <v>30.9</v>
      </c>
      <c r="F37" s="30"/>
      <c r="G37" s="31"/>
      <c r="H37" s="30"/>
      <c r="I37" s="31"/>
      <c r="J37" s="30">
        <v>16.8</v>
      </c>
      <c r="K37" s="31">
        <v>18</v>
      </c>
      <c r="L37" s="30">
        <v>3.5</v>
      </c>
      <c r="M37" s="31">
        <v>37.9</v>
      </c>
      <c r="N37" s="30"/>
      <c r="O37" s="31"/>
      <c r="P37" s="30"/>
      <c r="Q37" s="31"/>
      <c r="R37" s="30">
        <v>18.399999999999999</v>
      </c>
      <c r="S37" s="31">
        <v>22.7</v>
      </c>
      <c r="T37" s="30">
        <v>13</v>
      </c>
      <c r="U37" s="31">
        <v>36.4</v>
      </c>
      <c r="V37" s="30"/>
      <c r="W37" s="31"/>
      <c r="X37" s="30"/>
      <c r="Y37" s="31"/>
      <c r="Z37" s="30">
        <v>21.2</v>
      </c>
      <c r="AA37" s="31">
        <v>21.7</v>
      </c>
      <c r="AB37" s="30">
        <v>21.1</v>
      </c>
      <c r="AC37" s="31">
        <v>24.1</v>
      </c>
      <c r="AD37" s="30">
        <v>22.1</v>
      </c>
      <c r="AE37" s="31">
        <v>22.3</v>
      </c>
      <c r="AF37" s="30">
        <v>23.4</v>
      </c>
      <c r="AG37" s="31">
        <v>29.5</v>
      </c>
      <c r="AH37" s="30"/>
      <c r="AI37" s="31"/>
      <c r="AJ37" s="30"/>
      <c r="AK37" s="31"/>
      <c r="AL37" s="30">
        <v>12.9</v>
      </c>
      <c r="AM37" s="31">
        <v>13.1</v>
      </c>
      <c r="AN37" s="30">
        <v>14.3</v>
      </c>
      <c r="AO37" s="31">
        <v>28.9</v>
      </c>
      <c r="AP37" s="30"/>
      <c r="AQ37" s="31"/>
      <c r="AR37" s="30"/>
      <c r="AS37" s="31"/>
      <c r="AT37" s="30">
        <v>18.399999999999999</v>
      </c>
      <c r="AU37" s="31">
        <v>17.2</v>
      </c>
      <c r="AV37" s="30">
        <v>16.899999999999999</v>
      </c>
      <c r="AW37" s="31">
        <v>31.8</v>
      </c>
    </row>
  </sheetData>
  <autoFilter ref="B6:AW37"/>
  <mergeCells count="40">
    <mergeCell ref="AJ5:AK5"/>
    <mergeCell ref="AN5:AO5"/>
    <mergeCell ref="AR5:AS5"/>
    <mergeCell ref="B4:E4"/>
    <mergeCell ref="F4:I4"/>
    <mergeCell ref="J4:M4"/>
    <mergeCell ref="N4:Q4"/>
    <mergeCell ref="R4:U4"/>
    <mergeCell ref="B1:Q1"/>
    <mergeCell ref="R1:AG1"/>
    <mergeCell ref="AH1:AW1"/>
    <mergeCell ref="AP5:AQ5"/>
    <mergeCell ref="AT5:AU5"/>
    <mergeCell ref="D5:E5"/>
    <mergeCell ref="H5:I5"/>
    <mergeCell ref="L5:M5"/>
    <mergeCell ref="P5:Q5"/>
    <mergeCell ref="T5:U5"/>
    <mergeCell ref="X5:Y5"/>
    <mergeCell ref="AB5:AC5"/>
    <mergeCell ref="AF5:AG5"/>
    <mergeCell ref="AT4:AW4"/>
    <mergeCell ref="F5:G5"/>
    <mergeCell ref="J5:K5"/>
    <mergeCell ref="AV5:AW5"/>
    <mergeCell ref="A4:A6"/>
    <mergeCell ref="N5:O5"/>
    <mergeCell ref="R5:S5"/>
    <mergeCell ref="V5:W5"/>
    <mergeCell ref="Z5:AA5"/>
    <mergeCell ref="AD5:AE5"/>
    <mergeCell ref="AH5:AI5"/>
    <mergeCell ref="AL5:AM5"/>
    <mergeCell ref="V4:Y4"/>
    <mergeCell ref="Z4:AC4"/>
    <mergeCell ref="AD4:AG4"/>
    <mergeCell ref="AH4:AK4"/>
    <mergeCell ref="AL4:AO4"/>
    <mergeCell ref="AP4:AS4"/>
    <mergeCell ref="B5:C5"/>
  </mergeCells>
  <conditionalFormatting sqref="A7:AW37">
    <cfRule type="expression" dxfId="132" priority="1">
      <formula>MOD(ROW(),2)=0</formula>
    </cfRule>
  </conditionalFormatting>
  <printOptions horizontalCentered="1" verticalCentered="1"/>
  <pageMargins left="0" right="0" top="0" bottom="0" header="0" footer="0"/>
  <pageSetup paperSize="9" orientation="landscape" r:id="rId1"/>
  <headerFooter>
    <oddFooter>&amp;R&amp;"Arial,Regular"Page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5"/>
  <sheetViews>
    <sheetView zoomScale="85" zoomScaleNormal="85" workbookViewId="0">
      <pane xSplit="1" ySplit="5" topLeftCell="F24" activePane="bottomRight" state="frozen"/>
      <selection pane="topRight" activeCell="B1" sqref="B1"/>
      <selection pane="bottomLeft" activeCell="A7" sqref="A7"/>
      <selection pane="bottomRight" activeCell="B1" sqref="B1:AK1"/>
    </sheetView>
  </sheetViews>
  <sheetFormatPr defaultColWidth="9.1796875" defaultRowHeight="14.5" x14ac:dyDescent="0.35"/>
  <cols>
    <col min="1" max="1" width="5.7265625" style="20" customWidth="1"/>
    <col min="2" max="6" width="7.453125" style="19" customWidth="1"/>
    <col min="7" max="7" width="7.7265625" style="19" customWidth="1"/>
    <col min="8" max="37" width="7.453125" style="19" customWidth="1"/>
    <col min="38" max="16384" width="9.1796875" style="20"/>
  </cols>
  <sheetData>
    <row r="1" spans="1:37" ht="18.5" x14ac:dyDescent="0.35">
      <c r="B1" s="132" t="s">
        <v>2400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 t="s">
        <v>2400</v>
      </c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</row>
    <row r="2" spans="1:37" hidden="1" x14ac:dyDescent="0.35"/>
    <row r="3" spans="1:37" s="21" customFormat="1" ht="15" hidden="1" x14ac:dyDescent="0.35"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</row>
    <row r="4" spans="1:37" s="21" customFormat="1" ht="15" x14ac:dyDescent="0.4">
      <c r="A4" s="125" t="s">
        <v>2379</v>
      </c>
      <c r="B4" s="135" t="s">
        <v>2382</v>
      </c>
      <c r="C4" s="136"/>
      <c r="D4" s="137"/>
      <c r="E4" s="135" t="s">
        <v>2383</v>
      </c>
      <c r="F4" s="136"/>
      <c r="G4" s="137"/>
      <c r="H4" s="135" t="s">
        <v>2384</v>
      </c>
      <c r="I4" s="136"/>
      <c r="J4" s="137"/>
      <c r="K4" s="135" t="s">
        <v>2385</v>
      </c>
      <c r="L4" s="136"/>
      <c r="M4" s="137"/>
      <c r="N4" s="135" t="s">
        <v>2386</v>
      </c>
      <c r="O4" s="136"/>
      <c r="P4" s="137"/>
      <c r="Q4" s="135" t="s">
        <v>2387</v>
      </c>
      <c r="R4" s="136"/>
      <c r="S4" s="137"/>
      <c r="T4" s="135" t="s">
        <v>2388</v>
      </c>
      <c r="U4" s="136"/>
      <c r="V4" s="137"/>
      <c r="W4" s="135" t="s">
        <v>2389</v>
      </c>
      <c r="X4" s="136"/>
      <c r="Y4" s="137"/>
      <c r="Z4" s="135" t="s">
        <v>2390</v>
      </c>
      <c r="AA4" s="136"/>
      <c r="AB4" s="137"/>
      <c r="AC4" s="135" t="s">
        <v>2391</v>
      </c>
      <c r="AD4" s="136"/>
      <c r="AE4" s="137"/>
      <c r="AF4" s="135" t="s">
        <v>2392</v>
      </c>
      <c r="AG4" s="136"/>
      <c r="AH4" s="137"/>
      <c r="AI4" s="135" t="s">
        <v>2393</v>
      </c>
      <c r="AJ4" s="136"/>
      <c r="AK4" s="137"/>
    </row>
    <row r="5" spans="1:37" s="23" customFormat="1" ht="30" x14ac:dyDescent="0.35">
      <c r="A5" s="133"/>
      <c r="B5" s="44" t="s">
        <v>2399</v>
      </c>
      <c r="C5" s="45" t="s">
        <v>2394</v>
      </c>
      <c r="D5" s="46" t="s">
        <v>2395</v>
      </c>
      <c r="E5" s="44" t="s">
        <v>2399</v>
      </c>
      <c r="F5" s="45" t="s">
        <v>2394</v>
      </c>
      <c r="G5" s="46" t="s">
        <v>2395</v>
      </c>
      <c r="H5" s="44" t="s">
        <v>2399</v>
      </c>
      <c r="I5" s="45" t="s">
        <v>2394</v>
      </c>
      <c r="J5" s="46" t="s">
        <v>2395</v>
      </c>
      <c r="K5" s="44" t="s">
        <v>2399</v>
      </c>
      <c r="L5" s="45" t="s">
        <v>2394</v>
      </c>
      <c r="M5" s="46" t="s">
        <v>2395</v>
      </c>
      <c r="N5" s="44" t="s">
        <v>2399</v>
      </c>
      <c r="O5" s="45" t="s">
        <v>2394</v>
      </c>
      <c r="P5" s="46" t="s">
        <v>2395</v>
      </c>
      <c r="Q5" s="44" t="s">
        <v>2399</v>
      </c>
      <c r="R5" s="45" t="s">
        <v>2394</v>
      </c>
      <c r="S5" s="46" t="s">
        <v>2395</v>
      </c>
      <c r="T5" s="44" t="s">
        <v>2399</v>
      </c>
      <c r="U5" s="45" t="s">
        <v>2394</v>
      </c>
      <c r="V5" s="46" t="s">
        <v>2395</v>
      </c>
      <c r="W5" s="44" t="s">
        <v>2399</v>
      </c>
      <c r="X5" s="45" t="s">
        <v>2394</v>
      </c>
      <c r="Y5" s="46" t="s">
        <v>2395</v>
      </c>
      <c r="Z5" s="44" t="s">
        <v>2399</v>
      </c>
      <c r="AA5" s="45" t="s">
        <v>2394</v>
      </c>
      <c r="AB5" s="46" t="s">
        <v>2395</v>
      </c>
      <c r="AC5" s="44" t="s">
        <v>2399</v>
      </c>
      <c r="AD5" s="45" t="s">
        <v>2394</v>
      </c>
      <c r="AE5" s="46" t="s">
        <v>2395</v>
      </c>
      <c r="AF5" s="44" t="s">
        <v>2399</v>
      </c>
      <c r="AG5" s="45" t="s">
        <v>2394</v>
      </c>
      <c r="AH5" s="46" t="s">
        <v>2395</v>
      </c>
      <c r="AI5" s="44" t="s">
        <v>2399</v>
      </c>
      <c r="AJ5" s="45" t="s">
        <v>2394</v>
      </c>
      <c r="AK5" s="46" t="s">
        <v>2395</v>
      </c>
    </row>
    <row r="6" spans="1:37" s="23" customFormat="1" ht="15" x14ac:dyDescent="0.35">
      <c r="A6" s="134"/>
      <c r="B6" s="41" t="s">
        <v>2401</v>
      </c>
      <c r="C6" s="42" t="s">
        <v>2402</v>
      </c>
      <c r="D6" s="43" t="s">
        <v>2402</v>
      </c>
      <c r="E6" s="41" t="s">
        <v>2401</v>
      </c>
      <c r="F6" s="42" t="s">
        <v>2402</v>
      </c>
      <c r="G6" s="43" t="s">
        <v>2402</v>
      </c>
      <c r="H6" s="41" t="s">
        <v>2401</v>
      </c>
      <c r="I6" s="42" t="s">
        <v>2402</v>
      </c>
      <c r="J6" s="43" t="s">
        <v>2402</v>
      </c>
      <c r="K6" s="41" t="s">
        <v>2401</v>
      </c>
      <c r="L6" s="42" t="s">
        <v>2402</v>
      </c>
      <c r="M6" s="43" t="s">
        <v>2402</v>
      </c>
      <c r="N6" s="41" t="s">
        <v>2401</v>
      </c>
      <c r="O6" s="42" t="s">
        <v>2402</v>
      </c>
      <c r="P6" s="43" t="s">
        <v>2402</v>
      </c>
      <c r="Q6" s="41" t="s">
        <v>2401</v>
      </c>
      <c r="R6" s="42" t="s">
        <v>2402</v>
      </c>
      <c r="S6" s="43" t="s">
        <v>2402</v>
      </c>
      <c r="T6" s="41" t="s">
        <v>2401</v>
      </c>
      <c r="U6" s="42" t="s">
        <v>2402</v>
      </c>
      <c r="V6" s="43" t="s">
        <v>2402</v>
      </c>
      <c r="W6" s="41" t="s">
        <v>2401</v>
      </c>
      <c r="X6" s="42" t="s">
        <v>2402</v>
      </c>
      <c r="Y6" s="43" t="s">
        <v>2402</v>
      </c>
      <c r="Z6" s="41" t="s">
        <v>2401</v>
      </c>
      <c r="AA6" s="42" t="s">
        <v>2402</v>
      </c>
      <c r="AB6" s="43" t="s">
        <v>2402</v>
      </c>
      <c r="AC6" s="41" t="s">
        <v>2401</v>
      </c>
      <c r="AD6" s="42" t="s">
        <v>2402</v>
      </c>
      <c r="AE6" s="43" t="s">
        <v>2402</v>
      </c>
      <c r="AF6" s="41" t="s">
        <v>2401</v>
      </c>
      <c r="AG6" s="42" t="s">
        <v>2402</v>
      </c>
      <c r="AH6" s="43" t="s">
        <v>2402</v>
      </c>
      <c r="AI6" s="41" t="s">
        <v>2401</v>
      </c>
      <c r="AJ6" s="42" t="s">
        <v>2402</v>
      </c>
      <c r="AK6" s="43" t="s">
        <v>2402</v>
      </c>
    </row>
    <row r="7" spans="1:37" x14ac:dyDescent="0.35">
      <c r="A7" s="40">
        <v>1</v>
      </c>
      <c r="B7" s="25">
        <v>0</v>
      </c>
      <c r="C7" s="37">
        <v>18.100000000000001</v>
      </c>
      <c r="D7" s="26">
        <v>30.6</v>
      </c>
      <c r="E7" s="25">
        <v>0</v>
      </c>
      <c r="F7" s="37">
        <v>13.1</v>
      </c>
      <c r="G7" s="26">
        <v>30</v>
      </c>
      <c r="H7" s="25">
        <v>0</v>
      </c>
      <c r="I7" s="37">
        <v>9.8000000000000007</v>
      </c>
      <c r="J7" s="26">
        <v>32.700000000000003</v>
      </c>
      <c r="K7" s="25">
        <v>0</v>
      </c>
      <c r="L7" s="37">
        <v>19.7</v>
      </c>
      <c r="M7" s="26">
        <v>38.5</v>
      </c>
      <c r="N7" s="25">
        <v>0</v>
      </c>
      <c r="O7" s="37">
        <v>18.5</v>
      </c>
      <c r="P7" s="26">
        <v>37.1</v>
      </c>
      <c r="Q7" s="25">
        <v>0</v>
      </c>
      <c r="R7" s="37">
        <v>23.8</v>
      </c>
      <c r="S7" s="26">
        <v>35.700000000000003</v>
      </c>
      <c r="T7" s="25">
        <v>0</v>
      </c>
      <c r="U7" s="37">
        <v>23.6</v>
      </c>
      <c r="V7" s="26">
        <v>33</v>
      </c>
      <c r="W7" s="25">
        <v>83.9</v>
      </c>
      <c r="X7" s="37">
        <v>19.2</v>
      </c>
      <c r="Y7" s="26">
        <v>26</v>
      </c>
      <c r="Z7" s="25">
        <v>17.2</v>
      </c>
      <c r="AA7" s="37">
        <v>22.1</v>
      </c>
      <c r="AB7" s="26">
        <v>29.8</v>
      </c>
      <c r="AC7" s="25">
        <v>27.4</v>
      </c>
      <c r="AD7" s="37">
        <v>21.5</v>
      </c>
      <c r="AE7" s="26">
        <v>30.1</v>
      </c>
      <c r="AF7" s="25">
        <v>0</v>
      </c>
      <c r="AG7" s="37">
        <v>15.1</v>
      </c>
      <c r="AH7" s="26">
        <v>28.1</v>
      </c>
      <c r="AI7" s="25">
        <v>0</v>
      </c>
      <c r="AJ7" s="37">
        <v>12</v>
      </c>
      <c r="AK7" s="26">
        <v>31.8</v>
      </c>
    </row>
    <row r="8" spans="1:37" x14ac:dyDescent="0.35">
      <c r="A8" s="24">
        <v>2</v>
      </c>
      <c r="B8" s="27">
        <v>0</v>
      </c>
      <c r="C8" s="38">
        <v>15.3</v>
      </c>
      <c r="D8" s="28">
        <v>30.9</v>
      </c>
      <c r="E8" s="27">
        <v>0</v>
      </c>
      <c r="F8" s="38">
        <v>12.7</v>
      </c>
      <c r="G8" s="28">
        <v>30.1</v>
      </c>
      <c r="H8" s="27">
        <v>0</v>
      </c>
      <c r="I8" s="38">
        <v>8.8000000000000007</v>
      </c>
      <c r="J8" s="28">
        <v>32.200000000000003</v>
      </c>
      <c r="K8" s="27">
        <v>0</v>
      </c>
      <c r="L8" s="38">
        <v>20</v>
      </c>
      <c r="M8" s="28">
        <v>38.799999999999997</v>
      </c>
      <c r="N8" s="27">
        <v>0</v>
      </c>
      <c r="O8" s="38">
        <v>17.899999999999999</v>
      </c>
      <c r="P8" s="28">
        <v>37.5</v>
      </c>
      <c r="Q8" s="27">
        <v>0</v>
      </c>
      <c r="R8" s="38">
        <v>23.7</v>
      </c>
      <c r="S8" s="28">
        <v>35.1</v>
      </c>
      <c r="T8" s="27">
        <v>2.7</v>
      </c>
      <c r="U8" s="38">
        <v>22.4</v>
      </c>
      <c r="V8" s="28">
        <v>33.4</v>
      </c>
      <c r="W8" s="27">
        <v>7.6</v>
      </c>
      <c r="X8" s="38">
        <v>22</v>
      </c>
      <c r="Y8" s="28">
        <v>28.1</v>
      </c>
      <c r="Z8" s="27">
        <v>0</v>
      </c>
      <c r="AA8" s="38">
        <v>22.1</v>
      </c>
      <c r="AB8" s="28">
        <v>29.8</v>
      </c>
      <c r="AC8" s="27">
        <v>37.700000000000003</v>
      </c>
      <c r="AD8" s="38">
        <v>20.6</v>
      </c>
      <c r="AE8" s="28">
        <v>30.8</v>
      </c>
      <c r="AF8" s="27">
        <v>0</v>
      </c>
      <c r="AG8" s="38">
        <v>19</v>
      </c>
      <c r="AH8" s="28">
        <v>30.8</v>
      </c>
      <c r="AI8" s="27">
        <v>0</v>
      </c>
      <c r="AJ8" s="38">
        <v>13.6</v>
      </c>
      <c r="AK8" s="28">
        <v>31</v>
      </c>
    </row>
    <row r="9" spans="1:37" x14ac:dyDescent="0.35">
      <c r="A9" s="24">
        <v>3</v>
      </c>
      <c r="B9" s="27">
        <v>0</v>
      </c>
      <c r="C9" s="38">
        <v>14.9</v>
      </c>
      <c r="D9" s="28">
        <v>31.4</v>
      </c>
      <c r="E9" s="27">
        <v>0</v>
      </c>
      <c r="F9" s="38">
        <v>11.8</v>
      </c>
      <c r="G9" s="28">
        <v>30.5</v>
      </c>
      <c r="H9" s="27">
        <v>0</v>
      </c>
      <c r="I9" s="38">
        <v>12.2</v>
      </c>
      <c r="J9" s="28">
        <v>33.6</v>
      </c>
      <c r="K9" s="27">
        <v>0</v>
      </c>
      <c r="L9" s="38">
        <v>22.3</v>
      </c>
      <c r="M9" s="28">
        <v>38.799999999999997</v>
      </c>
      <c r="N9" s="27">
        <v>0</v>
      </c>
      <c r="O9" s="38">
        <v>18.3</v>
      </c>
      <c r="P9" s="28">
        <v>38.200000000000003</v>
      </c>
      <c r="Q9" s="27">
        <v>0</v>
      </c>
      <c r="R9" s="38">
        <v>24.8</v>
      </c>
      <c r="S9" s="28">
        <v>36.1</v>
      </c>
      <c r="T9" s="27">
        <v>0</v>
      </c>
      <c r="U9" s="38">
        <v>23.2</v>
      </c>
      <c r="V9" s="28">
        <v>32</v>
      </c>
      <c r="W9" s="27">
        <v>4.0999999999999996</v>
      </c>
      <c r="X9" s="38">
        <v>22.5</v>
      </c>
      <c r="Y9" s="28">
        <v>27.6</v>
      </c>
      <c r="Z9" s="27">
        <v>1.1000000000000001</v>
      </c>
      <c r="AA9" s="38">
        <v>22.6</v>
      </c>
      <c r="AB9" s="28">
        <v>26.3</v>
      </c>
      <c r="AC9" s="27">
        <v>0.2</v>
      </c>
      <c r="AD9" s="38">
        <v>21.3</v>
      </c>
      <c r="AE9" s="28">
        <v>30.1</v>
      </c>
      <c r="AF9" s="27">
        <v>1.2</v>
      </c>
      <c r="AG9" s="38">
        <v>19.2</v>
      </c>
      <c r="AH9" s="28">
        <v>31.9</v>
      </c>
      <c r="AI9" s="27">
        <v>0</v>
      </c>
      <c r="AJ9" s="38">
        <v>15.1</v>
      </c>
      <c r="AK9" s="28">
        <v>28.9</v>
      </c>
    </row>
    <row r="10" spans="1:37" x14ac:dyDescent="0.35">
      <c r="A10" s="24">
        <v>4</v>
      </c>
      <c r="B10" s="27">
        <v>0</v>
      </c>
      <c r="C10" s="38">
        <v>12.6</v>
      </c>
      <c r="D10" s="28">
        <v>32.5</v>
      </c>
      <c r="E10" s="27">
        <v>0</v>
      </c>
      <c r="F10" s="38">
        <v>13</v>
      </c>
      <c r="G10" s="28">
        <v>31.7</v>
      </c>
      <c r="H10" s="27">
        <v>0</v>
      </c>
      <c r="I10" s="38">
        <v>13.3</v>
      </c>
      <c r="J10" s="28">
        <v>35</v>
      </c>
      <c r="K10" s="27">
        <v>0</v>
      </c>
      <c r="L10" s="38">
        <v>20.7</v>
      </c>
      <c r="M10" s="28">
        <v>38.799999999999997</v>
      </c>
      <c r="N10" s="27">
        <v>0</v>
      </c>
      <c r="O10" s="38">
        <v>22.3</v>
      </c>
      <c r="P10" s="28">
        <v>36.4</v>
      </c>
      <c r="Q10" s="27">
        <v>0</v>
      </c>
      <c r="R10" s="38">
        <v>23.9</v>
      </c>
      <c r="S10" s="28">
        <v>37.799999999999997</v>
      </c>
      <c r="T10" s="27">
        <v>3.7</v>
      </c>
      <c r="U10" s="38">
        <v>23.1</v>
      </c>
      <c r="V10" s="28">
        <v>28.2</v>
      </c>
      <c r="W10" s="27">
        <v>5.4</v>
      </c>
      <c r="X10" s="38">
        <v>22.2</v>
      </c>
      <c r="Y10" s="28">
        <v>27.4</v>
      </c>
      <c r="Z10" s="27">
        <v>4</v>
      </c>
      <c r="AA10" s="38">
        <v>21.6</v>
      </c>
      <c r="AB10" s="28">
        <v>25.4</v>
      </c>
      <c r="AC10" s="27">
        <v>0.2</v>
      </c>
      <c r="AD10" s="38">
        <v>22</v>
      </c>
      <c r="AE10" s="28">
        <v>30.5</v>
      </c>
      <c r="AF10" s="27">
        <v>0</v>
      </c>
      <c r="AG10" s="38">
        <v>18.100000000000001</v>
      </c>
      <c r="AH10" s="28">
        <v>32.5</v>
      </c>
      <c r="AI10" s="27">
        <v>0</v>
      </c>
      <c r="AJ10" s="38">
        <v>13.4</v>
      </c>
      <c r="AK10" s="28">
        <v>29.9</v>
      </c>
    </row>
    <row r="11" spans="1:37" x14ac:dyDescent="0.35">
      <c r="A11" s="24">
        <v>5</v>
      </c>
      <c r="B11" s="27">
        <v>0</v>
      </c>
      <c r="C11" s="38">
        <v>12.6</v>
      </c>
      <c r="D11" s="28">
        <v>32.299999999999997</v>
      </c>
      <c r="E11" s="27">
        <v>0</v>
      </c>
      <c r="F11" s="38">
        <v>13.3</v>
      </c>
      <c r="G11" s="28">
        <v>31.9</v>
      </c>
      <c r="H11" s="27">
        <v>0</v>
      </c>
      <c r="I11" s="38">
        <v>13.3</v>
      </c>
      <c r="J11" s="28">
        <v>36.5</v>
      </c>
      <c r="K11" s="27">
        <v>0</v>
      </c>
      <c r="L11" s="38">
        <v>22.1</v>
      </c>
      <c r="M11" s="28">
        <v>38.200000000000003</v>
      </c>
      <c r="N11" s="27">
        <v>0</v>
      </c>
      <c r="O11" s="38">
        <v>21.6</v>
      </c>
      <c r="P11" s="28">
        <v>35.299999999999997</v>
      </c>
      <c r="Q11" s="27">
        <v>0</v>
      </c>
      <c r="R11" s="38">
        <v>24.8</v>
      </c>
      <c r="S11" s="28">
        <v>35.5</v>
      </c>
      <c r="T11" s="27">
        <v>0.3</v>
      </c>
      <c r="U11" s="38">
        <v>21.9</v>
      </c>
      <c r="V11" s="28">
        <v>30.2</v>
      </c>
      <c r="W11" s="27">
        <v>3.5</v>
      </c>
      <c r="X11" s="38">
        <v>22.2</v>
      </c>
      <c r="Y11" s="28">
        <v>28.6</v>
      </c>
      <c r="Z11" s="27">
        <v>9.4</v>
      </c>
      <c r="AA11" s="38">
        <v>21.5</v>
      </c>
      <c r="AB11" s="28">
        <v>26</v>
      </c>
      <c r="AC11" s="27">
        <v>36.6</v>
      </c>
      <c r="AD11" s="38">
        <v>22</v>
      </c>
      <c r="AE11" s="28">
        <v>30.1</v>
      </c>
      <c r="AF11" s="27">
        <v>0</v>
      </c>
      <c r="AG11" s="38">
        <v>16.899999999999999</v>
      </c>
      <c r="AH11" s="28">
        <v>31.8</v>
      </c>
      <c r="AI11" s="27">
        <v>0</v>
      </c>
      <c r="AJ11" s="38">
        <v>13.6</v>
      </c>
      <c r="AK11" s="28">
        <v>30.8</v>
      </c>
    </row>
    <row r="12" spans="1:37" x14ac:dyDescent="0.35">
      <c r="A12" s="24">
        <v>6</v>
      </c>
      <c r="B12" s="27">
        <v>0</v>
      </c>
      <c r="C12" s="38">
        <v>13.6</v>
      </c>
      <c r="D12" s="28">
        <v>31.9</v>
      </c>
      <c r="E12" s="27">
        <v>0</v>
      </c>
      <c r="F12" s="38">
        <v>13.5</v>
      </c>
      <c r="G12" s="28">
        <v>32.799999999999997</v>
      </c>
      <c r="H12" s="27">
        <v>0</v>
      </c>
      <c r="I12" s="38">
        <v>13.7</v>
      </c>
      <c r="J12" s="28">
        <v>34.9</v>
      </c>
      <c r="K12" s="27">
        <v>0</v>
      </c>
      <c r="L12" s="38">
        <v>18.399999999999999</v>
      </c>
      <c r="M12" s="28">
        <v>37.1</v>
      </c>
      <c r="N12" s="27">
        <v>0</v>
      </c>
      <c r="O12" s="38">
        <v>22</v>
      </c>
      <c r="P12" s="28">
        <v>34.9</v>
      </c>
      <c r="Q12" s="27">
        <v>0.8</v>
      </c>
      <c r="R12" s="38">
        <v>25</v>
      </c>
      <c r="S12" s="28">
        <v>28.8</v>
      </c>
      <c r="T12" s="27">
        <v>0.9</v>
      </c>
      <c r="U12" s="38">
        <v>22.2</v>
      </c>
      <c r="V12" s="28">
        <v>29.5</v>
      </c>
      <c r="W12" s="27">
        <v>0.2</v>
      </c>
      <c r="X12" s="38">
        <v>22.2</v>
      </c>
      <c r="Y12" s="28">
        <v>26.8</v>
      </c>
      <c r="Z12" s="27">
        <v>7.8</v>
      </c>
      <c r="AA12" s="38">
        <v>21.9</v>
      </c>
      <c r="AB12" s="28">
        <v>27.8</v>
      </c>
      <c r="AC12" s="27">
        <v>7.1</v>
      </c>
      <c r="AD12" s="38">
        <v>21.3</v>
      </c>
      <c r="AE12" s="28">
        <v>31.1</v>
      </c>
      <c r="AF12" s="27">
        <v>0</v>
      </c>
      <c r="AG12" s="38">
        <v>15.6</v>
      </c>
      <c r="AH12" s="28">
        <v>31.9</v>
      </c>
      <c r="AI12" s="27">
        <v>0</v>
      </c>
      <c r="AJ12" s="38">
        <v>17.899999999999999</v>
      </c>
      <c r="AK12" s="28">
        <v>31.6</v>
      </c>
    </row>
    <row r="13" spans="1:37" x14ac:dyDescent="0.35">
      <c r="A13" s="24">
        <v>7</v>
      </c>
      <c r="B13" s="27">
        <v>0</v>
      </c>
      <c r="C13" s="38">
        <v>10.7</v>
      </c>
      <c r="D13" s="28">
        <v>31.4</v>
      </c>
      <c r="E13" s="27">
        <v>0</v>
      </c>
      <c r="F13" s="38">
        <v>13.2</v>
      </c>
      <c r="G13" s="28">
        <v>31.8</v>
      </c>
      <c r="H13" s="27">
        <v>0</v>
      </c>
      <c r="I13" s="38">
        <v>10.3</v>
      </c>
      <c r="J13" s="28">
        <v>33.5</v>
      </c>
      <c r="K13" s="27">
        <v>0</v>
      </c>
      <c r="L13" s="38">
        <v>17.3</v>
      </c>
      <c r="M13" s="28">
        <v>39</v>
      </c>
      <c r="N13" s="27">
        <v>0</v>
      </c>
      <c r="O13" s="38">
        <v>21.7</v>
      </c>
      <c r="P13" s="28">
        <v>37.200000000000003</v>
      </c>
      <c r="Q13" s="27">
        <v>3.9</v>
      </c>
      <c r="R13" s="38">
        <v>21.5</v>
      </c>
      <c r="S13" s="28">
        <v>33.700000000000003</v>
      </c>
      <c r="T13" s="27">
        <v>5.7</v>
      </c>
      <c r="U13" s="38">
        <v>23</v>
      </c>
      <c r="V13" s="28">
        <v>29.3</v>
      </c>
      <c r="W13" s="27">
        <v>3.8</v>
      </c>
      <c r="X13" s="38">
        <v>22.1</v>
      </c>
      <c r="Y13" s="28">
        <v>28.4</v>
      </c>
      <c r="Z13" s="27">
        <v>0.3</v>
      </c>
      <c r="AA13" s="38">
        <v>21.2</v>
      </c>
      <c r="AB13" s="28">
        <v>26.9</v>
      </c>
      <c r="AC13" s="27">
        <v>10</v>
      </c>
      <c r="AD13" s="38">
        <v>21.6</v>
      </c>
      <c r="AE13" s="28">
        <v>30.9</v>
      </c>
      <c r="AF13" s="27">
        <v>0</v>
      </c>
      <c r="AG13" s="38">
        <v>18.2</v>
      </c>
      <c r="AH13" s="28">
        <v>32.4</v>
      </c>
      <c r="AI13" s="27">
        <v>0</v>
      </c>
      <c r="AJ13" s="38">
        <v>17.7</v>
      </c>
      <c r="AK13" s="28">
        <v>32.9</v>
      </c>
    </row>
    <row r="14" spans="1:37" x14ac:dyDescent="0.35">
      <c r="A14" s="24">
        <v>8</v>
      </c>
      <c r="B14" s="27">
        <v>0</v>
      </c>
      <c r="C14" s="38">
        <v>9.1</v>
      </c>
      <c r="D14" s="28">
        <v>30.4</v>
      </c>
      <c r="E14" s="27">
        <v>0</v>
      </c>
      <c r="F14" s="38">
        <v>10.7</v>
      </c>
      <c r="G14" s="28">
        <v>29.3</v>
      </c>
      <c r="H14" s="27">
        <v>0</v>
      </c>
      <c r="I14" s="38">
        <v>10.1</v>
      </c>
      <c r="J14" s="28">
        <v>31</v>
      </c>
      <c r="K14" s="27">
        <v>0</v>
      </c>
      <c r="L14" s="38">
        <v>17.899999999999999</v>
      </c>
      <c r="M14" s="28">
        <v>39.9</v>
      </c>
      <c r="N14" s="27">
        <v>0</v>
      </c>
      <c r="O14" s="38">
        <v>22.8</v>
      </c>
      <c r="P14" s="28">
        <v>38.200000000000003</v>
      </c>
      <c r="Q14" s="27">
        <v>6.1</v>
      </c>
      <c r="R14" s="38">
        <v>20.6</v>
      </c>
      <c r="S14" s="28">
        <v>32.799999999999997</v>
      </c>
      <c r="T14" s="27">
        <v>2.2999999999999998</v>
      </c>
      <c r="U14" s="38">
        <v>23.3</v>
      </c>
      <c r="V14" s="28">
        <v>29.8</v>
      </c>
      <c r="W14" s="27">
        <v>5.2</v>
      </c>
      <c r="X14" s="38">
        <v>22.3</v>
      </c>
      <c r="Y14" s="28">
        <v>28.4</v>
      </c>
      <c r="Z14" s="27">
        <v>0.5</v>
      </c>
      <c r="AA14" s="38">
        <v>22</v>
      </c>
      <c r="AB14" s="28">
        <v>28.5</v>
      </c>
      <c r="AC14" s="27">
        <v>0</v>
      </c>
      <c r="AD14" s="38">
        <v>20.5</v>
      </c>
      <c r="AE14" s="28">
        <v>31.3</v>
      </c>
      <c r="AF14" s="27">
        <v>0</v>
      </c>
      <c r="AG14" s="38">
        <v>15.9</v>
      </c>
      <c r="AH14" s="28">
        <v>32.700000000000003</v>
      </c>
      <c r="AI14" s="27">
        <v>0</v>
      </c>
      <c r="AJ14" s="38">
        <v>17.600000000000001</v>
      </c>
      <c r="AK14" s="28">
        <v>32.9</v>
      </c>
    </row>
    <row r="15" spans="1:37" x14ac:dyDescent="0.35">
      <c r="A15" s="24">
        <v>9</v>
      </c>
      <c r="B15" s="27">
        <v>0</v>
      </c>
      <c r="C15" s="38">
        <v>7.2</v>
      </c>
      <c r="D15" s="28">
        <v>28</v>
      </c>
      <c r="E15" s="27">
        <v>0</v>
      </c>
      <c r="F15" s="38">
        <v>4.5999999999999996</v>
      </c>
      <c r="G15" s="28">
        <v>28.9</v>
      </c>
      <c r="H15" s="27">
        <v>0</v>
      </c>
      <c r="I15" s="38">
        <v>10.6</v>
      </c>
      <c r="J15" s="28">
        <v>30.9</v>
      </c>
      <c r="K15" s="27">
        <v>0</v>
      </c>
      <c r="L15" s="38">
        <v>20</v>
      </c>
      <c r="M15" s="28">
        <v>38.9</v>
      </c>
      <c r="N15" s="27">
        <v>0.2</v>
      </c>
      <c r="O15" s="38">
        <v>23.8</v>
      </c>
      <c r="P15" s="28">
        <v>38.5</v>
      </c>
      <c r="Q15" s="27">
        <v>1.2</v>
      </c>
      <c r="R15" s="38">
        <v>23.4</v>
      </c>
      <c r="S15" s="28">
        <v>33</v>
      </c>
      <c r="T15" s="27">
        <v>1</v>
      </c>
      <c r="U15" s="38">
        <v>21.2</v>
      </c>
      <c r="V15" s="28">
        <v>29.6</v>
      </c>
      <c r="W15" s="27">
        <v>6.2</v>
      </c>
      <c r="X15" s="38">
        <v>21.6</v>
      </c>
      <c r="Y15" s="28">
        <v>27.6</v>
      </c>
      <c r="Z15" s="27">
        <v>0.6</v>
      </c>
      <c r="AA15" s="38">
        <v>22.3</v>
      </c>
      <c r="AB15" s="28">
        <v>28.4</v>
      </c>
      <c r="AC15" s="27">
        <v>0</v>
      </c>
      <c r="AD15" s="38">
        <v>21</v>
      </c>
      <c r="AE15" s="28">
        <v>32.1</v>
      </c>
      <c r="AF15" s="27">
        <v>0</v>
      </c>
      <c r="AG15" s="38">
        <v>14.1</v>
      </c>
      <c r="AH15" s="28">
        <v>32.5</v>
      </c>
      <c r="AI15" s="27">
        <v>0</v>
      </c>
      <c r="AJ15" s="38">
        <v>17.600000000000001</v>
      </c>
      <c r="AK15" s="28">
        <v>32.9</v>
      </c>
    </row>
    <row r="16" spans="1:37" x14ac:dyDescent="0.35">
      <c r="A16" s="24">
        <v>10</v>
      </c>
      <c r="B16" s="27">
        <v>0</v>
      </c>
      <c r="C16" s="38">
        <v>7.8</v>
      </c>
      <c r="D16" s="28">
        <v>26.9</v>
      </c>
      <c r="E16" s="27">
        <v>0</v>
      </c>
      <c r="F16" s="38">
        <v>6.6</v>
      </c>
      <c r="G16" s="28">
        <v>29.8</v>
      </c>
      <c r="H16" s="27">
        <v>0</v>
      </c>
      <c r="I16" s="38">
        <v>10.1</v>
      </c>
      <c r="J16" s="28">
        <v>32.9</v>
      </c>
      <c r="K16" s="27">
        <v>0</v>
      </c>
      <c r="L16" s="38">
        <v>23.3</v>
      </c>
      <c r="M16" s="28">
        <v>39.1</v>
      </c>
      <c r="N16" s="27">
        <v>0</v>
      </c>
      <c r="O16" s="38">
        <v>23.7</v>
      </c>
      <c r="P16" s="28">
        <v>37.799999999999997</v>
      </c>
      <c r="Q16" s="27">
        <v>0</v>
      </c>
      <c r="R16" s="38">
        <v>23.5</v>
      </c>
      <c r="S16" s="28">
        <v>31.1</v>
      </c>
      <c r="T16" s="27">
        <v>0.5</v>
      </c>
      <c r="U16" s="38">
        <v>22.3</v>
      </c>
      <c r="V16" s="28">
        <v>31.4</v>
      </c>
      <c r="W16" s="27">
        <v>18.600000000000001</v>
      </c>
      <c r="X16" s="38">
        <v>22.3</v>
      </c>
      <c r="Y16" s="28">
        <v>27.5</v>
      </c>
      <c r="Z16" s="27">
        <v>2.2000000000000002</v>
      </c>
      <c r="AA16" s="38">
        <v>22.1</v>
      </c>
      <c r="AB16" s="28">
        <v>26.9</v>
      </c>
      <c r="AC16" s="27">
        <v>0</v>
      </c>
      <c r="AD16" s="38">
        <v>21.2</v>
      </c>
      <c r="AE16" s="28">
        <v>32.9</v>
      </c>
      <c r="AF16" s="27">
        <v>0</v>
      </c>
      <c r="AG16" s="38">
        <v>15</v>
      </c>
      <c r="AH16" s="28">
        <v>32.6</v>
      </c>
      <c r="AI16" s="27">
        <v>0</v>
      </c>
      <c r="AJ16" s="38">
        <v>16.100000000000001</v>
      </c>
      <c r="AK16" s="28">
        <v>32.299999999999997</v>
      </c>
    </row>
    <row r="17" spans="1:37" x14ac:dyDescent="0.35">
      <c r="A17" s="24">
        <v>11</v>
      </c>
      <c r="B17" s="27">
        <v>0</v>
      </c>
      <c r="C17" s="38">
        <v>7.7</v>
      </c>
      <c r="D17" s="28">
        <v>25.9</v>
      </c>
      <c r="E17" s="27">
        <v>0</v>
      </c>
      <c r="F17" s="38">
        <v>9.3000000000000007</v>
      </c>
      <c r="G17" s="28">
        <v>32</v>
      </c>
      <c r="H17" s="27">
        <v>0</v>
      </c>
      <c r="I17" s="38">
        <v>12.3</v>
      </c>
      <c r="J17" s="28">
        <v>35.1</v>
      </c>
      <c r="K17" s="27">
        <v>0</v>
      </c>
      <c r="L17" s="38">
        <v>23.7</v>
      </c>
      <c r="M17" s="28">
        <v>37.700000000000003</v>
      </c>
      <c r="N17" s="27">
        <v>0</v>
      </c>
      <c r="O17" s="38">
        <v>22.8</v>
      </c>
      <c r="P17" s="28">
        <v>37.5</v>
      </c>
      <c r="Q17" s="27">
        <v>1.1000000000000001</v>
      </c>
      <c r="R17" s="38">
        <v>21.8</v>
      </c>
      <c r="S17" s="28">
        <v>32.299999999999997</v>
      </c>
      <c r="T17" s="27">
        <v>0</v>
      </c>
      <c r="U17" s="38">
        <v>23.1</v>
      </c>
      <c r="V17" s="28">
        <v>31.1</v>
      </c>
      <c r="W17" s="27">
        <v>1.9</v>
      </c>
      <c r="X17" s="38">
        <v>21.2</v>
      </c>
      <c r="Y17" s="28">
        <v>27.9</v>
      </c>
      <c r="Z17" s="27">
        <v>7.1</v>
      </c>
      <c r="AA17" s="38">
        <v>21.5</v>
      </c>
      <c r="AB17" s="28">
        <v>25.9</v>
      </c>
      <c r="AC17" s="27">
        <v>0</v>
      </c>
      <c r="AD17" s="38">
        <v>20.100000000000001</v>
      </c>
      <c r="AE17" s="28">
        <v>32.4</v>
      </c>
      <c r="AF17" s="27">
        <v>0</v>
      </c>
      <c r="AG17" s="38">
        <v>17.2</v>
      </c>
      <c r="AH17" s="28">
        <v>31.6</v>
      </c>
      <c r="AI17" s="27">
        <v>0</v>
      </c>
      <c r="AJ17" s="38">
        <v>13</v>
      </c>
      <c r="AK17" s="28">
        <v>31.9</v>
      </c>
    </row>
    <row r="18" spans="1:37" x14ac:dyDescent="0.35">
      <c r="A18" s="24">
        <v>12</v>
      </c>
      <c r="B18" s="27">
        <v>0</v>
      </c>
      <c r="C18" s="38">
        <v>6.8</v>
      </c>
      <c r="D18" s="28">
        <v>26.9</v>
      </c>
      <c r="E18" s="27">
        <v>0</v>
      </c>
      <c r="F18" s="38">
        <v>11.4</v>
      </c>
      <c r="G18" s="28">
        <v>34</v>
      </c>
      <c r="H18" s="27">
        <v>0</v>
      </c>
      <c r="I18" s="38">
        <v>14.3</v>
      </c>
      <c r="J18" s="28">
        <v>35.200000000000003</v>
      </c>
      <c r="K18" s="27">
        <v>0</v>
      </c>
      <c r="L18" s="38">
        <v>21.3</v>
      </c>
      <c r="M18" s="28">
        <v>37.700000000000003</v>
      </c>
      <c r="N18" s="27">
        <v>0</v>
      </c>
      <c r="O18" s="38">
        <v>23.8</v>
      </c>
      <c r="P18" s="28">
        <v>37</v>
      </c>
      <c r="Q18" s="27">
        <v>0</v>
      </c>
      <c r="R18" s="38">
        <v>21.1</v>
      </c>
      <c r="S18" s="28">
        <v>34.1</v>
      </c>
      <c r="T18" s="27">
        <v>0</v>
      </c>
      <c r="U18" s="38">
        <v>22.7</v>
      </c>
      <c r="V18" s="28">
        <v>30.5</v>
      </c>
      <c r="W18" s="27">
        <v>0.7</v>
      </c>
      <c r="X18" s="38">
        <v>22.1</v>
      </c>
      <c r="Y18" s="28">
        <v>28.1</v>
      </c>
      <c r="Z18" s="27">
        <v>0.2</v>
      </c>
      <c r="AA18" s="38">
        <v>20.6</v>
      </c>
      <c r="AB18" s="28">
        <v>28.3</v>
      </c>
      <c r="AC18" s="27">
        <v>0</v>
      </c>
      <c r="AD18" s="38">
        <v>17.5</v>
      </c>
      <c r="AE18" s="28">
        <v>33.1</v>
      </c>
      <c r="AF18" s="27">
        <v>0</v>
      </c>
      <c r="AG18" s="38">
        <v>16.7</v>
      </c>
      <c r="AH18" s="28">
        <v>30.9</v>
      </c>
      <c r="AI18" s="27">
        <v>0</v>
      </c>
      <c r="AJ18" s="38">
        <v>12.5</v>
      </c>
      <c r="AK18" s="28">
        <v>31.2</v>
      </c>
    </row>
    <row r="19" spans="1:37" x14ac:dyDescent="0.35">
      <c r="A19" s="24">
        <v>13</v>
      </c>
      <c r="B19" s="27">
        <v>0</v>
      </c>
      <c r="C19" s="38">
        <v>6.6</v>
      </c>
      <c r="D19" s="28">
        <v>27.1</v>
      </c>
      <c r="E19" s="27">
        <v>0</v>
      </c>
      <c r="F19" s="38">
        <v>11.9</v>
      </c>
      <c r="G19" s="28">
        <v>34.4</v>
      </c>
      <c r="H19" s="27">
        <v>0</v>
      </c>
      <c r="I19" s="38">
        <v>12.8</v>
      </c>
      <c r="J19" s="28">
        <v>34.1</v>
      </c>
      <c r="K19" s="27">
        <v>0</v>
      </c>
      <c r="L19" s="38">
        <v>18.5</v>
      </c>
      <c r="M19" s="28">
        <v>38.1</v>
      </c>
      <c r="N19" s="27">
        <v>0</v>
      </c>
      <c r="O19" s="38">
        <v>21.6</v>
      </c>
      <c r="P19" s="28">
        <v>36.799999999999997</v>
      </c>
      <c r="Q19" s="27">
        <v>0</v>
      </c>
      <c r="R19" s="38">
        <v>22.5</v>
      </c>
      <c r="S19" s="28">
        <v>35</v>
      </c>
      <c r="T19" s="27">
        <v>0.4</v>
      </c>
      <c r="U19" s="38">
        <v>22.3</v>
      </c>
      <c r="V19" s="28">
        <v>30.3</v>
      </c>
      <c r="W19" s="27">
        <v>4</v>
      </c>
      <c r="X19" s="38">
        <v>22.1</v>
      </c>
      <c r="Y19" s="28">
        <v>28.6</v>
      </c>
      <c r="Z19" s="27">
        <v>0</v>
      </c>
      <c r="AA19" s="38">
        <v>19.600000000000001</v>
      </c>
      <c r="AB19" s="28">
        <v>27.8</v>
      </c>
      <c r="AC19" s="27">
        <v>0</v>
      </c>
      <c r="AD19" s="38">
        <v>19.600000000000001</v>
      </c>
      <c r="AE19" s="28">
        <v>32.4</v>
      </c>
      <c r="AF19" s="27">
        <v>0</v>
      </c>
      <c r="AG19" s="38">
        <v>17.8</v>
      </c>
      <c r="AH19" s="28">
        <v>30.9</v>
      </c>
      <c r="AI19" s="27">
        <v>0</v>
      </c>
      <c r="AJ19" s="38">
        <v>10.5</v>
      </c>
      <c r="AK19" s="28">
        <v>30.9</v>
      </c>
    </row>
    <row r="20" spans="1:37" x14ac:dyDescent="0.35">
      <c r="A20" s="24">
        <v>14</v>
      </c>
      <c r="B20" s="27">
        <v>0</v>
      </c>
      <c r="C20" s="38">
        <v>7.6</v>
      </c>
      <c r="D20" s="28">
        <v>27.9</v>
      </c>
      <c r="E20" s="27">
        <v>0</v>
      </c>
      <c r="F20" s="38">
        <v>11.5</v>
      </c>
      <c r="G20" s="28">
        <v>33.6</v>
      </c>
      <c r="H20" s="27">
        <v>0</v>
      </c>
      <c r="I20" s="38">
        <v>12.9</v>
      </c>
      <c r="J20" s="28">
        <v>35.1</v>
      </c>
      <c r="K20" s="27">
        <v>0</v>
      </c>
      <c r="L20" s="38">
        <v>18.8</v>
      </c>
      <c r="M20" s="28">
        <v>38</v>
      </c>
      <c r="N20" s="27">
        <v>0</v>
      </c>
      <c r="O20" s="38">
        <v>21.9</v>
      </c>
      <c r="P20" s="28">
        <v>37.6</v>
      </c>
      <c r="Q20" s="27">
        <v>0</v>
      </c>
      <c r="R20" s="38">
        <v>23.2</v>
      </c>
      <c r="S20" s="28">
        <v>36</v>
      </c>
      <c r="T20" s="27">
        <v>0</v>
      </c>
      <c r="U20" s="38">
        <v>22.6</v>
      </c>
      <c r="V20" s="28">
        <v>30.4</v>
      </c>
      <c r="W20" s="27">
        <v>0.1</v>
      </c>
      <c r="X20" s="38">
        <v>21.9</v>
      </c>
      <c r="Y20" s="28">
        <v>28.9</v>
      </c>
      <c r="Z20" s="27">
        <v>0.2</v>
      </c>
      <c r="AA20" s="38">
        <v>20</v>
      </c>
      <c r="AB20" s="28">
        <v>27.8</v>
      </c>
      <c r="AC20" s="27">
        <v>0</v>
      </c>
      <c r="AD20" s="38">
        <v>17.600000000000001</v>
      </c>
      <c r="AE20" s="28">
        <v>31.8</v>
      </c>
      <c r="AF20" s="27">
        <v>0</v>
      </c>
      <c r="AG20" s="38">
        <v>15</v>
      </c>
      <c r="AH20" s="28">
        <v>30.6</v>
      </c>
      <c r="AI20" s="27">
        <v>0</v>
      </c>
      <c r="AJ20" s="38">
        <v>12.9</v>
      </c>
      <c r="AK20" s="28">
        <v>30.4</v>
      </c>
    </row>
    <row r="21" spans="1:37" x14ac:dyDescent="0.35">
      <c r="A21" s="24">
        <v>15</v>
      </c>
      <c r="B21" s="27">
        <v>0</v>
      </c>
      <c r="C21" s="38">
        <v>7.4</v>
      </c>
      <c r="D21" s="28">
        <v>30</v>
      </c>
      <c r="E21" s="27">
        <v>0</v>
      </c>
      <c r="F21" s="38">
        <v>14.2</v>
      </c>
      <c r="G21" s="28">
        <v>31.9</v>
      </c>
      <c r="H21" s="27">
        <v>0</v>
      </c>
      <c r="I21" s="38">
        <v>13.5</v>
      </c>
      <c r="J21" s="28">
        <v>36.9</v>
      </c>
      <c r="K21" s="27">
        <v>0</v>
      </c>
      <c r="L21" s="38">
        <v>20.9</v>
      </c>
      <c r="M21" s="28">
        <v>38.5</v>
      </c>
      <c r="N21" s="27">
        <v>0</v>
      </c>
      <c r="O21" s="38">
        <v>19.8</v>
      </c>
      <c r="P21" s="28">
        <v>39.4</v>
      </c>
      <c r="Q21" s="27">
        <v>0</v>
      </c>
      <c r="R21" s="38">
        <v>24.7</v>
      </c>
      <c r="S21" s="28">
        <v>33.1</v>
      </c>
      <c r="T21" s="27">
        <v>0</v>
      </c>
      <c r="U21" s="38">
        <v>22.6</v>
      </c>
      <c r="V21" s="28">
        <v>30.3</v>
      </c>
      <c r="W21" s="27">
        <v>0</v>
      </c>
      <c r="X21" s="38">
        <v>22.1</v>
      </c>
      <c r="Y21" s="28">
        <v>28.4</v>
      </c>
      <c r="Z21" s="27">
        <v>1.9</v>
      </c>
      <c r="AA21" s="38">
        <v>21.2</v>
      </c>
      <c r="AB21" s="28">
        <v>28.1</v>
      </c>
      <c r="AC21" s="27">
        <v>0</v>
      </c>
      <c r="AD21" s="38">
        <v>16.600000000000001</v>
      </c>
      <c r="AE21" s="28">
        <v>31.9</v>
      </c>
      <c r="AF21" s="27">
        <v>0</v>
      </c>
      <c r="AG21" s="38">
        <v>13.7</v>
      </c>
      <c r="AH21" s="28">
        <v>30</v>
      </c>
      <c r="AI21" s="27">
        <v>0</v>
      </c>
      <c r="AJ21" s="38">
        <v>11.5</v>
      </c>
      <c r="AK21" s="28">
        <v>31.8</v>
      </c>
    </row>
    <row r="22" spans="1:37" x14ac:dyDescent="0.35">
      <c r="A22" s="24">
        <v>16</v>
      </c>
      <c r="B22" s="27">
        <v>0</v>
      </c>
      <c r="C22" s="38">
        <v>8.1999999999999993</v>
      </c>
      <c r="D22" s="28">
        <v>31.1</v>
      </c>
      <c r="E22" s="27">
        <v>0</v>
      </c>
      <c r="F22" s="38">
        <v>9.8000000000000007</v>
      </c>
      <c r="G22" s="28">
        <v>30.9</v>
      </c>
      <c r="H22" s="27">
        <v>0</v>
      </c>
      <c r="I22" s="38">
        <v>14.4</v>
      </c>
      <c r="J22" s="28">
        <v>37.200000000000003</v>
      </c>
      <c r="K22" s="27">
        <v>0</v>
      </c>
      <c r="L22" s="38">
        <v>21</v>
      </c>
      <c r="M22" s="28">
        <v>38.9</v>
      </c>
      <c r="N22" s="27">
        <v>0</v>
      </c>
      <c r="O22" s="38">
        <v>23.7</v>
      </c>
      <c r="P22" s="28">
        <v>38.4</v>
      </c>
      <c r="Q22" s="27">
        <v>0.8</v>
      </c>
      <c r="R22" s="38">
        <v>24.1</v>
      </c>
      <c r="S22" s="28">
        <v>32.6</v>
      </c>
      <c r="T22" s="27">
        <v>0</v>
      </c>
      <c r="U22" s="38">
        <v>22.6</v>
      </c>
      <c r="V22" s="28">
        <v>31.7</v>
      </c>
      <c r="W22" s="27">
        <v>0</v>
      </c>
      <c r="X22" s="38">
        <v>21.6</v>
      </c>
      <c r="Y22" s="28">
        <v>28.9</v>
      </c>
      <c r="Z22" s="27">
        <v>0</v>
      </c>
      <c r="AA22" s="38">
        <v>21.3</v>
      </c>
      <c r="AB22" s="28">
        <v>28.7</v>
      </c>
      <c r="AC22" s="27">
        <v>0</v>
      </c>
      <c r="AD22" s="38">
        <v>17.100000000000001</v>
      </c>
      <c r="AE22" s="28">
        <v>31.2</v>
      </c>
      <c r="AF22" s="27">
        <v>0</v>
      </c>
      <c r="AG22" s="38">
        <v>11.9</v>
      </c>
      <c r="AH22" s="28">
        <v>29.2</v>
      </c>
      <c r="AI22" s="27">
        <v>0</v>
      </c>
      <c r="AJ22" s="38">
        <v>13.5</v>
      </c>
      <c r="AK22" s="28">
        <v>30.2</v>
      </c>
    </row>
    <row r="23" spans="1:37" x14ac:dyDescent="0.35">
      <c r="A23" s="24">
        <v>17</v>
      </c>
      <c r="B23" s="27">
        <v>0</v>
      </c>
      <c r="C23" s="38">
        <v>8.1</v>
      </c>
      <c r="D23" s="28">
        <v>31</v>
      </c>
      <c r="E23" s="27">
        <v>0</v>
      </c>
      <c r="F23" s="38">
        <v>9</v>
      </c>
      <c r="G23" s="28">
        <v>32.200000000000003</v>
      </c>
      <c r="H23" s="27">
        <v>0</v>
      </c>
      <c r="I23" s="38">
        <v>14.8</v>
      </c>
      <c r="J23" s="28">
        <v>38.1</v>
      </c>
      <c r="K23" s="27">
        <v>3.6</v>
      </c>
      <c r="L23" s="38">
        <v>21.3</v>
      </c>
      <c r="M23" s="28">
        <v>37.299999999999997</v>
      </c>
      <c r="N23" s="27">
        <v>0</v>
      </c>
      <c r="O23" s="38">
        <v>20.7</v>
      </c>
      <c r="P23" s="28">
        <v>39</v>
      </c>
      <c r="Q23" s="27">
        <v>0.2</v>
      </c>
      <c r="R23" s="38">
        <v>23.5</v>
      </c>
      <c r="S23" s="28">
        <v>28.2</v>
      </c>
      <c r="T23" s="27">
        <v>0</v>
      </c>
      <c r="U23" s="38">
        <v>20.7</v>
      </c>
      <c r="V23" s="28">
        <v>32.200000000000003</v>
      </c>
      <c r="W23" s="27">
        <v>0</v>
      </c>
      <c r="X23" s="38">
        <v>21.2</v>
      </c>
      <c r="Y23" s="28">
        <v>28.8</v>
      </c>
      <c r="Z23" s="27">
        <v>0.5</v>
      </c>
      <c r="AA23" s="38">
        <v>19.2</v>
      </c>
      <c r="AB23" s="28">
        <v>28.9</v>
      </c>
      <c r="AC23" s="27">
        <v>0</v>
      </c>
      <c r="AD23" s="38">
        <v>17.399999999999999</v>
      </c>
      <c r="AE23" s="28">
        <v>31.9</v>
      </c>
      <c r="AF23" s="27">
        <v>0</v>
      </c>
      <c r="AG23" s="38">
        <v>9.5</v>
      </c>
      <c r="AH23" s="28">
        <v>28.3</v>
      </c>
      <c r="AI23" s="27">
        <v>0</v>
      </c>
      <c r="AJ23" s="38">
        <v>12.5</v>
      </c>
      <c r="AK23" s="28">
        <v>29.5</v>
      </c>
    </row>
    <row r="24" spans="1:37" x14ac:dyDescent="0.35">
      <c r="A24" s="24">
        <v>18</v>
      </c>
      <c r="B24" s="27">
        <v>0</v>
      </c>
      <c r="C24" s="38">
        <v>9.4</v>
      </c>
      <c r="D24" s="28">
        <v>27</v>
      </c>
      <c r="E24" s="27">
        <v>0</v>
      </c>
      <c r="F24" s="38">
        <v>12.2</v>
      </c>
      <c r="G24" s="28">
        <v>34</v>
      </c>
      <c r="H24" s="27">
        <v>0</v>
      </c>
      <c r="I24" s="38">
        <v>14.8</v>
      </c>
      <c r="J24" s="28">
        <v>37.799999999999997</v>
      </c>
      <c r="K24" s="27">
        <v>0</v>
      </c>
      <c r="L24" s="38">
        <v>21.8</v>
      </c>
      <c r="M24" s="28">
        <v>38.9</v>
      </c>
      <c r="N24" s="27">
        <v>0</v>
      </c>
      <c r="O24" s="38">
        <v>22.1</v>
      </c>
      <c r="P24" s="28">
        <v>37.700000000000003</v>
      </c>
      <c r="Q24" s="27">
        <v>13</v>
      </c>
      <c r="R24" s="38">
        <v>22.7</v>
      </c>
      <c r="S24" s="28">
        <v>31.4</v>
      </c>
      <c r="T24" s="27">
        <v>3.5</v>
      </c>
      <c r="U24" s="38">
        <v>22.1</v>
      </c>
      <c r="V24" s="28">
        <v>28.3</v>
      </c>
      <c r="W24" s="27">
        <v>0.7</v>
      </c>
      <c r="X24" s="38">
        <v>21</v>
      </c>
      <c r="Y24" s="28">
        <v>28.3</v>
      </c>
      <c r="Z24" s="27">
        <v>0</v>
      </c>
      <c r="AA24" s="38">
        <v>19.8</v>
      </c>
      <c r="AB24" s="28">
        <v>30</v>
      </c>
      <c r="AC24" s="27">
        <v>0</v>
      </c>
      <c r="AD24" s="38">
        <v>16.5</v>
      </c>
      <c r="AE24" s="28">
        <v>32.1</v>
      </c>
      <c r="AF24" s="27">
        <v>0</v>
      </c>
      <c r="AG24" s="38">
        <v>9</v>
      </c>
      <c r="AH24" s="28">
        <v>29.3</v>
      </c>
      <c r="AI24" s="27">
        <v>0</v>
      </c>
      <c r="AJ24" s="38">
        <v>13.1</v>
      </c>
      <c r="AK24" s="28">
        <v>29.8</v>
      </c>
    </row>
    <row r="25" spans="1:37" x14ac:dyDescent="0.35">
      <c r="A25" s="24">
        <v>19</v>
      </c>
      <c r="B25" s="27">
        <v>0</v>
      </c>
      <c r="C25" s="38">
        <v>9.9</v>
      </c>
      <c r="D25" s="28">
        <v>25.1</v>
      </c>
      <c r="E25" s="27">
        <v>0</v>
      </c>
      <c r="F25" s="38">
        <v>14.8</v>
      </c>
      <c r="G25" s="28">
        <v>35.1</v>
      </c>
      <c r="H25" s="27">
        <v>0</v>
      </c>
      <c r="I25" s="38">
        <v>14.3</v>
      </c>
      <c r="J25" s="28">
        <v>38.1</v>
      </c>
      <c r="K25" s="27">
        <v>0</v>
      </c>
      <c r="L25" s="38">
        <v>25</v>
      </c>
      <c r="M25" s="28">
        <v>36.799999999999997</v>
      </c>
      <c r="N25" s="27">
        <v>0</v>
      </c>
      <c r="O25" s="38">
        <v>20.7</v>
      </c>
      <c r="P25" s="28">
        <v>38.4</v>
      </c>
      <c r="Q25" s="27">
        <v>0</v>
      </c>
      <c r="R25" s="38">
        <v>24.4</v>
      </c>
      <c r="S25" s="28">
        <v>32.5</v>
      </c>
      <c r="T25" s="27">
        <v>9</v>
      </c>
      <c r="U25" s="38">
        <v>22.1</v>
      </c>
      <c r="V25" s="28">
        <v>26.4</v>
      </c>
      <c r="W25" s="27">
        <v>8.8000000000000007</v>
      </c>
      <c r="X25" s="38">
        <v>21.3</v>
      </c>
      <c r="Y25" s="28">
        <v>26.9</v>
      </c>
      <c r="Z25" s="27">
        <v>0.4</v>
      </c>
      <c r="AA25" s="38">
        <v>20.100000000000001</v>
      </c>
      <c r="AB25" s="28">
        <v>28.8</v>
      </c>
      <c r="AC25" s="27">
        <v>0</v>
      </c>
      <c r="AD25" s="38">
        <v>15.7</v>
      </c>
      <c r="AE25" s="28">
        <v>31.6</v>
      </c>
      <c r="AF25" s="27">
        <v>0</v>
      </c>
      <c r="AG25" s="38">
        <v>7.9</v>
      </c>
      <c r="AH25" s="28">
        <v>29.4</v>
      </c>
      <c r="AI25" s="27">
        <v>0</v>
      </c>
      <c r="AJ25" s="38">
        <v>10.3</v>
      </c>
      <c r="AK25" s="28">
        <v>27.2</v>
      </c>
    </row>
    <row r="26" spans="1:37" x14ac:dyDescent="0.35">
      <c r="A26" s="24">
        <v>20</v>
      </c>
      <c r="B26" s="27">
        <v>0</v>
      </c>
      <c r="C26" s="38">
        <v>7.8</v>
      </c>
      <c r="D26" s="28">
        <v>27.2</v>
      </c>
      <c r="E26" s="27">
        <v>0</v>
      </c>
      <c r="F26" s="38">
        <v>14.6</v>
      </c>
      <c r="G26" s="28">
        <v>34.5</v>
      </c>
      <c r="H26" s="27">
        <v>0</v>
      </c>
      <c r="I26" s="38">
        <v>14.6</v>
      </c>
      <c r="J26" s="28">
        <v>39.1</v>
      </c>
      <c r="K26" s="27">
        <v>3.4</v>
      </c>
      <c r="L26" s="38">
        <v>20.399999999999999</v>
      </c>
      <c r="M26" s="28">
        <v>36.9</v>
      </c>
      <c r="N26" s="27">
        <v>0</v>
      </c>
      <c r="O26" s="38">
        <v>21.8</v>
      </c>
      <c r="P26" s="28">
        <v>38.6</v>
      </c>
      <c r="Q26" s="27">
        <v>0</v>
      </c>
      <c r="R26" s="38">
        <v>23.8</v>
      </c>
      <c r="S26" s="28">
        <v>32.799999999999997</v>
      </c>
      <c r="T26" s="27">
        <v>3.8</v>
      </c>
      <c r="U26" s="38">
        <v>22.7</v>
      </c>
      <c r="V26" s="28">
        <v>26.1</v>
      </c>
      <c r="W26" s="27">
        <v>8.6</v>
      </c>
      <c r="X26" s="38">
        <v>22</v>
      </c>
      <c r="Y26" s="28">
        <v>28.4</v>
      </c>
      <c r="Z26" s="27">
        <v>0</v>
      </c>
      <c r="AA26" s="38">
        <v>21.6</v>
      </c>
      <c r="AB26" s="28">
        <v>30.9</v>
      </c>
      <c r="AC26" s="27">
        <v>0</v>
      </c>
      <c r="AD26" s="38">
        <v>14.8</v>
      </c>
      <c r="AE26" s="28">
        <v>31.7</v>
      </c>
      <c r="AF26" s="27">
        <v>0</v>
      </c>
      <c r="AG26" s="38">
        <v>8.6</v>
      </c>
      <c r="AH26" s="28">
        <v>29.2</v>
      </c>
      <c r="AI26" s="27">
        <v>0</v>
      </c>
      <c r="AJ26" s="38">
        <v>10.1</v>
      </c>
      <c r="AK26" s="28">
        <v>28.7</v>
      </c>
    </row>
    <row r="27" spans="1:37" x14ac:dyDescent="0.35">
      <c r="A27" s="24">
        <v>21</v>
      </c>
      <c r="B27" s="27">
        <v>0</v>
      </c>
      <c r="C27" s="38">
        <v>8.6999999999999993</v>
      </c>
      <c r="D27" s="28">
        <v>29.6</v>
      </c>
      <c r="E27" s="27">
        <v>0</v>
      </c>
      <c r="F27" s="38">
        <v>13.1</v>
      </c>
      <c r="G27" s="28">
        <v>35.4</v>
      </c>
      <c r="H27" s="27">
        <v>0</v>
      </c>
      <c r="I27" s="38">
        <v>15.8</v>
      </c>
      <c r="J27" s="28">
        <v>38.4</v>
      </c>
      <c r="K27" s="27">
        <v>0</v>
      </c>
      <c r="L27" s="38">
        <v>21</v>
      </c>
      <c r="M27" s="28">
        <v>36.9</v>
      </c>
      <c r="N27" s="27">
        <v>0</v>
      </c>
      <c r="O27" s="38">
        <v>23.4</v>
      </c>
      <c r="P27" s="28">
        <v>37.5</v>
      </c>
      <c r="Q27" s="27">
        <v>0</v>
      </c>
      <c r="R27" s="38">
        <v>24.3</v>
      </c>
      <c r="S27" s="28">
        <v>33.1</v>
      </c>
      <c r="T27" s="27">
        <v>5.9</v>
      </c>
      <c r="U27" s="38">
        <v>23</v>
      </c>
      <c r="V27" s="28">
        <v>29.5</v>
      </c>
      <c r="W27" s="27">
        <v>0</v>
      </c>
      <c r="X27" s="38">
        <v>20.8</v>
      </c>
      <c r="Y27" s="28">
        <v>28.3</v>
      </c>
      <c r="Z27" s="27">
        <v>0</v>
      </c>
      <c r="AA27" s="38">
        <v>22.5</v>
      </c>
      <c r="AB27" s="28">
        <v>28</v>
      </c>
      <c r="AC27" s="27">
        <v>0</v>
      </c>
      <c r="AD27" s="38">
        <v>20.100000000000001</v>
      </c>
      <c r="AE27" s="28">
        <v>29.2</v>
      </c>
      <c r="AF27" s="27">
        <v>0</v>
      </c>
      <c r="AG27" s="38">
        <v>10.8</v>
      </c>
      <c r="AH27" s="28">
        <v>30.5</v>
      </c>
      <c r="AI27" s="27">
        <v>0</v>
      </c>
      <c r="AJ27" s="38">
        <v>10</v>
      </c>
      <c r="AK27" s="28">
        <v>31.5</v>
      </c>
    </row>
    <row r="28" spans="1:37" x14ac:dyDescent="0.35">
      <c r="A28" s="24">
        <v>22</v>
      </c>
      <c r="B28" s="27">
        <v>0</v>
      </c>
      <c r="C28" s="38">
        <v>11.2</v>
      </c>
      <c r="D28" s="28">
        <v>29</v>
      </c>
      <c r="E28" s="27">
        <v>0</v>
      </c>
      <c r="F28" s="38">
        <v>12.8</v>
      </c>
      <c r="G28" s="28">
        <v>36</v>
      </c>
      <c r="H28" s="27">
        <v>0</v>
      </c>
      <c r="I28" s="38">
        <v>16.3</v>
      </c>
      <c r="J28" s="28">
        <v>38</v>
      </c>
      <c r="K28" s="27">
        <v>0</v>
      </c>
      <c r="L28" s="38">
        <v>20.7</v>
      </c>
      <c r="M28" s="28">
        <v>37.9</v>
      </c>
      <c r="N28" s="27">
        <v>0</v>
      </c>
      <c r="O28" s="38">
        <v>22.2</v>
      </c>
      <c r="P28" s="28">
        <v>37.700000000000003</v>
      </c>
      <c r="Q28" s="27">
        <v>0</v>
      </c>
      <c r="R28" s="38">
        <v>23.4</v>
      </c>
      <c r="S28" s="28">
        <v>32.700000000000003</v>
      </c>
      <c r="T28" s="27">
        <v>0.4</v>
      </c>
      <c r="U28" s="38">
        <v>23.2</v>
      </c>
      <c r="V28" s="28">
        <v>27.4</v>
      </c>
      <c r="W28" s="27">
        <v>0</v>
      </c>
      <c r="X28" s="38">
        <v>21.1</v>
      </c>
      <c r="Y28" s="28">
        <v>29.1</v>
      </c>
      <c r="Z28" s="27">
        <v>0.5</v>
      </c>
      <c r="AA28" s="38">
        <v>21.7</v>
      </c>
      <c r="AB28" s="28">
        <v>30.6</v>
      </c>
      <c r="AC28" s="27">
        <v>0</v>
      </c>
      <c r="AD28" s="38">
        <v>20.2</v>
      </c>
      <c r="AE28" s="28">
        <v>29.5</v>
      </c>
      <c r="AF28" s="27">
        <v>0</v>
      </c>
      <c r="AG28" s="38">
        <v>13.4</v>
      </c>
      <c r="AH28" s="28">
        <v>31.4</v>
      </c>
      <c r="AI28" s="27">
        <v>0</v>
      </c>
      <c r="AJ28" s="38">
        <v>12.6</v>
      </c>
      <c r="AK28" s="28">
        <v>31.7</v>
      </c>
    </row>
    <row r="29" spans="1:37" x14ac:dyDescent="0.35">
      <c r="A29" s="24">
        <v>23</v>
      </c>
      <c r="B29" s="27">
        <v>0</v>
      </c>
      <c r="C29" s="38">
        <v>13.8</v>
      </c>
      <c r="D29" s="28">
        <v>30</v>
      </c>
      <c r="E29" s="27">
        <v>0</v>
      </c>
      <c r="F29" s="38">
        <v>12.9</v>
      </c>
      <c r="G29" s="28">
        <v>35</v>
      </c>
      <c r="H29" s="27">
        <v>0</v>
      </c>
      <c r="I29" s="38">
        <v>16.399999999999999</v>
      </c>
      <c r="J29" s="28">
        <v>38.4</v>
      </c>
      <c r="K29" s="27">
        <v>0</v>
      </c>
      <c r="L29" s="38">
        <v>19.899999999999999</v>
      </c>
      <c r="M29" s="28">
        <v>37.1</v>
      </c>
      <c r="N29" s="27">
        <v>0</v>
      </c>
      <c r="O29" s="38">
        <v>22.9</v>
      </c>
      <c r="P29" s="28">
        <v>37.9</v>
      </c>
      <c r="Q29" s="27">
        <v>0</v>
      </c>
      <c r="R29" s="38">
        <v>23.5</v>
      </c>
      <c r="S29" s="28">
        <v>33.1</v>
      </c>
      <c r="T29" s="27">
        <v>0.9</v>
      </c>
      <c r="U29" s="38">
        <v>22.6</v>
      </c>
      <c r="V29" s="28">
        <v>28.7</v>
      </c>
      <c r="W29" s="27">
        <v>0.1</v>
      </c>
      <c r="X29" s="38">
        <v>20.6</v>
      </c>
      <c r="Y29" s="28">
        <v>30.9</v>
      </c>
      <c r="Z29" s="27">
        <v>0</v>
      </c>
      <c r="AA29" s="38">
        <v>19.3</v>
      </c>
      <c r="AB29" s="28">
        <v>30.1</v>
      </c>
      <c r="AC29" s="27">
        <v>0.1</v>
      </c>
      <c r="AD29" s="38">
        <v>21.8</v>
      </c>
      <c r="AE29" s="28">
        <v>31.7</v>
      </c>
      <c r="AF29" s="27">
        <v>0</v>
      </c>
      <c r="AG29" s="38">
        <v>14.8</v>
      </c>
      <c r="AH29" s="28">
        <v>31.1</v>
      </c>
      <c r="AI29" s="27">
        <v>0</v>
      </c>
      <c r="AJ29" s="38">
        <v>14</v>
      </c>
      <c r="AK29" s="28">
        <v>30.5</v>
      </c>
    </row>
    <row r="30" spans="1:37" x14ac:dyDescent="0.35">
      <c r="A30" s="24">
        <v>24</v>
      </c>
      <c r="B30" s="27">
        <v>0</v>
      </c>
      <c r="C30" s="38">
        <v>13.8</v>
      </c>
      <c r="D30" s="28">
        <v>29.6</v>
      </c>
      <c r="E30" s="27">
        <v>0</v>
      </c>
      <c r="F30" s="38">
        <v>14</v>
      </c>
      <c r="G30" s="28">
        <v>35.200000000000003</v>
      </c>
      <c r="H30" s="27">
        <v>0</v>
      </c>
      <c r="I30" s="38">
        <v>16</v>
      </c>
      <c r="J30" s="28">
        <v>38.4</v>
      </c>
      <c r="K30" s="27">
        <v>0</v>
      </c>
      <c r="L30" s="38">
        <v>18.399999999999999</v>
      </c>
      <c r="M30" s="28">
        <v>37.1</v>
      </c>
      <c r="N30" s="27">
        <v>0</v>
      </c>
      <c r="O30" s="38">
        <v>23.8</v>
      </c>
      <c r="P30" s="28">
        <v>37.4</v>
      </c>
      <c r="Q30" s="27">
        <v>0</v>
      </c>
      <c r="R30" s="38">
        <v>23.8</v>
      </c>
      <c r="S30" s="28">
        <v>31.6</v>
      </c>
      <c r="T30" s="27">
        <v>2.1</v>
      </c>
      <c r="U30" s="38">
        <v>22.5</v>
      </c>
      <c r="V30" s="28">
        <v>29.3</v>
      </c>
      <c r="W30" s="27">
        <v>0</v>
      </c>
      <c r="X30" s="38">
        <v>21.7</v>
      </c>
      <c r="Y30" s="28">
        <v>30.8</v>
      </c>
      <c r="Z30" s="27">
        <v>0</v>
      </c>
      <c r="AA30" s="38">
        <v>18.7</v>
      </c>
      <c r="AB30" s="28">
        <v>29.8</v>
      </c>
      <c r="AC30" s="27">
        <v>0</v>
      </c>
      <c r="AD30" s="38">
        <v>20.6</v>
      </c>
      <c r="AE30" s="28">
        <v>31.5</v>
      </c>
      <c r="AF30" s="27">
        <v>0</v>
      </c>
      <c r="AG30" s="38">
        <v>15.3</v>
      </c>
      <c r="AH30" s="28">
        <v>31.8</v>
      </c>
      <c r="AI30" s="27">
        <v>0</v>
      </c>
      <c r="AJ30" s="38">
        <v>14</v>
      </c>
      <c r="AK30" s="28">
        <v>30.1</v>
      </c>
    </row>
    <row r="31" spans="1:37" x14ac:dyDescent="0.35">
      <c r="A31" s="24">
        <v>25</v>
      </c>
      <c r="B31" s="27">
        <v>0</v>
      </c>
      <c r="C31" s="38">
        <v>13.5</v>
      </c>
      <c r="D31" s="28">
        <v>30.6</v>
      </c>
      <c r="E31" s="27">
        <v>0</v>
      </c>
      <c r="F31" s="38">
        <v>13</v>
      </c>
      <c r="G31" s="28">
        <v>35.1</v>
      </c>
      <c r="H31" s="27">
        <v>0</v>
      </c>
      <c r="I31" s="38">
        <v>15.3</v>
      </c>
      <c r="J31" s="28">
        <v>38.700000000000003</v>
      </c>
      <c r="K31" s="27">
        <v>0</v>
      </c>
      <c r="L31" s="38">
        <v>19.399999999999999</v>
      </c>
      <c r="M31" s="28">
        <v>37.6</v>
      </c>
      <c r="N31" s="27">
        <v>0</v>
      </c>
      <c r="O31" s="38">
        <v>23.8</v>
      </c>
      <c r="P31" s="28">
        <v>37.200000000000003</v>
      </c>
      <c r="Q31" s="27">
        <v>6.8</v>
      </c>
      <c r="R31" s="38">
        <v>22.9</v>
      </c>
      <c r="S31" s="28">
        <v>31.6</v>
      </c>
      <c r="T31" s="27">
        <v>1.5</v>
      </c>
      <c r="U31" s="38">
        <v>23.1</v>
      </c>
      <c r="V31" s="28">
        <v>28.6</v>
      </c>
      <c r="W31" s="27">
        <v>0</v>
      </c>
      <c r="X31" s="38">
        <v>21.7</v>
      </c>
      <c r="Y31" s="28">
        <v>30.1</v>
      </c>
      <c r="Z31" s="27">
        <v>0</v>
      </c>
      <c r="AA31" s="38">
        <v>19.100000000000001</v>
      </c>
      <c r="AB31" s="28">
        <v>29.9</v>
      </c>
      <c r="AC31" s="27">
        <v>17.5</v>
      </c>
      <c r="AD31" s="38">
        <v>19.899999999999999</v>
      </c>
      <c r="AE31" s="28">
        <v>31.9</v>
      </c>
      <c r="AF31" s="27">
        <v>0</v>
      </c>
      <c r="AG31" s="38">
        <v>15.6</v>
      </c>
      <c r="AH31" s="28">
        <v>31.1</v>
      </c>
      <c r="AI31" s="27">
        <v>0</v>
      </c>
      <c r="AJ31" s="38">
        <v>13.1</v>
      </c>
      <c r="AK31" s="28">
        <v>27.9</v>
      </c>
    </row>
    <row r="32" spans="1:37" x14ac:dyDescent="0.35">
      <c r="A32" s="24">
        <v>26</v>
      </c>
      <c r="B32" s="27">
        <v>0</v>
      </c>
      <c r="C32" s="38">
        <v>11.8</v>
      </c>
      <c r="D32" s="28">
        <v>29</v>
      </c>
      <c r="E32" s="27">
        <v>0</v>
      </c>
      <c r="F32" s="38">
        <v>12.5</v>
      </c>
      <c r="G32" s="28">
        <v>35.9</v>
      </c>
      <c r="H32" s="27">
        <v>0</v>
      </c>
      <c r="I32" s="38">
        <v>15.7</v>
      </c>
      <c r="J32" s="28">
        <v>38.6</v>
      </c>
      <c r="K32" s="27">
        <v>0</v>
      </c>
      <c r="L32" s="38">
        <v>21.3</v>
      </c>
      <c r="M32" s="28">
        <v>38.4</v>
      </c>
      <c r="N32" s="27">
        <v>0</v>
      </c>
      <c r="O32" s="38">
        <v>24</v>
      </c>
      <c r="P32" s="28">
        <v>37.200000000000003</v>
      </c>
      <c r="Q32" s="27">
        <v>0.2</v>
      </c>
      <c r="R32" s="38">
        <v>23.6</v>
      </c>
      <c r="S32" s="28">
        <v>32.1</v>
      </c>
      <c r="T32" s="27">
        <v>0</v>
      </c>
      <c r="U32" s="38">
        <v>23.2</v>
      </c>
      <c r="V32" s="28">
        <v>25.6</v>
      </c>
      <c r="W32" s="27">
        <v>0</v>
      </c>
      <c r="X32" s="38">
        <v>22.1</v>
      </c>
      <c r="Y32" s="28">
        <v>28.3</v>
      </c>
      <c r="Z32" s="27">
        <v>0</v>
      </c>
      <c r="AA32" s="38">
        <v>18.5</v>
      </c>
      <c r="AB32" s="28">
        <v>31.1</v>
      </c>
      <c r="AC32" s="27">
        <v>0</v>
      </c>
      <c r="AD32" s="38">
        <v>20.2</v>
      </c>
      <c r="AE32" s="28">
        <v>31.5</v>
      </c>
      <c r="AF32" s="27">
        <v>0</v>
      </c>
      <c r="AG32" s="38">
        <v>16.3</v>
      </c>
      <c r="AH32" s="28">
        <v>31.7</v>
      </c>
      <c r="AI32" s="27">
        <v>0</v>
      </c>
      <c r="AJ32" s="38">
        <v>9.9</v>
      </c>
      <c r="AK32" s="28">
        <v>27.9</v>
      </c>
    </row>
    <row r="33" spans="1:39" x14ac:dyDescent="0.35">
      <c r="A33" s="24">
        <v>27</v>
      </c>
      <c r="B33" s="27">
        <v>0</v>
      </c>
      <c r="C33" s="38">
        <v>10.9</v>
      </c>
      <c r="D33" s="28">
        <v>30.7</v>
      </c>
      <c r="E33" s="27">
        <v>0</v>
      </c>
      <c r="F33" s="38">
        <v>13.5</v>
      </c>
      <c r="G33" s="28">
        <v>36.700000000000003</v>
      </c>
      <c r="H33" s="27">
        <v>0</v>
      </c>
      <c r="I33" s="38">
        <v>16.7</v>
      </c>
      <c r="J33" s="28">
        <v>38.799999999999997</v>
      </c>
      <c r="K33" s="27">
        <v>0</v>
      </c>
      <c r="L33" s="38">
        <v>20.2</v>
      </c>
      <c r="M33" s="28">
        <v>37.1</v>
      </c>
      <c r="N33" s="27">
        <v>0</v>
      </c>
      <c r="O33" s="38">
        <v>23.6</v>
      </c>
      <c r="P33" s="28">
        <v>35.299999999999997</v>
      </c>
      <c r="Q33" s="27">
        <v>0.4</v>
      </c>
      <c r="R33" s="38">
        <v>23.4</v>
      </c>
      <c r="S33" s="28">
        <v>31.1</v>
      </c>
      <c r="T33" s="27">
        <v>3.5</v>
      </c>
      <c r="U33" s="38">
        <v>23.1</v>
      </c>
      <c r="V33" s="28">
        <v>28.4</v>
      </c>
      <c r="W33" s="27">
        <v>0.9</v>
      </c>
      <c r="X33" s="38">
        <v>21.5</v>
      </c>
      <c r="Y33" s="28">
        <v>25.9</v>
      </c>
      <c r="Z33" s="27">
        <v>0</v>
      </c>
      <c r="AA33" s="38">
        <v>20.100000000000001</v>
      </c>
      <c r="AB33" s="28">
        <v>31.4</v>
      </c>
      <c r="AC33" s="27">
        <v>6.6</v>
      </c>
      <c r="AD33" s="38">
        <v>18</v>
      </c>
      <c r="AE33" s="28">
        <v>30.9</v>
      </c>
      <c r="AF33" s="27">
        <v>0</v>
      </c>
      <c r="AG33" s="38">
        <v>16.899999999999999</v>
      </c>
      <c r="AH33" s="28">
        <v>32.1</v>
      </c>
      <c r="AI33" s="27">
        <v>0</v>
      </c>
      <c r="AJ33" s="38">
        <v>7.4</v>
      </c>
      <c r="AK33" s="28">
        <v>28.7</v>
      </c>
    </row>
    <row r="34" spans="1:39" x14ac:dyDescent="0.35">
      <c r="A34" s="24">
        <v>28</v>
      </c>
      <c r="B34" s="27">
        <v>0</v>
      </c>
      <c r="C34" s="38">
        <v>10.8</v>
      </c>
      <c r="D34" s="28">
        <v>29.7</v>
      </c>
      <c r="E34" s="27">
        <v>0</v>
      </c>
      <c r="F34" s="38">
        <v>13.3</v>
      </c>
      <c r="G34" s="28">
        <v>34.700000000000003</v>
      </c>
      <c r="H34" s="27">
        <v>0</v>
      </c>
      <c r="I34" s="38">
        <v>18.600000000000001</v>
      </c>
      <c r="J34" s="28">
        <v>38.700000000000003</v>
      </c>
      <c r="K34" s="27">
        <v>0</v>
      </c>
      <c r="L34" s="38">
        <v>21.5</v>
      </c>
      <c r="M34" s="28">
        <v>37.799999999999997</v>
      </c>
      <c r="N34" s="27">
        <v>0</v>
      </c>
      <c r="O34" s="38">
        <v>22.7</v>
      </c>
      <c r="P34" s="28">
        <v>34.799999999999997</v>
      </c>
      <c r="Q34" s="27">
        <v>0</v>
      </c>
      <c r="R34" s="38">
        <v>23</v>
      </c>
      <c r="S34" s="28">
        <v>31.8</v>
      </c>
      <c r="T34" s="27">
        <v>1.4</v>
      </c>
      <c r="U34" s="38">
        <v>22.4</v>
      </c>
      <c r="V34" s="28">
        <v>28</v>
      </c>
      <c r="W34" s="27">
        <v>2.2999999999999998</v>
      </c>
      <c r="X34" s="38">
        <v>21.6</v>
      </c>
      <c r="Y34" s="28">
        <v>27.8</v>
      </c>
      <c r="Z34" s="27">
        <v>0</v>
      </c>
      <c r="AA34" s="38">
        <v>21.7</v>
      </c>
      <c r="AB34" s="28">
        <v>31.1</v>
      </c>
      <c r="AC34" s="27">
        <v>0</v>
      </c>
      <c r="AD34" s="38">
        <v>17.100000000000001</v>
      </c>
      <c r="AE34" s="28">
        <v>30.7</v>
      </c>
      <c r="AF34" s="27">
        <v>0</v>
      </c>
      <c r="AG34" s="38">
        <v>15.7</v>
      </c>
      <c r="AH34" s="28">
        <v>30.8</v>
      </c>
      <c r="AI34" s="27">
        <v>0</v>
      </c>
      <c r="AJ34" s="38">
        <v>7.8</v>
      </c>
      <c r="AK34" s="28">
        <v>29.5</v>
      </c>
    </row>
    <row r="35" spans="1:39" x14ac:dyDescent="0.35">
      <c r="A35" s="24">
        <v>29</v>
      </c>
      <c r="B35" s="27">
        <v>0</v>
      </c>
      <c r="C35" s="38">
        <v>9.1999999999999993</v>
      </c>
      <c r="D35" s="28">
        <v>28.6</v>
      </c>
      <c r="E35" s="27">
        <v>0</v>
      </c>
      <c r="F35" s="38">
        <v>9.8000000000000007</v>
      </c>
      <c r="G35" s="28">
        <v>33.6</v>
      </c>
      <c r="H35" s="27">
        <v>0</v>
      </c>
      <c r="I35" s="38">
        <v>19.7</v>
      </c>
      <c r="J35" s="28">
        <v>38.700000000000003</v>
      </c>
      <c r="K35" s="27">
        <v>0</v>
      </c>
      <c r="L35" s="38">
        <v>20.399999999999999</v>
      </c>
      <c r="M35" s="28">
        <v>38.200000000000003</v>
      </c>
      <c r="N35" s="27">
        <v>0</v>
      </c>
      <c r="O35" s="38">
        <v>23.4</v>
      </c>
      <c r="P35" s="28">
        <v>36.1</v>
      </c>
      <c r="Q35" s="27">
        <v>0</v>
      </c>
      <c r="R35" s="38">
        <v>23.4</v>
      </c>
      <c r="S35" s="28">
        <v>32.4</v>
      </c>
      <c r="T35" s="27">
        <v>0.6</v>
      </c>
      <c r="U35" s="38">
        <v>22.7</v>
      </c>
      <c r="V35" s="28">
        <v>27.6</v>
      </c>
      <c r="W35" s="27">
        <v>0.3</v>
      </c>
      <c r="X35" s="38">
        <v>22</v>
      </c>
      <c r="Y35" s="28">
        <v>29.8</v>
      </c>
      <c r="Z35" s="27">
        <v>0</v>
      </c>
      <c r="AA35" s="38">
        <v>20.6</v>
      </c>
      <c r="AB35" s="28">
        <v>31.9</v>
      </c>
      <c r="AC35" s="27">
        <v>0</v>
      </c>
      <c r="AD35" s="38">
        <v>17.7</v>
      </c>
      <c r="AE35" s="28">
        <v>30.1</v>
      </c>
      <c r="AF35" s="27">
        <v>0</v>
      </c>
      <c r="AG35" s="38">
        <v>13.4</v>
      </c>
      <c r="AH35" s="28">
        <v>31.8</v>
      </c>
      <c r="AI35" s="27">
        <v>0</v>
      </c>
      <c r="AJ35" s="38">
        <v>9.6</v>
      </c>
      <c r="AK35" s="28">
        <v>30.4</v>
      </c>
    </row>
    <row r="36" spans="1:39" x14ac:dyDescent="0.35">
      <c r="A36" s="24">
        <v>30</v>
      </c>
      <c r="B36" s="27">
        <v>0</v>
      </c>
      <c r="C36" s="38">
        <v>8.6999999999999993</v>
      </c>
      <c r="D36" s="28">
        <v>29.9</v>
      </c>
      <c r="E36" s="27"/>
      <c r="F36" s="38"/>
      <c r="G36" s="28"/>
      <c r="H36" s="27">
        <v>0</v>
      </c>
      <c r="I36" s="38">
        <v>18.8</v>
      </c>
      <c r="J36" s="28">
        <v>36.6</v>
      </c>
      <c r="K36" s="27">
        <v>0</v>
      </c>
      <c r="L36" s="38">
        <v>21.4</v>
      </c>
      <c r="M36" s="28">
        <v>37.700000000000003</v>
      </c>
      <c r="N36" s="27">
        <v>0</v>
      </c>
      <c r="O36" s="38">
        <v>23.3</v>
      </c>
      <c r="P36" s="28">
        <v>35.6</v>
      </c>
      <c r="Q36" s="27">
        <v>0</v>
      </c>
      <c r="R36" s="38">
        <v>22.7</v>
      </c>
      <c r="S36" s="28">
        <v>33.200000000000003</v>
      </c>
      <c r="T36" s="27">
        <v>4.9000000000000004</v>
      </c>
      <c r="U36" s="38">
        <v>22.6</v>
      </c>
      <c r="V36" s="28">
        <v>26.9</v>
      </c>
      <c r="W36" s="27">
        <v>34.200000000000003</v>
      </c>
      <c r="X36" s="38">
        <v>22.1</v>
      </c>
      <c r="Y36" s="28">
        <v>31.1</v>
      </c>
      <c r="Z36" s="27">
        <v>1.1000000000000001</v>
      </c>
      <c r="AA36" s="38">
        <v>20.399999999999999</v>
      </c>
      <c r="AB36" s="28">
        <v>31.8</v>
      </c>
      <c r="AC36" s="27">
        <v>0</v>
      </c>
      <c r="AD36" s="38">
        <v>12.7</v>
      </c>
      <c r="AE36" s="28">
        <v>30.5</v>
      </c>
      <c r="AF36" s="27">
        <v>0</v>
      </c>
      <c r="AG36" s="38">
        <v>12.1</v>
      </c>
      <c r="AH36" s="28">
        <v>31.1</v>
      </c>
      <c r="AI36" s="27">
        <v>0</v>
      </c>
      <c r="AJ36" s="38">
        <v>10.9</v>
      </c>
      <c r="AK36" s="28">
        <v>31.3</v>
      </c>
    </row>
    <row r="37" spans="1:39" x14ac:dyDescent="0.35">
      <c r="A37" s="29">
        <v>31</v>
      </c>
      <c r="B37" s="30">
        <v>0</v>
      </c>
      <c r="C37" s="39">
        <v>12.4</v>
      </c>
      <c r="D37" s="31">
        <v>30.9</v>
      </c>
      <c r="E37" s="30">
        <f>AVERAGE(E7:E36)</f>
        <v>0</v>
      </c>
      <c r="F37" s="39"/>
      <c r="G37" s="31"/>
      <c r="H37" s="30">
        <v>0</v>
      </c>
      <c r="I37" s="39">
        <v>18</v>
      </c>
      <c r="J37" s="31">
        <v>37.9</v>
      </c>
      <c r="K37" s="30"/>
      <c r="L37" s="39"/>
      <c r="M37" s="31"/>
      <c r="N37" s="30">
        <v>0</v>
      </c>
      <c r="O37" s="39">
        <v>22.7</v>
      </c>
      <c r="P37" s="31">
        <v>36.4</v>
      </c>
      <c r="Q37" s="30"/>
      <c r="R37" s="39"/>
      <c r="S37" s="31"/>
      <c r="T37" s="30">
        <v>18.2</v>
      </c>
      <c r="U37" s="39">
        <v>21.7</v>
      </c>
      <c r="V37" s="31">
        <v>24.1</v>
      </c>
      <c r="W37" s="30">
        <v>3.8</v>
      </c>
      <c r="X37" s="39">
        <v>22.3</v>
      </c>
      <c r="Y37" s="31">
        <v>29.5</v>
      </c>
      <c r="Z37" s="30"/>
      <c r="AA37" s="39"/>
      <c r="AB37" s="31"/>
      <c r="AC37" s="30">
        <v>0</v>
      </c>
      <c r="AD37" s="39">
        <v>13.1</v>
      </c>
      <c r="AE37" s="31">
        <v>28.9</v>
      </c>
      <c r="AF37" s="30"/>
      <c r="AG37" s="39"/>
      <c r="AH37" s="31"/>
      <c r="AI37" s="30">
        <v>0</v>
      </c>
      <c r="AJ37" s="39">
        <v>17.2</v>
      </c>
      <c r="AK37" s="31">
        <v>31.8</v>
      </c>
    </row>
    <row r="38" spans="1:39" x14ac:dyDescent="0.35">
      <c r="B38" s="19">
        <f>SUM(B7:B37)</f>
        <v>0</v>
      </c>
      <c r="E38" s="19">
        <f>SUM(E7:E37)</f>
        <v>0</v>
      </c>
      <c r="H38" s="19">
        <f>SUM(H7:H37)</f>
        <v>0</v>
      </c>
      <c r="K38" s="19">
        <f>SUM(K7:K37)</f>
        <v>7</v>
      </c>
      <c r="N38" s="19">
        <f>SUM(N7:N37)</f>
        <v>0.2</v>
      </c>
      <c r="Q38" s="19">
        <f>SUM(Q7:Q37)</f>
        <v>34.5</v>
      </c>
      <c r="T38" s="19">
        <f>SUM(T7:T37)</f>
        <v>73.199999999999989</v>
      </c>
      <c r="W38" s="19">
        <f>SUM(W7:W37)</f>
        <v>204.90000000000003</v>
      </c>
      <c r="Z38" s="19">
        <f>SUM(Z7:Z37)</f>
        <v>55.000000000000007</v>
      </c>
      <c r="AC38" s="19">
        <f>SUM(AC7:AC37)</f>
        <v>143.39999999999998</v>
      </c>
      <c r="AF38" s="19">
        <f>SUM(AF7:AF37)</f>
        <v>1.2</v>
      </c>
      <c r="AI38" s="19">
        <f>SUM(AI7:AI37)</f>
        <v>0</v>
      </c>
      <c r="AL38" s="19">
        <f>SUM(B38:AK38)</f>
        <v>519.40000000000009</v>
      </c>
      <c r="AM38" s="20" t="s">
        <v>2435</v>
      </c>
    </row>
    <row r="39" spans="1:39" x14ac:dyDescent="0.35">
      <c r="E39" s="19">
        <f t="shared" ref="E39:Q39" si="0">AVERAGE(E7:E37)</f>
        <v>0</v>
      </c>
      <c r="H39" s="19">
        <f t="shared" si="0"/>
        <v>0</v>
      </c>
      <c r="K39" s="19">
        <f t="shared" si="0"/>
        <v>0.23333333333333334</v>
      </c>
      <c r="N39" s="19">
        <f t="shared" si="0"/>
        <v>6.4516129032258064E-3</v>
      </c>
      <c r="Q39" s="19">
        <f t="shared" si="0"/>
        <v>1.1499999999999999</v>
      </c>
      <c r="T39" s="19">
        <f t="shared" ref="T39:AI39" si="1">AVERAGE(T7:T38)</f>
        <v>4.5749999999999993</v>
      </c>
      <c r="W39" s="19">
        <f t="shared" si="1"/>
        <v>12.806250000000002</v>
      </c>
      <c r="Z39" s="19">
        <f t="shared" si="1"/>
        <v>3.5483870967741939</v>
      </c>
      <c r="AC39" s="19">
        <f t="shared" si="1"/>
        <v>8.9624999999999986</v>
      </c>
      <c r="AF39" s="19">
        <f t="shared" si="1"/>
        <v>7.7419354838709681E-2</v>
      </c>
      <c r="AI39" s="19">
        <f t="shared" si="1"/>
        <v>0</v>
      </c>
    </row>
    <row r="40" spans="1:39" x14ac:dyDescent="0.35">
      <c r="C40" s="19">
        <f>MIN(C18:C37)</f>
        <v>6.6</v>
      </c>
      <c r="F40" s="19">
        <f>MIN(F18:F37)</f>
        <v>9</v>
      </c>
      <c r="I40" s="19">
        <f>MIN(I18:I37)</f>
        <v>12.8</v>
      </c>
      <c r="L40" s="19">
        <f>MIN(L18:L37)</f>
        <v>18.399999999999999</v>
      </c>
      <c r="O40" s="19">
        <f>MIN(O18:O37)</f>
        <v>19.8</v>
      </c>
      <c r="R40" s="19">
        <f>MIN(R18:R37)</f>
        <v>21.1</v>
      </c>
      <c r="U40" s="19">
        <f>MIN(U18:U37)</f>
        <v>20.7</v>
      </c>
      <c r="X40" s="19">
        <f>MIN(X18:X37)</f>
        <v>20.6</v>
      </c>
      <c r="AA40" s="19">
        <f>MIN(AA18:AA37)</f>
        <v>18.5</v>
      </c>
      <c r="AD40" s="19">
        <f>MIN(AD18:AD37)</f>
        <v>12.7</v>
      </c>
      <c r="AG40" s="19">
        <f>MIN(AG18:AG37)</f>
        <v>7.9</v>
      </c>
      <c r="AJ40" s="19">
        <f>MIN(AJ18:AJ37)</f>
        <v>7.4</v>
      </c>
      <c r="AL40" s="19">
        <f ca="1">MIN(C40:AL40)</f>
        <v>6.6</v>
      </c>
      <c r="AM40" s="20" t="s">
        <v>2436</v>
      </c>
    </row>
    <row r="41" spans="1:39" x14ac:dyDescent="0.35">
      <c r="D41" s="19">
        <f>MAX(D7:D37)</f>
        <v>32.5</v>
      </c>
      <c r="G41" s="19">
        <f>MAX(G7:G37)</f>
        <v>36.700000000000003</v>
      </c>
      <c r="J41" s="19">
        <f>MAX(J7:J37)</f>
        <v>39.1</v>
      </c>
      <c r="M41" s="19">
        <f>MAX(M7:M37)</f>
        <v>39.9</v>
      </c>
      <c r="P41" s="19">
        <f>MAX(P7:P37)</f>
        <v>39.4</v>
      </c>
      <c r="S41" s="19">
        <f>MAX(S7:S37)</f>
        <v>37.799999999999997</v>
      </c>
      <c r="V41" s="19">
        <f>MAX(V7:V37)</f>
        <v>33.4</v>
      </c>
      <c r="Y41" s="19">
        <f>MAX(Y7:Y37)</f>
        <v>31.1</v>
      </c>
      <c r="AB41" s="19">
        <f>MAX(AB7:AB37)</f>
        <v>31.9</v>
      </c>
      <c r="AE41" s="19">
        <f>MAX(AE7:AE37)</f>
        <v>33.1</v>
      </c>
      <c r="AH41" s="19">
        <f>MAX(AH7:AH37)</f>
        <v>32.700000000000003</v>
      </c>
      <c r="AK41" s="19">
        <f>MAX(AK7:AK37)</f>
        <v>32.9</v>
      </c>
      <c r="AL41" s="19">
        <f>MAX(D41:AK41)</f>
        <v>39.9</v>
      </c>
      <c r="AM41" s="20" t="s">
        <v>2437</v>
      </c>
    </row>
    <row r="42" spans="1:39" x14ac:dyDescent="0.35">
      <c r="C42" s="19">
        <f>AVERAGE(C7:C37)</f>
        <v>10.522580645161288</v>
      </c>
      <c r="F42" s="19">
        <f t="shared" ref="F42" si="2">AVERAGE(F7:F37)</f>
        <v>11.934482758620689</v>
      </c>
      <c r="I42" s="19">
        <f>AVERAGE(I7:I37)</f>
        <v>14.135483870967743</v>
      </c>
      <c r="L42" s="19">
        <f>AVERAGE(L7:L37)</f>
        <v>20.619999999999997</v>
      </c>
      <c r="O42" s="19">
        <f>AVERAGE(O7:O37)</f>
        <v>22.170967741935481</v>
      </c>
      <c r="R42" s="19">
        <f>AVERAGE(R7:R37)</f>
        <v>23.36</v>
      </c>
      <c r="U42" s="19">
        <f>AVERAGE(U7:U37)</f>
        <v>22.574193548387107</v>
      </c>
      <c r="X42" s="19">
        <f>AVERAGE(X7:X37)</f>
        <v>21.696774193548396</v>
      </c>
      <c r="AA42" s="19">
        <f>AVERAGE(AA7:AA37)</f>
        <v>20.896666666666668</v>
      </c>
      <c r="AD42" s="19">
        <f>AVERAGE(AD7:AD37)</f>
        <v>18.945161290322588</v>
      </c>
      <c r="AG42" s="19">
        <f>AVERAGE(AG7:AG37)</f>
        <v>14.623333333333333</v>
      </c>
      <c r="AJ42" s="19">
        <f>AVERAGE(AJ7:AJ37)</f>
        <v>12.935483870967742</v>
      </c>
      <c r="AK42" s="20"/>
      <c r="AL42" s="19">
        <f>AVERAGE(C42:AK42)</f>
        <v>17.867927326659256</v>
      </c>
      <c r="AM42" s="20" t="s">
        <v>2438</v>
      </c>
    </row>
    <row r="43" spans="1:39" x14ac:dyDescent="0.35">
      <c r="D43" s="19">
        <f>AVERAGE(D7:D37)</f>
        <v>29.454838709677425</v>
      </c>
      <c r="G43" s="19">
        <f>AVERAGE(G7:G37)</f>
        <v>33.000000000000007</v>
      </c>
      <c r="J43" s="19">
        <f>AVERAGE(J7:J37)</f>
        <v>36.164516129032258</v>
      </c>
      <c r="M43" s="19">
        <f>AVERAGE(M7:M37)</f>
        <v>38.056666666666658</v>
      </c>
      <c r="P43" s="19">
        <f>AVERAGE(P7:P37)</f>
        <v>37.245161290322578</v>
      </c>
      <c r="S43" s="19">
        <f>AVERAGE(S7:S37)</f>
        <v>33.010000000000005</v>
      </c>
      <c r="V43" s="19">
        <f>AVERAGE(V7:V37)</f>
        <v>29.283870967741937</v>
      </c>
      <c r="Y43" s="19">
        <f>AVERAGE(Y7:Y37)</f>
        <v>28.425806451612893</v>
      </c>
      <c r="AB43" s="19">
        <f>AVERAGE(AB7:AB37)</f>
        <v>28.889999999999997</v>
      </c>
      <c r="AE43" s="19">
        <f>AVERAGE(AE7:AE37)</f>
        <v>31.174193548387098</v>
      </c>
      <c r="AH43" s="19">
        <f>AVERAGE(AH7:AH37)</f>
        <v>31</v>
      </c>
      <c r="AK43" s="19">
        <f>AVERAGE(AK7:AK37)</f>
        <v>30.577419354838707</v>
      </c>
      <c r="AL43" s="19">
        <f>AVERAGE(D43:AK43)</f>
        <v>32.190206093189964</v>
      </c>
      <c r="AM43" s="20" t="s">
        <v>2439</v>
      </c>
    </row>
    <row r="45" spans="1:39" ht="15" x14ac:dyDescent="0.35">
      <c r="R45" s="44"/>
      <c r="S45" s="45"/>
      <c r="T45" s="46"/>
    </row>
  </sheetData>
  <autoFilter ref="B5:AK37"/>
  <mergeCells count="15">
    <mergeCell ref="B1:S1"/>
    <mergeCell ref="T1:AK1"/>
    <mergeCell ref="A4:A6"/>
    <mergeCell ref="T4:V4"/>
    <mergeCell ref="W4:Y4"/>
    <mergeCell ref="Z4:AB4"/>
    <mergeCell ref="AC4:AE4"/>
    <mergeCell ref="AF4:AH4"/>
    <mergeCell ref="AI4:AK4"/>
    <mergeCell ref="B4:D4"/>
    <mergeCell ref="E4:G4"/>
    <mergeCell ref="H4:J4"/>
    <mergeCell ref="K4:M4"/>
    <mergeCell ref="N4:P4"/>
    <mergeCell ref="Q4:S4"/>
  </mergeCells>
  <conditionalFormatting sqref="A7:AK37">
    <cfRule type="expression" dxfId="131" priority="1">
      <formula>MOD(ROW(),2)=0</formula>
    </cfRule>
  </conditionalFormatting>
  <printOptions horizontalCentered="1" verticalCentered="1"/>
  <pageMargins left="0" right="0" top="0" bottom="0" header="0" footer="0"/>
  <pageSetup paperSize="9" orientation="landscape" r:id="rId1"/>
  <headerFooter>
    <oddFooter>&amp;R&amp;"Arial,Regular"Page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AR139"/>
  <sheetViews>
    <sheetView topLeftCell="C109" zoomScale="89" zoomScaleNormal="89" workbookViewId="0">
      <selection activeCell="I101" sqref="I101"/>
    </sheetView>
  </sheetViews>
  <sheetFormatPr defaultRowHeight="14.5" x14ac:dyDescent="0.35"/>
  <cols>
    <col min="9" max="9" width="10.453125" bestFit="1" customWidth="1"/>
    <col min="10" max="10" width="13.1796875" bestFit="1" customWidth="1"/>
    <col min="44" max="44" width="9.1796875" customWidth="1"/>
  </cols>
  <sheetData>
    <row r="5" spans="3:38" x14ac:dyDescent="0.35">
      <c r="D5" t="s">
        <v>2403</v>
      </c>
      <c r="E5" s="47"/>
      <c r="F5" s="48"/>
      <c r="M5" s="49"/>
    </row>
    <row r="6" spans="3:38" x14ac:dyDescent="0.35">
      <c r="E6" s="47" t="s">
        <v>2399</v>
      </c>
      <c r="F6" s="48"/>
      <c r="M6" s="49"/>
    </row>
    <row r="7" spans="3:38" x14ac:dyDescent="0.35">
      <c r="C7" s="50"/>
      <c r="D7" s="51" t="s">
        <v>2404</v>
      </c>
      <c r="E7" s="52">
        <v>0</v>
      </c>
      <c r="G7" s="51" t="s">
        <v>2405</v>
      </c>
      <c r="H7" s="52">
        <v>0</v>
      </c>
      <c r="J7" s="51" t="s">
        <v>2406</v>
      </c>
      <c r="K7" s="52">
        <v>4.5999999999999996</v>
      </c>
      <c r="M7" s="53" t="s">
        <v>2407</v>
      </c>
      <c r="N7" s="52">
        <v>0</v>
      </c>
      <c r="P7" s="51" t="s">
        <v>2408</v>
      </c>
      <c r="Q7" s="52">
        <v>0</v>
      </c>
      <c r="S7" s="51" t="s">
        <v>2409</v>
      </c>
      <c r="T7" s="52">
        <v>0</v>
      </c>
      <c r="V7" s="51" t="s">
        <v>2410</v>
      </c>
      <c r="W7" s="52">
        <v>0</v>
      </c>
      <c r="Y7" s="51" t="s">
        <v>2411</v>
      </c>
      <c r="Z7" s="52">
        <v>0</v>
      </c>
      <c r="AB7" s="51" t="s">
        <v>2412</v>
      </c>
      <c r="AC7" s="52">
        <v>5.2</v>
      </c>
      <c r="AE7" s="51" t="s">
        <v>2413</v>
      </c>
      <c r="AF7" s="52">
        <v>0</v>
      </c>
      <c r="AH7" s="51" t="s">
        <v>2414</v>
      </c>
      <c r="AI7" s="52">
        <v>0</v>
      </c>
      <c r="AK7" s="51" t="s">
        <v>2415</v>
      </c>
      <c r="AL7" s="52">
        <v>0</v>
      </c>
    </row>
    <row r="8" spans="3:38" x14ac:dyDescent="0.35">
      <c r="C8" s="50"/>
      <c r="D8" s="51" t="s">
        <v>2404</v>
      </c>
      <c r="E8" s="52">
        <v>0</v>
      </c>
      <c r="G8" s="51" t="s">
        <v>2405</v>
      </c>
      <c r="H8" s="52">
        <v>0</v>
      </c>
      <c r="J8" s="51" t="s">
        <v>2406</v>
      </c>
      <c r="K8" s="52">
        <v>2.2000000000000002</v>
      </c>
      <c r="M8" s="51" t="s">
        <v>2407</v>
      </c>
      <c r="N8" s="52">
        <v>0.6</v>
      </c>
      <c r="P8" s="51" t="s">
        <v>2408</v>
      </c>
      <c r="Q8" s="52">
        <v>0</v>
      </c>
      <c r="S8" s="51" t="s">
        <v>2409</v>
      </c>
      <c r="T8" s="52">
        <v>30.7</v>
      </c>
      <c r="V8" s="51" t="s">
        <v>2410</v>
      </c>
      <c r="W8" s="52">
        <v>0</v>
      </c>
      <c r="Y8" s="51" t="s">
        <v>2411</v>
      </c>
      <c r="Z8" s="52">
        <v>0</v>
      </c>
      <c r="AB8" s="51" t="s">
        <v>2412</v>
      </c>
      <c r="AC8" s="52">
        <v>2.5</v>
      </c>
      <c r="AE8" s="51" t="s">
        <v>2413</v>
      </c>
      <c r="AF8" s="52">
        <v>0</v>
      </c>
      <c r="AH8" s="51" t="s">
        <v>2414</v>
      </c>
      <c r="AI8" s="52">
        <v>0</v>
      </c>
      <c r="AK8" s="51" t="s">
        <v>2415</v>
      </c>
      <c r="AL8" s="52">
        <v>0</v>
      </c>
    </row>
    <row r="9" spans="3:38" x14ac:dyDescent="0.35">
      <c r="C9" s="50"/>
      <c r="D9" s="51" t="s">
        <v>2404</v>
      </c>
      <c r="E9" s="52">
        <v>3.4</v>
      </c>
      <c r="G9" s="51" t="s">
        <v>2405</v>
      </c>
      <c r="H9" s="52">
        <v>12.2</v>
      </c>
      <c r="J9" s="51" t="s">
        <v>2406</v>
      </c>
      <c r="K9" s="52">
        <v>0</v>
      </c>
      <c r="M9" s="51" t="s">
        <v>2407</v>
      </c>
      <c r="N9" s="52">
        <v>0</v>
      </c>
      <c r="P9" s="51" t="s">
        <v>2408</v>
      </c>
      <c r="Q9" s="52">
        <v>0</v>
      </c>
      <c r="S9" s="51" t="s">
        <v>2409</v>
      </c>
      <c r="T9" s="52">
        <v>0</v>
      </c>
      <c r="V9" s="51" t="s">
        <v>2410</v>
      </c>
      <c r="W9" s="52">
        <v>0</v>
      </c>
      <c r="Y9" s="51" t="s">
        <v>2411</v>
      </c>
      <c r="Z9" s="52">
        <v>0.4</v>
      </c>
      <c r="AB9" s="51" t="s">
        <v>2412</v>
      </c>
      <c r="AC9" s="52">
        <v>0</v>
      </c>
      <c r="AE9" s="51" t="s">
        <v>2413</v>
      </c>
      <c r="AF9" s="52">
        <v>0</v>
      </c>
      <c r="AH9" s="51" t="s">
        <v>2414</v>
      </c>
      <c r="AI9" s="52">
        <v>7.7</v>
      </c>
      <c r="AK9" s="51" t="s">
        <v>2415</v>
      </c>
      <c r="AL9" s="52">
        <v>0</v>
      </c>
    </row>
    <row r="10" spans="3:38" x14ac:dyDescent="0.35">
      <c r="C10" s="50"/>
      <c r="D10" s="51" t="s">
        <v>2404</v>
      </c>
      <c r="E10" s="52">
        <v>0</v>
      </c>
      <c r="G10" s="51" t="s">
        <v>2405</v>
      </c>
      <c r="H10" s="52">
        <v>32.200000000000003</v>
      </c>
      <c r="J10" s="51" t="s">
        <v>2406</v>
      </c>
      <c r="K10" s="52">
        <v>8.1999999999999993</v>
      </c>
      <c r="M10" s="51" t="s">
        <v>2407</v>
      </c>
      <c r="N10" s="52">
        <v>0.2</v>
      </c>
      <c r="P10" s="54" t="s">
        <v>2408</v>
      </c>
      <c r="Q10" s="55">
        <v>0</v>
      </c>
      <c r="S10" s="51" t="s">
        <v>2409</v>
      </c>
      <c r="T10" s="52">
        <v>5.0999999999999996</v>
      </c>
      <c r="V10" s="51" t="s">
        <v>2410</v>
      </c>
      <c r="W10" s="52">
        <v>11.4</v>
      </c>
      <c r="Y10" s="51" t="s">
        <v>2411</v>
      </c>
      <c r="Z10" s="52">
        <v>0</v>
      </c>
      <c r="AB10" s="51" t="s">
        <v>2412</v>
      </c>
      <c r="AC10" s="52">
        <v>4</v>
      </c>
      <c r="AE10" s="51" t="s">
        <v>2413</v>
      </c>
      <c r="AF10" s="52">
        <v>48</v>
      </c>
      <c r="AH10" s="51" t="s">
        <v>2414</v>
      </c>
      <c r="AI10" s="52">
        <v>24.7</v>
      </c>
      <c r="AK10" s="51" t="s">
        <v>2415</v>
      </c>
      <c r="AL10" s="52">
        <v>0</v>
      </c>
    </row>
    <row r="11" spans="3:38" x14ac:dyDescent="0.35">
      <c r="C11" s="50"/>
      <c r="D11" s="51" t="s">
        <v>2404</v>
      </c>
      <c r="E11" s="52">
        <v>7</v>
      </c>
      <c r="G11" s="51" t="s">
        <v>2405</v>
      </c>
      <c r="H11" s="52">
        <v>32.4</v>
      </c>
      <c r="J11" s="51" t="s">
        <v>2406</v>
      </c>
      <c r="K11" s="52">
        <v>36.700000000000003</v>
      </c>
      <c r="M11" s="51" t="s">
        <v>2407</v>
      </c>
      <c r="N11" s="52">
        <v>57.8</v>
      </c>
      <c r="P11" s="51" t="s">
        <v>2408</v>
      </c>
      <c r="Q11" s="52">
        <v>2.1</v>
      </c>
      <c r="S11" s="51" t="s">
        <v>2409</v>
      </c>
      <c r="T11" s="52">
        <v>0</v>
      </c>
      <c r="V11" s="51" t="s">
        <v>2410</v>
      </c>
      <c r="W11" s="52">
        <v>9</v>
      </c>
      <c r="Y11" s="51" t="s">
        <v>2411</v>
      </c>
      <c r="Z11" s="52">
        <v>32</v>
      </c>
      <c r="AB11" s="51" t="s">
        <v>2412</v>
      </c>
      <c r="AC11" s="52">
        <v>116.8</v>
      </c>
      <c r="AE11" s="51" t="s">
        <v>2413</v>
      </c>
      <c r="AF11" s="52">
        <v>15.6</v>
      </c>
      <c r="AH11" s="51" t="s">
        <v>2414</v>
      </c>
      <c r="AI11" s="52">
        <v>27</v>
      </c>
      <c r="AK11" s="51" t="s">
        <v>2415</v>
      </c>
      <c r="AL11" s="52">
        <v>81.2</v>
      </c>
    </row>
    <row r="12" spans="3:38" x14ac:dyDescent="0.35">
      <c r="C12" s="50"/>
      <c r="D12" s="51" t="s">
        <v>2404</v>
      </c>
      <c r="E12" s="52">
        <v>163.6</v>
      </c>
      <c r="G12" s="51" t="s">
        <v>2405</v>
      </c>
      <c r="H12" s="52">
        <v>259</v>
      </c>
      <c r="J12" s="51" t="s">
        <v>2406</v>
      </c>
      <c r="K12" s="52">
        <v>153.5</v>
      </c>
      <c r="M12" s="51" t="s">
        <v>2407</v>
      </c>
      <c r="N12" s="52">
        <v>54.1</v>
      </c>
      <c r="P12" s="51" t="s">
        <v>2408</v>
      </c>
      <c r="Q12" s="52">
        <v>55.7</v>
      </c>
      <c r="S12" s="51" t="s">
        <v>2409</v>
      </c>
      <c r="T12" s="52">
        <v>192.7</v>
      </c>
      <c r="V12" s="51" t="s">
        <v>2410</v>
      </c>
      <c r="W12" s="52">
        <v>87.8</v>
      </c>
      <c r="Y12" s="51" t="s">
        <v>2411</v>
      </c>
      <c r="Z12" s="52">
        <v>264.10000000000002</v>
      </c>
      <c r="AB12" s="51" t="s">
        <v>2412</v>
      </c>
      <c r="AC12" s="52">
        <v>72.7</v>
      </c>
      <c r="AE12" s="51" t="s">
        <v>2413</v>
      </c>
      <c r="AF12" s="52">
        <v>67</v>
      </c>
      <c r="AH12" s="51" t="s">
        <v>2414</v>
      </c>
      <c r="AI12" s="52">
        <v>170.1</v>
      </c>
      <c r="AK12" s="51" t="s">
        <v>2415</v>
      </c>
      <c r="AL12" s="52">
        <v>173.8</v>
      </c>
    </row>
    <row r="13" spans="3:38" x14ac:dyDescent="0.35">
      <c r="C13" s="50"/>
      <c r="D13" s="51" t="s">
        <v>2404</v>
      </c>
      <c r="E13" s="52">
        <v>114.8</v>
      </c>
      <c r="G13" s="51" t="s">
        <v>2405</v>
      </c>
      <c r="H13" s="52">
        <v>118.8</v>
      </c>
      <c r="J13" s="51" t="s">
        <v>2406</v>
      </c>
      <c r="K13" s="52">
        <v>282.2</v>
      </c>
      <c r="M13" s="51" t="s">
        <v>2407</v>
      </c>
      <c r="N13" s="52">
        <v>62</v>
      </c>
      <c r="P13" s="51" t="s">
        <v>2408</v>
      </c>
      <c r="Q13" s="52">
        <v>73.400000000000006</v>
      </c>
      <c r="S13" s="51" t="s">
        <v>2409</v>
      </c>
      <c r="T13" s="52">
        <v>248.9</v>
      </c>
      <c r="V13" s="51" t="s">
        <v>2410</v>
      </c>
      <c r="W13" s="52">
        <v>125.2</v>
      </c>
      <c r="Y13" s="51" t="s">
        <v>2411</v>
      </c>
      <c r="Z13" s="52">
        <v>63.9</v>
      </c>
      <c r="AB13" s="51" t="s">
        <v>2412</v>
      </c>
      <c r="AC13" s="52">
        <v>61</v>
      </c>
      <c r="AE13" s="51" t="s">
        <v>2413</v>
      </c>
      <c r="AF13" s="52">
        <v>299.89999999999998</v>
      </c>
      <c r="AH13" s="51" t="s">
        <v>2414</v>
      </c>
      <c r="AI13" s="52">
        <v>187.7</v>
      </c>
      <c r="AK13" s="51" t="s">
        <v>2415</v>
      </c>
      <c r="AL13" s="52">
        <v>248.6</v>
      </c>
    </row>
    <row r="14" spans="3:38" x14ac:dyDescent="0.35">
      <c r="C14" s="50"/>
      <c r="D14" s="51" t="s">
        <v>2404</v>
      </c>
      <c r="E14" s="52">
        <v>213.7</v>
      </c>
      <c r="G14" s="51" t="s">
        <v>2405</v>
      </c>
      <c r="H14" s="52">
        <v>173.3</v>
      </c>
      <c r="J14" s="51" t="s">
        <v>2406</v>
      </c>
      <c r="K14" s="52">
        <v>94.6</v>
      </c>
      <c r="M14" s="51" t="s">
        <v>2407</v>
      </c>
      <c r="N14" s="52">
        <v>81.5</v>
      </c>
      <c r="P14" s="51" t="s">
        <v>2408</v>
      </c>
      <c r="Q14" s="52">
        <v>298.7</v>
      </c>
      <c r="S14" s="51" t="s">
        <v>2409</v>
      </c>
      <c r="T14" s="52">
        <v>50.2</v>
      </c>
      <c r="V14" s="51" t="s">
        <v>2410</v>
      </c>
      <c r="W14" s="52">
        <v>80</v>
      </c>
      <c r="Y14" s="51" t="s">
        <v>2411</v>
      </c>
      <c r="Z14" s="52">
        <v>99.9</v>
      </c>
      <c r="AB14" s="51" t="s">
        <v>2412</v>
      </c>
      <c r="AC14" s="52">
        <v>223.6</v>
      </c>
      <c r="AE14" s="51" t="s">
        <v>2413</v>
      </c>
      <c r="AF14" s="52">
        <v>84.1</v>
      </c>
      <c r="AH14" s="51" t="s">
        <v>2414</v>
      </c>
      <c r="AI14" s="52">
        <v>74.900000000000006</v>
      </c>
      <c r="AK14" s="51" t="s">
        <v>2415</v>
      </c>
      <c r="AL14" s="52">
        <v>197.6</v>
      </c>
    </row>
    <row r="15" spans="3:38" x14ac:dyDescent="0.35">
      <c r="C15" s="50"/>
      <c r="D15" s="51" t="s">
        <v>2404</v>
      </c>
      <c r="E15" s="52">
        <v>364.1</v>
      </c>
      <c r="G15" s="51" t="s">
        <v>2405</v>
      </c>
      <c r="H15" s="52">
        <v>59.7</v>
      </c>
      <c r="J15" s="51" t="s">
        <v>2406</v>
      </c>
      <c r="K15" s="52">
        <v>170.6</v>
      </c>
      <c r="M15" s="51" t="s">
        <v>2407</v>
      </c>
      <c r="N15" s="52">
        <v>210.9</v>
      </c>
      <c r="P15" s="51" t="s">
        <v>2408</v>
      </c>
      <c r="Q15" s="52">
        <v>324.60000000000002</v>
      </c>
      <c r="S15" s="51" t="s">
        <v>2409</v>
      </c>
      <c r="T15" s="52">
        <v>176.9</v>
      </c>
      <c r="V15" s="51" t="s">
        <v>2410</v>
      </c>
      <c r="W15" s="52">
        <v>59.2</v>
      </c>
      <c r="Y15" s="51" t="s">
        <v>2411</v>
      </c>
      <c r="Z15" s="52">
        <v>71.400000000000006</v>
      </c>
      <c r="AB15" s="51" t="s">
        <v>2412</v>
      </c>
      <c r="AC15" s="52">
        <v>23.1</v>
      </c>
      <c r="AE15" s="51" t="s">
        <v>2413</v>
      </c>
      <c r="AF15" s="52">
        <v>431.1</v>
      </c>
      <c r="AH15" s="51" t="s">
        <v>2414</v>
      </c>
      <c r="AI15" s="52">
        <v>154.80000000000001</v>
      </c>
      <c r="AK15" s="51" t="s">
        <v>2415</v>
      </c>
      <c r="AL15" s="52">
        <v>37.9</v>
      </c>
    </row>
    <row r="16" spans="3:38" x14ac:dyDescent="0.35">
      <c r="C16" s="50"/>
      <c r="D16" s="51" t="s">
        <v>2404</v>
      </c>
      <c r="E16" s="52">
        <v>2.1</v>
      </c>
      <c r="G16" s="51" t="s">
        <v>2405</v>
      </c>
      <c r="H16" s="52">
        <v>8.9</v>
      </c>
      <c r="J16" s="51" t="s">
        <v>2406</v>
      </c>
      <c r="K16" s="52">
        <v>39.9</v>
      </c>
      <c r="M16" s="51" t="s">
        <v>2407</v>
      </c>
      <c r="N16" s="52">
        <v>52.5</v>
      </c>
      <c r="P16" s="51" t="s">
        <v>2408</v>
      </c>
      <c r="Q16" s="52">
        <v>7.1</v>
      </c>
      <c r="S16" s="51" t="s">
        <v>2409</v>
      </c>
      <c r="T16" s="52">
        <v>200.4</v>
      </c>
      <c r="V16" s="51" t="s">
        <v>2410</v>
      </c>
      <c r="W16" s="52">
        <v>146.1</v>
      </c>
      <c r="Y16" s="51" t="s">
        <v>2411</v>
      </c>
      <c r="Z16" s="52">
        <v>0.6</v>
      </c>
      <c r="AB16" s="51" t="s">
        <v>2412</v>
      </c>
      <c r="AC16" s="52">
        <v>166.4</v>
      </c>
      <c r="AE16" s="51" t="s">
        <v>2413</v>
      </c>
      <c r="AF16" s="52">
        <v>0.3</v>
      </c>
      <c r="AH16" s="51" t="s">
        <v>2414</v>
      </c>
      <c r="AI16" s="52">
        <v>21.5</v>
      </c>
      <c r="AK16" s="51" t="s">
        <v>2415</v>
      </c>
      <c r="AL16" s="52">
        <v>125.4</v>
      </c>
    </row>
    <row r="17" spans="3:39" x14ac:dyDescent="0.35">
      <c r="C17" s="50"/>
      <c r="D17" s="51" t="s">
        <v>2404</v>
      </c>
      <c r="E17" s="52">
        <v>79.400000000000006</v>
      </c>
      <c r="G17" s="51" t="s">
        <v>2405</v>
      </c>
      <c r="H17" s="52">
        <v>42.4</v>
      </c>
      <c r="J17" s="51" t="s">
        <v>2406</v>
      </c>
      <c r="K17" s="52">
        <v>0</v>
      </c>
      <c r="M17" s="51" t="s">
        <v>2407</v>
      </c>
      <c r="N17" s="52">
        <v>32.200000000000003</v>
      </c>
      <c r="P17" s="51" t="s">
        <v>2408</v>
      </c>
      <c r="Q17" s="52">
        <v>0.3</v>
      </c>
      <c r="S17" s="51" t="s">
        <v>2409</v>
      </c>
      <c r="T17" s="52">
        <v>1.4</v>
      </c>
      <c r="V17" s="51" t="s">
        <v>2410</v>
      </c>
      <c r="W17" s="52">
        <v>110.4</v>
      </c>
      <c r="Y17" s="51" t="s">
        <v>2411</v>
      </c>
      <c r="Z17" s="52">
        <v>2.2999999999999998</v>
      </c>
      <c r="AB17" s="51" t="s">
        <v>2412</v>
      </c>
      <c r="AC17" s="52">
        <v>8.3000000000000007</v>
      </c>
      <c r="AE17" s="51" t="s">
        <v>2413</v>
      </c>
      <c r="AF17" s="52">
        <v>0</v>
      </c>
      <c r="AH17" s="51" t="s">
        <v>2414</v>
      </c>
      <c r="AI17" s="52">
        <v>0</v>
      </c>
      <c r="AK17" s="51" t="s">
        <v>2415</v>
      </c>
      <c r="AL17" s="52">
        <v>37.9</v>
      </c>
    </row>
    <row r="18" spans="3:39" x14ac:dyDescent="0.35">
      <c r="C18" s="50"/>
      <c r="D18" s="51" t="s">
        <v>2404</v>
      </c>
      <c r="E18" s="52">
        <v>0</v>
      </c>
      <c r="G18" s="51" t="s">
        <v>2405</v>
      </c>
      <c r="H18" s="52">
        <v>10.199999999999999</v>
      </c>
      <c r="J18" s="51" t="s">
        <v>2406</v>
      </c>
      <c r="K18" s="52">
        <v>0</v>
      </c>
      <c r="M18" s="51" t="s">
        <v>2407</v>
      </c>
      <c r="N18" s="52">
        <v>0</v>
      </c>
      <c r="P18" s="51" t="s">
        <v>2408</v>
      </c>
      <c r="Q18" s="52">
        <v>0.2</v>
      </c>
      <c r="S18" s="51" t="s">
        <v>2409</v>
      </c>
      <c r="T18" s="52">
        <v>0</v>
      </c>
      <c r="V18" s="51" t="s">
        <v>2410</v>
      </c>
      <c r="W18" s="52">
        <v>0</v>
      </c>
      <c r="Y18" s="51" t="s">
        <v>2411</v>
      </c>
      <c r="Z18" s="52">
        <v>35.5</v>
      </c>
      <c r="AB18" s="51" t="s">
        <v>2412</v>
      </c>
      <c r="AC18" s="52">
        <v>35.299999999999997</v>
      </c>
      <c r="AE18" s="51" t="s">
        <v>2413</v>
      </c>
      <c r="AF18" s="52">
        <v>0</v>
      </c>
      <c r="AH18" s="51" t="s">
        <v>2414</v>
      </c>
      <c r="AI18" s="52">
        <v>0.2</v>
      </c>
      <c r="AK18" s="51" t="s">
        <v>2415</v>
      </c>
      <c r="AL18" s="52">
        <v>0</v>
      </c>
    </row>
    <row r="19" spans="3:39" x14ac:dyDescent="0.35">
      <c r="C19" s="50"/>
      <c r="K19" s="48">
        <f>SUM(K7:K18)</f>
        <v>792.5</v>
      </c>
      <c r="N19" s="48">
        <f>SUM(N7:N18)</f>
        <v>551.80000000000007</v>
      </c>
      <c r="Q19" s="48">
        <f>SUM(Q7:Q18)</f>
        <v>762.1</v>
      </c>
      <c r="T19" s="48">
        <f>SUM(T7:T18)</f>
        <v>906.3</v>
      </c>
      <c r="W19" s="48">
        <f>SUM(W7:W18)</f>
        <v>629.09999999999991</v>
      </c>
      <c r="Z19" s="48">
        <f>SUM(Z7:Z18)</f>
        <v>570.09999999999991</v>
      </c>
      <c r="AC19" s="48">
        <f>SUM(AC7:AC18)</f>
        <v>718.89999999999986</v>
      </c>
      <c r="AF19" s="48">
        <f>SUM(AF7:AF18)</f>
        <v>946</v>
      </c>
      <c r="AI19" s="48">
        <f>SUM(AI7:AI18)</f>
        <v>668.60000000000014</v>
      </c>
      <c r="AL19" s="48">
        <f>SUM(AL7:AL18)</f>
        <v>902.4</v>
      </c>
    </row>
    <row r="20" spans="3:39" x14ac:dyDescent="0.35">
      <c r="C20" s="50"/>
      <c r="E20" s="48">
        <f>AVERAGE(E7:E19)</f>
        <v>79.00833333333334</v>
      </c>
      <c r="H20" s="48">
        <f>AVERAGE(H7:H19)</f>
        <v>62.425000000000011</v>
      </c>
      <c r="K20" s="48">
        <f>AVERAGE(K7:K18)</f>
        <v>66.041666666666671</v>
      </c>
      <c r="N20" s="48">
        <f>AVERAGE(N7:N18)</f>
        <v>45.983333333333341</v>
      </c>
      <c r="Q20" s="48">
        <f>AVERAGE(Q7:Q18)</f>
        <v>63.508333333333333</v>
      </c>
      <c r="T20" s="48">
        <f>AVERAGE(T7:T18)</f>
        <v>75.524999999999991</v>
      </c>
      <c r="W20" s="48">
        <f>AVERAGE(W7:W18)</f>
        <v>52.42499999999999</v>
      </c>
      <c r="Z20" s="48">
        <f>AVERAGE(Z7:Z18)</f>
        <v>47.508333333333326</v>
      </c>
      <c r="AC20" s="48">
        <f>AVERAGE(AC7:AC18)</f>
        <v>59.908333333333324</v>
      </c>
      <c r="AF20" s="48">
        <f>AVERAGE(AF7:AF18)</f>
        <v>78.833333333333329</v>
      </c>
      <c r="AI20" s="48">
        <f>AVERAGE(AI7:AI18)</f>
        <v>55.716666666666676</v>
      </c>
      <c r="AL20" s="48">
        <f>AVERAGE(AL7:AL18)</f>
        <v>75.2</v>
      </c>
      <c r="AM20" t="s">
        <v>2416</v>
      </c>
    </row>
    <row r="21" spans="3:39" x14ac:dyDescent="0.35">
      <c r="C21" s="50"/>
    </row>
    <row r="22" spans="3:39" x14ac:dyDescent="0.35">
      <c r="C22" s="50"/>
    </row>
    <row r="23" spans="3:39" x14ac:dyDescent="0.35">
      <c r="C23" s="50"/>
      <c r="J23" s="54" t="s">
        <v>2417</v>
      </c>
      <c r="K23" s="55">
        <v>0</v>
      </c>
      <c r="M23" s="51" t="s">
        <v>2418</v>
      </c>
      <c r="N23" s="52">
        <v>0</v>
      </c>
      <c r="P23" s="51" t="s">
        <v>2419</v>
      </c>
      <c r="Q23" s="52">
        <v>0</v>
      </c>
      <c r="S23" s="51" t="s">
        <v>2420</v>
      </c>
      <c r="T23" s="52">
        <v>0.6</v>
      </c>
      <c r="V23" s="51" t="s">
        <v>2421</v>
      </c>
      <c r="W23" s="52">
        <v>14.7</v>
      </c>
      <c r="Y23" s="51" t="s">
        <v>2422</v>
      </c>
      <c r="Z23" s="52">
        <v>0.5</v>
      </c>
      <c r="AB23" s="51" t="s">
        <v>2423</v>
      </c>
      <c r="AC23" s="52">
        <v>2.4</v>
      </c>
      <c r="AE23" s="51" t="s">
        <v>2424</v>
      </c>
      <c r="AF23" s="52">
        <v>0</v>
      </c>
      <c r="AH23" s="51" t="s">
        <v>2425</v>
      </c>
      <c r="AI23" s="52">
        <v>0</v>
      </c>
      <c r="AK23" s="51" t="s">
        <v>2426</v>
      </c>
      <c r="AL23" s="52">
        <v>0</v>
      </c>
    </row>
    <row r="24" spans="3:39" x14ac:dyDescent="0.35">
      <c r="C24" s="50"/>
      <c r="J24" s="51" t="s">
        <v>2417</v>
      </c>
      <c r="K24" s="52">
        <v>0</v>
      </c>
      <c r="M24" s="51" t="s">
        <v>2418</v>
      </c>
      <c r="N24" s="52">
        <v>0</v>
      </c>
      <c r="P24" s="51" t="s">
        <v>2419</v>
      </c>
      <c r="Q24" s="52">
        <v>0</v>
      </c>
      <c r="S24" s="51" t="s">
        <v>2420</v>
      </c>
      <c r="T24" s="52">
        <v>0</v>
      </c>
      <c r="V24" s="51" t="s">
        <v>2421</v>
      </c>
      <c r="W24" s="52">
        <v>0</v>
      </c>
      <c r="Y24" s="51" t="s">
        <v>2422</v>
      </c>
      <c r="Z24" s="52">
        <v>0</v>
      </c>
      <c r="AB24" s="51" t="s">
        <v>2423</v>
      </c>
      <c r="AC24" s="52">
        <v>0</v>
      </c>
      <c r="AE24" s="51" t="s">
        <v>2424</v>
      </c>
      <c r="AF24" s="52">
        <v>0</v>
      </c>
      <c r="AH24" s="51" t="s">
        <v>2425</v>
      </c>
      <c r="AI24" s="52">
        <v>0</v>
      </c>
      <c r="AK24" s="51" t="s">
        <v>2426</v>
      </c>
      <c r="AL24" s="52">
        <v>0</v>
      </c>
    </row>
    <row r="25" spans="3:39" x14ac:dyDescent="0.35">
      <c r="C25" s="50"/>
      <c r="J25" s="51" t="s">
        <v>2417</v>
      </c>
      <c r="K25" s="52">
        <v>0.8</v>
      </c>
      <c r="M25" s="51" t="s">
        <v>2418</v>
      </c>
      <c r="N25" s="52">
        <v>0</v>
      </c>
      <c r="P25" s="51" t="s">
        <v>2419</v>
      </c>
      <c r="Q25" s="52">
        <v>1.5</v>
      </c>
      <c r="S25" s="51" t="s">
        <v>2420</v>
      </c>
      <c r="T25" s="52">
        <v>0</v>
      </c>
      <c r="V25" s="51" t="s">
        <v>2421</v>
      </c>
      <c r="W25" s="52">
        <v>0</v>
      </c>
      <c r="Y25" s="51" t="s">
        <v>2422</v>
      </c>
      <c r="Z25" s="52">
        <v>0</v>
      </c>
      <c r="AB25" s="51" t="s">
        <v>2423</v>
      </c>
      <c r="AC25" s="52">
        <v>0</v>
      </c>
      <c r="AE25" s="51" t="s">
        <v>2424</v>
      </c>
      <c r="AF25" s="52">
        <v>0</v>
      </c>
      <c r="AH25" s="51" t="s">
        <v>2425</v>
      </c>
      <c r="AI25" s="52">
        <v>0</v>
      </c>
      <c r="AK25" s="51" t="s">
        <v>2426</v>
      </c>
      <c r="AL25" s="52">
        <v>0</v>
      </c>
    </row>
    <row r="26" spans="3:39" x14ac:dyDescent="0.35">
      <c r="C26" s="50"/>
      <c r="J26" s="51" t="s">
        <v>2417</v>
      </c>
      <c r="K26" s="52">
        <v>30.5</v>
      </c>
      <c r="M26" s="51" t="s">
        <v>2418</v>
      </c>
      <c r="N26" s="52">
        <v>3.4</v>
      </c>
      <c r="P26" s="51" t="s">
        <v>2419</v>
      </c>
      <c r="Q26" s="52">
        <v>0.6</v>
      </c>
      <c r="S26" s="51" t="s">
        <v>2420</v>
      </c>
      <c r="T26" s="52">
        <v>13.6</v>
      </c>
      <c r="V26" s="51" t="s">
        <v>2421</v>
      </c>
      <c r="W26" s="52">
        <v>34.5</v>
      </c>
      <c r="Y26" s="51" t="s">
        <v>2422</v>
      </c>
      <c r="Z26" s="52">
        <v>1.9</v>
      </c>
      <c r="AB26" s="51" t="s">
        <v>2423</v>
      </c>
      <c r="AC26" s="52">
        <v>20.5</v>
      </c>
      <c r="AE26" s="51" t="s">
        <v>2424</v>
      </c>
      <c r="AF26" s="52">
        <v>0</v>
      </c>
      <c r="AH26" s="51" t="s">
        <v>2425</v>
      </c>
      <c r="AI26" s="52">
        <v>0</v>
      </c>
      <c r="AK26" s="51" t="s">
        <v>2426</v>
      </c>
      <c r="AL26" s="52">
        <v>0</v>
      </c>
    </row>
    <row r="27" spans="3:39" x14ac:dyDescent="0.35">
      <c r="C27" s="50"/>
      <c r="J27" s="51" t="s">
        <v>2417</v>
      </c>
      <c r="K27" s="52">
        <v>45.6</v>
      </c>
      <c r="M27" s="51" t="s">
        <v>2418</v>
      </c>
      <c r="N27" s="52">
        <v>0.9</v>
      </c>
      <c r="P27" s="51" t="s">
        <v>2419</v>
      </c>
      <c r="Q27" s="52">
        <v>1.3</v>
      </c>
      <c r="S27" s="51" t="s">
        <v>2420</v>
      </c>
      <c r="T27" s="52">
        <v>50.5</v>
      </c>
      <c r="V27" s="51" t="s">
        <v>2421</v>
      </c>
      <c r="W27" s="52">
        <v>20.9</v>
      </c>
      <c r="Y27" s="51" t="s">
        <v>2422</v>
      </c>
      <c r="Z27" s="52">
        <v>4.9000000000000004</v>
      </c>
      <c r="AB27" s="51" t="s">
        <v>2423</v>
      </c>
      <c r="AC27" s="52">
        <v>4.3</v>
      </c>
      <c r="AE27" s="51" t="s">
        <v>2424</v>
      </c>
      <c r="AF27" s="52">
        <v>10.3</v>
      </c>
      <c r="AH27" s="51" t="s">
        <v>2425</v>
      </c>
      <c r="AI27" s="52">
        <v>36</v>
      </c>
      <c r="AK27" s="51" t="s">
        <v>2426</v>
      </c>
      <c r="AL27" s="52">
        <v>24.7</v>
      </c>
    </row>
    <row r="28" spans="3:39" x14ac:dyDescent="0.35">
      <c r="C28" s="50"/>
      <c r="J28" s="51" t="s">
        <v>2417</v>
      </c>
      <c r="K28" s="52">
        <v>529.5</v>
      </c>
      <c r="M28" s="51" t="s">
        <v>2418</v>
      </c>
      <c r="N28" s="52">
        <v>85.8</v>
      </c>
      <c r="P28" s="51" t="s">
        <v>2419</v>
      </c>
      <c r="Q28" s="52">
        <v>140.30000000000001</v>
      </c>
      <c r="S28" s="51" t="s">
        <v>2420</v>
      </c>
      <c r="T28" s="52">
        <v>313.3</v>
      </c>
      <c r="V28" s="51" t="s">
        <v>2421</v>
      </c>
      <c r="W28" s="52">
        <v>58.9</v>
      </c>
      <c r="Y28" s="51" t="s">
        <v>2422</v>
      </c>
      <c r="Z28" s="52">
        <v>193.3</v>
      </c>
      <c r="AB28" s="51" t="s">
        <v>2423</v>
      </c>
      <c r="AC28" s="52">
        <v>287.8</v>
      </c>
      <c r="AE28" s="51" t="s">
        <v>2424</v>
      </c>
      <c r="AF28" s="52">
        <v>95.7</v>
      </c>
      <c r="AH28" s="51" t="s">
        <v>2425</v>
      </c>
      <c r="AI28" s="52">
        <v>165.5</v>
      </c>
      <c r="AK28" s="51" t="s">
        <v>2426</v>
      </c>
      <c r="AL28" s="52">
        <v>147.80000000000001</v>
      </c>
    </row>
    <row r="29" spans="3:39" x14ac:dyDescent="0.35">
      <c r="C29" s="50"/>
      <c r="J29" s="51" t="s">
        <v>2417</v>
      </c>
      <c r="K29" s="52">
        <v>192.8</v>
      </c>
      <c r="M29" s="51" t="s">
        <v>2418</v>
      </c>
      <c r="N29" s="52">
        <v>133.4</v>
      </c>
      <c r="P29" s="51" t="s">
        <v>2419</v>
      </c>
      <c r="Q29" s="52">
        <v>172.9</v>
      </c>
      <c r="S29" s="51" t="s">
        <v>2420</v>
      </c>
      <c r="T29" s="52">
        <v>302.7</v>
      </c>
      <c r="V29" s="51" t="s">
        <v>2421</v>
      </c>
      <c r="W29" s="52">
        <v>191</v>
      </c>
      <c r="Y29" s="51" t="s">
        <v>2422</v>
      </c>
      <c r="Z29" s="52">
        <v>206.9</v>
      </c>
      <c r="AB29" s="51" t="s">
        <v>2423</v>
      </c>
      <c r="AC29" s="52">
        <v>165.4</v>
      </c>
      <c r="AE29" s="51" t="s">
        <v>2424</v>
      </c>
      <c r="AF29" s="52">
        <v>244.8</v>
      </c>
      <c r="AH29" s="51" t="s">
        <v>2425</v>
      </c>
      <c r="AI29" s="52">
        <v>156.4</v>
      </c>
      <c r="AK29" s="51" t="s">
        <v>2426</v>
      </c>
      <c r="AL29" s="52">
        <v>94.5</v>
      </c>
    </row>
    <row r="30" spans="3:39" x14ac:dyDescent="0.35">
      <c r="C30" s="50"/>
      <c r="J30" s="51" t="s">
        <v>2417</v>
      </c>
      <c r="K30" s="52">
        <v>80.599999999999994</v>
      </c>
      <c r="M30" s="51" t="s">
        <v>2418</v>
      </c>
      <c r="N30" s="52">
        <v>191.8</v>
      </c>
      <c r="P30" s="51" t="s">
        <v>2419</v>
      </c>
      <c r="Q30" s="52">
        <v>57.6</v>
      </c>
      <c r="S30" s="51" t="s">
        <v>2420</v>
      </c>
      <c r="T30" s="52">
        <v>93.1</v>
      </c>
      <c r="V30" s="51" t="s">
        <v>2421</v>
      </c>
      <c r="W30" s="52">
        <v>43.8</v>
      </c>
      <c r="Y30" s="51" t="s">
        <v>2422</v>
      </c>
      <c r="Z30" s="52">
        <v>78.900000000000006</v>
      </c>
      <c r="AB30" s="51" t="s">
        <v>2423</v>
      </c>
      <c r="AC30" s="52">
        <v>249.7</v>
      </c>
      <c r="AE30" s="51" t="s">
        <v>2424</v>
      </c>
      <c r="AF30" s="52">
        <v>159.19999999999999</v>
      </c>
      <c r="AH30" s="51" t="s">
        <v>2425</v>
      </c>
      <c r="AI30" s="52">
        <v>35.700000000000003</v>
      </c>
      <c r="AK30" s="51" t="s">
        <v>2426</v>
      </c>
      <c r="AL30" s="52">
        <v>81.5</v>
      </c>
    </row>
    <row r="31" spans="3:39" x14ac:dyDescent="0.35">
      <c r="C31" s="50"/>
      <c r="J31" s="51" t="s">
        <v>2417</v>
      </c>
      <c r="K31" s="52">
        <v>121</v>
      </c>
      <c r="M31" s="51" t="s">
        <v>2418</v>
      </c>
      <c r="N31" s="52">
        <v>184.2</v>
      </c>
      <c r="P31" s="51" t="s">
        <v>2419</v>
      </c>
      <c r="Q31" s="52">
        <v>57.5</v>
      </c>
      <c r="S31" s="51" t="s">
        <v>2420</v>
      </c>
      <c r="T31" s="52">
        <v>63.9</v>
      </c>
      <c r="V31" s="51" t="s">
        <v>2421</v>
      </c>
      <c r="W31" s="52">
        <v>191</v>
      </c>
      <c r="Y31" s="51" t="s">
        <v>2422</v>
      </c>
      <c r="Z31" s="52">
        <v>125.6</v>
      </c>
      <c r="AB31" s="51" t="s">
        <v>2423</v>
      </c>
      <c r="AC31" s="52">
        <v>37.1</v>
      </c>
      <c r="AE31" s="51" t="s">
        <v>2424</v>
      </c>
      <c r="AF31" s="52">
        <v>149.19999999999999</v>
      </c>
      <c r="AH31" s="51" t="s">
        <v>2425</v>
      </c>
      <c r="AI31" s="52">
        <v>143.6</v>
      </c>
      <c r="AK31" s="51" t="s">
        <v>2426</v>
      </c>
      <c r="AL31" s="52">
        <v>145.4</v>
      </c>
    </row>
    <row r="32" spans="3:39" x14ac:dyDescent="0.35">
      <c r="C32" s="50"/>
      <c r="J32" s="51" t="s">
        <v>2417</v>
      </c>
      <c r="K32" s="52">
        <v>0</v>
      </c>
      <c r="M32" s="51" t="s">
        <v>2418</v>
      </c>
      <c r="N32" s="52">
        <v>39.5</v>
      </c>
      <c r="P32" s="51" t="s">
        <v>2419</v>
      </c>
      <c r="Q32" s="52">
        <v>268.60000000000002</v>
      </c>
      <c r="S32" s="51" t="s">
        <v>2420</v>
      </c>
      <c r="T32" s="52">
        <v>119.4</v>
      </c>
      <c r="V32" s="51" t="s">
        <v>2421</v>
      </c>
      <c r="W32" s="52">
        <v>71.599999999999994</v>
      </c>
      <c r="Y32" s="51" t="s">
        <v>2422</v>
      </c>
      <c r="Z32" s="52">
        <v>191</v>
      </c>
      <c r="AB32" s="51" t="s">
        <v>2423</v>
      </c>
      <c r="AC32" s="52">
        <v>26.4</v>
      </c>
      <c r="AE32" s="51" t="s">
        <v>2424</v>
      </c>
      <c r="AF32" s="52">
        <v>92.4</v>
      </c>
      <c r="AH32" s="51" t="s">
        <v>2425</v>
      </c>
      <c r="AI32" s="52">
        <v>195.5</v>
      </c>
      <c r="AK32" s="51" t="s">
        <v>2426</v>
      </c>
      <c r="AL32" s="52">
        <v>41.9</v>
      </c>
    </row>
    <row r="33" spans="3:44" x14ac:dyDescent="0.35">
      <c r="C33" s="50"/>
      <c r="J33" s="51" t="s">
        <v>2417</v>
      </c>
      <c r="K33" s="52">
        <v>12.3</v>
      </c>
      <c r="M33" s="51" t="s">
        <v>2418</v>
      </c>
      <c r="N33" s="52">
        <v>1.7</v>
      </c>
      <c r="P33" s="51" t="s">
        <v>2419</v>
      </c>
      <c r="Q33" s="52">
        <v>5.8</v>
      </c>
      <c r="S33" s="51" t="s">
        <v>2420</v>
      </c>
      <c r="T33" s="52">
        <v>9.1</v>
      </c>
      <c r="V33" s="51" t="s">
        <v>2421</v>
      </c>
      <c r="W33" s="52">
        <v>1.2</v>
      </c>
      <c r="Y33" s="51" t="s">
        <v>2422</v>
      </c>
      <c r="Z33" s="52">
        <v>0.9</v>
      </c>
      <c r="AB33" s="51" t="s">
        <v>2423</v>
      </c>
      <c r="AC33" s="52">
        <v>163.30000000000001</v>
      </c>
      <c r="AE33" s="51" t="s">
        <v>2424</v>
      </c>
      <c r="AF33" s="52">
        <v>49.1</v>
      </c>
      <c r="AH33" s="51" t="s">
        <v>2425</v>
      </c>
      <c r="AI33" s="52">
        <v>0</v>
      </c>
      <c r="AK33" s="51" t="s">
        <v>2426</v>
      </c>
      <c r="AL33" s="52">
        <v>14.5</v>
      </c>
    </row>
    <row r="34" spans="3:44" x14ac:dyDescent="0.35">
      <c r="C34" s="50"/>
      <c r="J34" s="51" t="s">
        <v>2417</v>
      </c>
      <c r="K34" s="52">
        <v>0.2</v>
      </c>
      <c r="M34" s="51" t="s">
        <v>2418</v>
      </c>
      <c r="N34" s="52">
        <v>0</v>
      </c>
      <c r="P34" s="51" t="s">
        <v>2419</v>
      </c>
      <c r="Q34" s="52">
        <v>37</v>
      </c>
      <c r="S34" s="51" t="s">
        <v>2420</v>
      </c>
      <c r="T34" s="52">
        <v>0</v>
      </c>
      <c r="V34" s="51" t="s">
        <v>2421</v>
      </c>
      <c r="W34" s="52">
        <v>0</v>
      </c>
      <c r="Y34" s="51" t="s">
        <v>2422</v>
      </c>
      <c r="Z34" s="52">
        <v>0</v>
      </c>
      <c r="AB34" s="51" t="s">
        <v>2423</v>
      </c>
      <c r="AC34" s="52">
        <v>68.900000000000006</v>
      </c>
      <c r="AE34" s="51" t="s">
        <v>2424</v>
      </c>
      <c r="AF34" s="52">
        <v>0</v>
      </c>
      <c r="AH34" s="51" t="s">
        <v>2425</v>
      </c>
      <c r="AI34" s="52">
        <v>0</v>
      </c>
      <c r="AK34" s="51" t="s">
        <v>2426</v>
      </c>
      <c r="AL34" s="52">
        <v>8</v>
      </c>
    </row>
    <row r="35" spans="3:44" x14ac:dyDescent="0.35">
      <c r="C35" s="50"/>
      <c r="K35" s="48">
        <f>SUM(K23:K34)</f>
        <v>1013.3000000000001</v>
      </c>
      <c r="N35" s="48">
        <f>SUM(N23:N34)</f>
        <v>640.70000000000005</v>
      </c>
      <c r="Q35" s="48">
        <f>SUM(Q23:Q34)</f>
        <v>743.1</v>
      </c>
      <c r="T35" s="48">
        <f>SUM(T23:T34)</f>
        <v>966.2</v>
      </c>
      <c r="W35" s="48">
        <f>SUM(W23:W34)</f>
        <v>627.6</v>
      </c>
      <c r="Z35" s="48">
        <f>SUM(Z23:Z34)</f>
        <v>803.9</v>
      </c>
      <c r="AC35" s="48">
        <f>SUM(AC23:AC34)</f>
        <v>1025.8</v>
      </c>
      <c r="AF35" s="48">
        <f>SUM(AF23:AF34)</f>
        <v>800.7</v>
      </c>
      <c r="AI35" s="48">
        <f>SUM(AI23:AI34)</f>
        <v>732.69999999999993</v>
      </c>
      <c r="AL35" s="48">
        <f>SUM(AL23:AL34)</f>
        <v>558.29999999999995</v>
      </c>
    </row>
    <row r="36" spans="3:44" x14ac:dyDescent="0.35">
      <c r="C36" s="50"/>
      <c r="K36" s="48">
        <f>AVERAGE(K23:K34)</f>
        <v>84.441666666666677</v>
      </c>
      <c r="L36" s="48"/>
      <c r="M36" s="48"/>
      <c r="N36" s="48">
        <f t="shared" ref="N36:AL36" si="0">AVERAGE(N23:N34)</f>
        <v>53.391666666666673</v>
      </c>
      <c r="O36" s="48"/>
      <c r="P36" s="48"/>
      <c r="Q36" s="48">
        <f t="shared" si="0"/>
        <v>61.925000000000004</v>
      </c>
      <c r="R36" s="48"/>
      <c r="S36" s="48"/>
      <c r="T36" s="48">
        <f t="shared" si="0"/>
        <v>80.516666666666666</v>
      </c>
      <c r="U36" s="48"/>
      <c r="V36" s="48"/>
      <c r="W36" s="48">
        <f t="shared" si="0"/>
        <v>52.300000000000004</v>
      </c>
      <c r="X36" s="48"/>
      <c r="Y36" s="48"/>
      <c r="Z36" s="48">
        <f t="shared" si="0"/>
        <v>66.99166666666666</v>
      </c>
      <c r="AA36" s="48"/>
      <c r="AB36" s="48"/>
      <c r="AC36" s="48">
        <f t="shared" si="0"/>
        <v>85.483333333333334</v>
      </c>
      <c r="AD36" s="48"/>
      <c r="AE36" s="48"/>
      <c r="AF36" s="48">
        <f t="shared" si="0"/>
        <v>66.725000000000009</v>
      </c>
      <c r="AG36" s="48"/>
      <c r="AH36" s="48"/>
      <c r="AI36" s="48">
        <f t="shared" si="0"/>
        <v>61.05833333333333</v>
      </c>
      <c r="AJ36" s="48"/>
      <c r="AK36" s="48"/>
      <c r="AL36" s="48">
        <f t="shared" si="0"/>
        <v>46.524999999999999</v>
      </c>
    </row>
    <row r="37" spans="3:44" x14ac:dyDescent="0.35">
      <c r="C37" s="50"/>
    </row>
    <row r="38" spans="3:44" x14ac:dyDescent="0.35">
      <c r="C38" s="50"/>
    </row>
    <row r="39" spans="3:44" x14ac:dyDescent="0.35">
      <c r="C39" s="50"/>
      <c r="J39" s="51" t="s">
        <v>2427</v>
      </c>
      <c r="K39" s="52">
        <v>6.6</v>
      </c>
      <c r="M39" s="51" t="s">
        <v>2428</v>
      </c>
      <c r="N39" s="52">
        <v>0</v>
      </c>
      <c r="P39" s="51" t="s">
        <v>2429</v>
      </c>
      <c r="Q39" s="52">
        <v>0</v>
      </c>
      <c r="S39" s="51" t="s">
        <v>2430</v>
      </c>
      <c r="T39" s="52">
        <v>0</v>
      </c>
      <c r="V39" s="51" t="s">
        <v>2431</v>
      </c>
      <c r="W39" s="52">
        <v>10</v>
      </c>
      <c r="Y39" s="51" t="s">
        <v>2432</v>
      </c>
      <c r="Z39" s="52">
        <v>0</v>
      </c>
      <c r="AB39" s="51" t="s">
        <v>2433</v>
      </c>
      <c r="AC39" s="52">
        <v>0</v>
      </c>
      <c r="AE39" s="51" t="s">
        <v>2434</v>
      </c>
      <c r="AF39" s="52">
        <v>0</v>
      </c>
      <c r="AH39">
        <v>2009</v>
      </c>
      <c r="AJ39">
        <v>0</v>
      </c>
      <c r="AK39">
        <v>2010</v>
      </c>
      <c r="AL39">
        <v>0.7</v>
      </c>
      <c r="AN39">
        <v>2011</v>
      </c>
      <c r="AO39">
        <v>0</v>
      </c>
      <c r="AQ39">
        <v>2012</v>
      </c>
      <c r="AR39" s="19">
        <v>0</v>
      </c>
    </row>
    <row r="40" spans="3:44" x14ac:dyDescent="0.35">
      <c r="C40" s="50"/>
      <c r="J40" s="51" t="s">
        <v>2427</v>
      </c>
      <c r="K40" s="52">
        <v>0</v>
      </c>
      <c r="M40" s="51" t="s">
        <v>2428</v>
      </c>
      <c r="N40" s="52">
        <v>0</v>
      </c>
      <c r="P40" s="51" t="s">
        <v>2429</v>
      </c>
      <c r="Q40" s="52">
        <v>3.2</v>
      </c>
      <c r="S40" s="51" t="s">
        <v>2430</v>
      </c>
      <c r="T40" s="52">
        <v>0</v>
      </c>
      <c r="V40" s="51" t="s">
        <v>2431</v>
      </c>
      <c r="W40" s="52">
        <v>0</v>
      </c>
      <c r="Y40" s="51" t="s">
        <v>2432</v>
      </c>
      <c r="Z40" s="52">
        <v>0</v>
      </c>
      <c r="AB40" s="51" t="s">
        <v>2433</v>
      </c>
      <c r="AC40" s="52">
        <v>0</v>
      </c>
      <c r="AE40" s="51" t="s">
        <v>2434</v>
      </c>
      <c r="AF40" s="52">
        <v>0</v>
      </c>
      <c r="AH40">
        <v>2009</v>
      </c>
      <c r="AJ40">
        <v>0</v>
      </c>
      <c r="AK40">
        <v>2010</v>
      </c>
      <c r="AL40">
        <v>0</v>
      </c>
      <c r="AN40">
        <v>2011</v>
      </c>
      <c r="AO40">
        <v>0</v>
      </c>
      <c r="AQ40">
        <v>2012</v>
      </c>
      <c r="AR40" s="19">
        <v>0</v>
      </c>
    </row>
    <row r="41" spans="3:44" x14ac:dyDescent="0.35">
      <c r="C41" s="50"/>
      <c r="J41" s="51" t="s">
        <v>2427</v>
      </c>
      <c r="K41" s="52">
        <v>0</v>
      </c>
      <c r="M41" s="51" t="s">
        <v>2428</v>
      </c>
      <c r="N41" s="52">
        <v>0</v>
      </c>
      <c r="P41" s="51" t="s">
        <v>2429</v>
      </c>
      <c r="Q41" s="52">
        <v>0</v>
      </c>
      <c r="S41" s="51" t="s">
        <v>2430</v>
      </c>
      <c r="T41" s="52">
        <v>0</v>
      </c>
      <c r="V41" s="51" t="s">
        <v>2431</v>
      </c>
      <c r="W41" s="52">
        <v>0.4</v>
      </c>
      <c r="Y41" s="51" t="s">
        <v>2432</v>
      </c>
      <c r="Z41" s="52">
        <v>4.0999999999999996</v>
      </c>
      <c r="AB41" s="51" t="s">
        <v>2433</v>
      </c>
      <c r="AC41" s="52">
        <v>0</v>
      </c>
      <c r="AE41" s="51" t="s">
        <v>2434</v>
      </c>
      <c r="AF41" s="52">
        <v>25</v>
      </c>
      <c r="AH41">
        <v>2009</v>
      </c>
      <c r="AJ41">
        <v>0.1</v>
      </c>
      <c r="AK41">
        <v>2010</v>
      </c>
      <c r="AL41">
        <v>23.1</v>
      </c>
      <c r="AN41">
        <v>2011</v>
      </c>
      <c r="AO41">
        <v>0</v>
      </c>
      <c r="AQ41">
        <v>2012</v>
      </c>
      <c r="AR41" s="19">
        <v>0</v>
      </c>
    </row>
    <row r="42" spans="3:44" x14ac:dyDescent="0.35">
      <c r="C42" s="50"/>
      <c r="J42" s="51" t="s">
        <v>2427</v>
      </c>
      <c r="K42" s="52">
        <v>2.5</v>
      </c>
      <c r="M42" s="51" t="s">
        <v>2428</v>
      </c>
      <c r="N42" s="52">
        <v>6</v>
      </c>
      <c r="P42" s="51" t="s">
        <v>2429</v>
      </c>
      <c r="Q42" s="52">
        <v>1.4</v>
      </c>
      <c r="S42" s="51" t="s">
        <v>2430</v>
      </c>
      <c r="T42" s="52">
        <v>0</v>
      </c>
      <c r="V42" s="51" t="s">
        <v>2431</v>
      </c>
      <c r="W42" s="52">
        <v>36.700000000000003</v>
      </c>
      <c r="Y42" s="51" t="s">
        <v>2432</v>
      </c>
      <c r="Z42" s="52">
        <v>0</v>
      </c>
      <c r="AB42" s="51" t="s">
        <v>2433</v>
      </c>
      <c r="AC42" s="52">
        <v>8.1</v>
      </c>
      <c r="AE42" s="51" t="s">
        <v>2434</v>
      </c>
      <c r="AF42" s="52">
        <v>0</v>
      </c>
      <c r="AH42">
        <v>2009</v>
      </c>
      <c r="AJ42">
        <v>0</v>
      </c>
      <c r="AK42">
        <v>2010</v>
      </c>
      <c r="AL42">
        <v>0.3</v>
      </c>
      <c r="AN42">
        <v>2011</v>
      </c>
      <c r="AO42">
        <v>25.6</v>
      </c>
      <c r="AQ42">
        <v>2012</v>
      </c>
      <c r="AR42" s="19">
        <v>0.2</v>
      </c>
    </row>
    <row r="43" spans="3:44" x14ac:dyDescent="0.35">
      <c r="C43" s="50"/>
      <c r="J43" s="51" t="s">
        <v>2427</v>
      </c>
      <c r="K43" s="52">
        <v>4.4000000000000004</v>
      </c>
      <c r="M43" s="51" t="s">
        <v>2428</v>
      </c>
      <c r="N43" s="52">
        <v>18.2</v>
      </c>
      <c r="P43" s="51" t="s">
        <v>2429</v>
      </c>
      <c r="Q43" s="52">
        <v>0</v>
      </c>
      <c r="S43" s="51" t="s">
        <v>2430</v>
      </c>
      <c r="T43" s="52">
        <v>73.099999999999994</v>
      </c>
      <c r="V43" s="51" t="s">
        <v>2431</v>
      </c>
      <c r="W43" s="52">
        <v>32</v>
      </c>
      <c r="Y43" s="51" t="s">
        <v>2432</v>
      </c>
      <c r="Z43" s="52">
        <v>64.599999999999994</v>
      </c>
      <c r="AB43" s="51" t="s">
        <v>2433</v>
      </c>
      <c r="AC43" s="52">
        <v>3.8</v>
      </c>
      <c r="AE43" s="51" t="s">
        <v>2434</v>
      </c>
      <c r="AF43" s="52">
        <v>0</v>
      </c>
      <c r="AH43">
        <v>2009</v>
      </c>
      <c r="AJ43">
        <v>0</v>
      </c>
      <c r="AK43">
        <v>2010</v>
      </c>
      <c r="AL43">
        <v>5.6</v>
      </c>
      <c r="AN43">
        <v>2011</v>
      </c>
      <c r="AO43">
        <v>1.2</v>
      </c>
      <c r="AQ43">
        <v>2012</v>
      </c>
      <c r="AR43" s="19">
        <v>0</v>
      </c>
    </row>
    <row r="44" spans="3:44" x14ac:dyDescent="0.35">
      <c r="C44" s="50"/>
      <c r="J44" s="51" t="s">
        <v>2427</v>
      </c>
      <c r="K44" s="52">
        <v>78.599999999999994</v>
      </c>
      <c r="M44" s="51" t="s">
        <v>2428</v>
      </c>
      <c r="N44" s="52">
        <v>201.4</v>
      </c>
      <c r="P44" s="51" t="s">
        <v>2429</v>
      </c>
      <c r="Q44" s="52">
        <v>163</v>
      </c>
      <c r="S44" s="51" t="s">
        <v>2430</v>
      </c>
      <c r="T44" s="52">
        <v>224.2</v>
      </c>
      <c r="V44" s="51" t="s">
        <v>2431</v>
      </c>
      <c r="W44" s="52">
        <v>292.7</v>
      </c>
      <c r="Y44" s="51" t="s">
        <v>2432</v>
      </c>
      <c r="Z44" s="52">
        <v>150.19999999999999</v>
      </c>
      <c r="AB44" s="51" t="s">
        <v>2433</v>
      </c>
      <c r="AC44" s="52">
        <v>232.2</v>
      </c>
      <c r="AE44" s="51" t="s">
        <v>2434</v>
      </c>
      <c r="AF44" s="52">
        <v>127.1</v>
      </c>
      <c r="AH44">
        <v>2009</v>
      </c>
      <c r="AJ44">
        <v>3.9</v>
      </c>
      <c r="AK44">
        <v>2010</v>
      </c>
      <c r="AL44">
        <v>238.4</v>
      </c>
      <c r="AN44">
        <v>2011</v>
      </c>
      <c r="AO44">
        <v>192.8</v>
      </c>
      <c r="AQ44">
        <v>2012</v>
      </c>
      <c r="AR44" s="19">
        <v>1.2</v>
      </c>
    </row>
    <row r="45" spans="3:44" x14ac:dyDescent="0.35">
      <c r="C45" s="50"/>
      <c r="J45" s="51" t="s">
        <v>2427</v>
      </c>
      <c r="K45" s="52">
        <v>118.8</v>
      </c>
      <c r="M45" s="51" t="s">
        <v>2428</v>
      </c>
      <c r="N45" s="52">
        <v>31.8</v>
      </c>
      <c r="P45" s="51" t="s">
        <v>2429</v>
      </c>
      <c r="Q45" s="52">
        <v>92.8</v>
      </c>
      <c r="S45" s="51" t="s">
        <v>2430</v>
      </c>
      <c r="T45" s="52">
        <v>59.7</v>
      </c>
      <c r="V45" s="51" t="s">
        <v>2431</v>
      </c>
      <c r="W45" s="52">
        <v>334.3</v>
      </c>
      <c r="Y45" s="51" t="s">
        <v>2432</v>
      </c>
      <c r="Z45" s="52">
        <v>404.9</v>
      </c>
      <c r="AB45" s="51" t="s">
        <v>2433</v>
      </c>
      <c r="AC45" s="52">
        <v>297.60000000000002</v>
      </c>
      <c r="AE45" s="51" t="s">
        <v>2434</v>
      </c>
      <c r="AF45" s="52">
        <v>96.4</v>
      </c>
      <c r="AH45">
        <v>2009</v>
      </c>
      <c r="AJ45">
        <v>8.6999999999999993</v>
      </c>
      <c r="AK45">
        <v>2010</v>
      </c>
      <c r="AL45">
        <v>193</v>
      </c>
      <c r="AN45">
        <v>2011</v>
      </c>
      <c r="AO45">
        <v>211.4</v>
      </c>
      <c r="AQ45">
        <v>2012</v>
      </c>
      <c r="AR45" s="19">
        <v>2.4</v>
      </c>
    </row>
    <row r="46" spans="3:44" x14ac:dyDescent="0.35">
      <c r="C46" s="50"/>
      <c r="J46" s="51" t="s">
        <v>2427</v>
      </c>
      <c r="K46" s="52">
        <v>76.3</v>
      </c>
      <c r="M46" s="51" t="s">
        <v>2428</v>
      </c>
      <c r="N46" s="52">
        <v>106.8</v>
      </c>
      <c r="P46" s="51" t="s">
        <v>2429</v>
      </c>
      <c r="Q46" s="52">
        <v>84</v>
      </c>
      <c r="S46" s="51" t="s">
        <v>2430</v>
      </c>
      <c r="T46" s="52">
        <v>330.3</v>
      </c>
      <c r="V46" s="51" t="s">
        <v>2431</v>
      </c>
      <c r="W46" s="52">
        <v>232.4</v>
      </c>
      <c r="Y46" s="51" t="s">
        <v>2432</v>
      </c>
      <c r="Z46" s="52">
        <v>378</v>
      </c>
      <c r="AB46" s="51" t="s">
        <v>2433</v>
      </c>
      <c r="AC46" s="52">
        <v>159.9</v>
      </c>
      <c r="AE46" s="51" t="s">
        <v>2434</v>
      </c>
      <c r="AF46" s="52">
        <v>157.69999999999999</v>
      </c>
      <c r="AH46">
        <v>2009</v>
      </c>
      <c r="AJ46">
        <v>7.9</v>
      </c>
      <c r="AK46">
        <v>2010</v>
      </c>
      <c r="AL46">
        <v>178.8</v>
      </c>
      <c r="AN46">
        <v>2011</v>
      </c>
      <c r="AO46">
        <v>99.4</v>
      </c>
      <c r="AQ46">
        <v>2012</v>
      </c>
      <c r="AR46" s="19">
        <v>6.6</v>
      </c>
    </row>
    <row r="47" spans="3:44" x14ac:dyDescent="0.35">
      <c r="J47" s="51" t="s">
        <v>2427</v>
      </c>
      <c r="K47" s="52">
        <v>99.4</v>
      </c>
      <c r="M47" s="51" t="s">
        <v>2428</v>
      </c>
      <c r="N47" s="52">
        <v>46.9</v>
      </c>
      <c r="P47" s="51" t="s">
        <v>2429</v>
      </c>
      <c r="Q47" s="52">
        <v>39.5</v>
      </c>
      <c r="S47" s="51" t="s">
        <v>2430</v>
      </c>
      <c r="T47" s="52">
        <v>206.8</v>
      </c>
      <c r="V47" s="51" t="s">
        <v>2431</v>
      </c>
      <c r="W47" s="52">
        <v>303.89999999999998</v>
      </c>
      <c r="Y47" s="51" t="s">
        <v>2432</v>
      </c>
      <c r="Z47" s="52">
        <v>170.7</v>
      </c>
      <c r="AB47" s="51" t="s">
        <v>2433</v>
      </c>
      <c r="AC47" s="52">
        <v>149.19999999999999</v>
      </c>
      <c r="AE47" s="51" t="s">
        <v>2434</v>
      </c>
      <c r="AF47" s="52">
        <v>295.60000000000002</v>
      </c>
      <c r="AH47">
        <v>2009</v>
      </c>
      <c r="AJ47">
        <v>2.6</v>
      </c>
      <c r="AK47">
        <v>2010</v>
      </c>
      <c r="AL47">
        <v>114</v>
      </c>
      <c r="AN47">
        <v>2011</v>
      </c>
      <c r="AO47">
        <v>210.7</v>
      </c>
      <c r="AQ47">
        <v>2012</v>
      </c>
      <c r="AR47" s="19">
        <v>1.8</v>
      </c>
    </row>
    <row r="48" spans="3:44" x14ac:dyDescent="0.35">
      <c r="J48" s="51" t="s">
        <v>2427</v>
      </c>
      <c r="K48" s="52">
        <v>138.80000000000001</v>
      </c>
      <c r="M48" s="51" t="s">
        <v>2428</v>
      </c>
      <c r="N48" s="52">
        <v>13.1</v>
      </c>
      <c r="P48" s="51" t="s">
        <v>2429</v>
      </c>
      <c r="Q48" s="52">
        <v>72.8</v>
      </c>
      <c r="S48" s="51" t="s">
        <v>2430</v>
      </c>
      <c r="T48" s="52">
        <v>5.6</v>
      </c>
      <c r="V48" s="51" t="s">
        <v>2431</v>
      </c>
      <c r="W48" s="52">
        <v>96</v>
      </c>
      <c r="Y48" s="51" t="s">
        <v>2432</v>
      </c>
      <c r="Z48" s="52">
        <v>50.9</v>
      </c>
      <c r="AB48" s="51" t="s">
        <v>2433</v>
      </c>
      <c r="AC48" s="52">
        <v>3.2</v>
      </c>
      <c r="AE48" s="51" t="s">
        <v>2434</v>
      </c>
      <c r="AF48" s="52">
        <v>30</v>
      </c>
      <c r="AH48">
        <v>2009</v>
      </c>
      <c r="AJ48">
        <v>3.4</v>
      </c>
      <c r="AK48">
        <v>2010</v>
      </c>
      <c r="AL48">
        <v>262.8</v>
      </c>
      <c r="AN48">
        <v>2011</v>
      </c>
      <c r="AO48">
        <v>200.4</v>
      </c>
      <c r="AQ48">
        <v>2012</v>
      </c>
      <c r="AR48" s="19">
        <v>4.5999999999999996</v>
      </c>
    </row>
    <row r="49" spans="6:44" x14ac:dyDescent="0.35">
      <c r="J49" s="51" t="s">
        <v>2427</v>
      </c>
      <c r="K49" s="52">
        <v>23.2</v>
      </c>
      <c r="M49" s="51" t="s">
        <v>2428</v>
      </c>
      <c r="N49" s="52">
        <v>0.5</v>
      </c>
      <c r="P49" s="51" t="s">
        <v>2429</v>
      </c>
      <c r="Q49" s="52">
        <v>2.2999999999999998</v>
      </c>
      <c r="S49" s="51" t="s">
        <v>2430</v>
      </c>
      <c r="T49" s="52">
        <v>13.6</v>
      </c>
      <c r="V49" s="51" t="s">
        <v>2431</v>
      </c>
      <c r="W49" s="52">
        <v>0</v>
      </c>
      <c r="Y49" s="51" t="s">
        <v>2432</v>
      </c>
      <c r="Z49" s="52">
        <v>43.5</v>
      </c>
      <c r="AB49" s="51" t="s">
        <v>2433</v>
      </c>
      <c r="AC49" s="52">
        <v>10.5</v>
      </c>
      <c r="AE49" s="51" t="s">
        <v>2434</v>
      </c>
      <c r="AF49" s="52">
        <v>0.5</v>
      </c>
      <c r="AH49">
        <v>2009</v>
      </c>
      <c r="AJ49">
        <v>5.9</v>
      </c>
      <c r="AK49">
        <v>2010</v>
      </c>
      <c r="AL49">
        <v>41.6</v>
      </c>
      <c r="AN49">
        <v>2011</v>
      </c>
      <c r="AO49">
        <v>0</v>
      </c>
      <c r="AQ49">
        <v>2012</v>
      </c>
      <c r="AR49" s="19">
        <v>0</v>
      </c>
    </row>
    <row r="50" spans="6:44" x14ac:dyDescent="0.35">
      <c r="J50" s="51" t="s">
        <v>2427</v>
      </c>
      <c r="K50" s="52">
        <v>0</v>
      </c>
      <c r="M50" s="51" t="s">
        <v>2428</v>
      </c>
      <c r="N50" s="52">
        <v>0</v>
      </c>
      <c r="P50" s="51" t="s">
        <v>2429</v>
      </c>
      <c r="Q50" s="52">
        <v>0</v>
      </c>
      <c r="S50" s="51" t="s">
        <v>2430</v>
      </c>
      <c r="T50" s="52">
        <v>0</v>
      </c>
      <c r="V50" s="51" t="s">
        <v>2431</v>
      </c>
      <c r="W50" s="52">
        <v>0</v>
      </c>
      <c r="Y50" s="51" t="s">
        <v>2432</v>
      </c>
      <c r="Z50" s="52">
        <v>0</v>
      </c>
      <c r="AB50" s="51" t="s">
        <v>2433</v>
      </c>
      <c r="AC50" s="52">
        <v>0</v>
      </c>
      <c r="AE50" s="51" t="s">
        <v>2434</v>
      </c>
      <c r="AF50" s="52">
        <v>24.3</v>
      </c>
      <c r="AH50">
        <v>2009</v>
      </c>
      <c r="AJ50">
        <v>0</v>
      </c>
      <c r="AK50">
        <v>2010</v>
      </c>
      <c r="AL50">
        <v>0</v>
      </c>
      <c r="AN50">
        <v>2011</v>
      </c>
      <c r="AO50">
        <v>0</v>
      </c>
      <c r="AQ50">
        <v>2012</v>
      </c>
      <c r="AR50" s="19">
        <v>0</v>
      </c>
    </row>
    <row r="51" spans="6:44" x14ac:dyDescent="0.35">
      <c r="K51" s="48">
        <f>SUM(K39:K50)</f>
        <v>548.60000000000014</v>
      </c>
      <c r="N51" s="48">
        <f>SUM(N39:N50)</f>
        <v>424.7</v>
      </c>
      <c r="Q51" s="48">
        <f>SUM(Q39:Q50)</f>
        <v>459</v>
      </c>
      <c r="T51" s="48">
        <f>SUM(T39:T50)</f>
        <v>913.3</v>
      </c>
      <c r="W51" s="48">
        <f>SUM(W39:W50)</f>
        <v>1338.3999999999999</v>
      </c>
      <c r="Z51" s="48">
        <f>SUM(Z39:Z50)</f>
        <v>1266.9000000000001</v>
      </c>
      <c r="AC51" s="48">
        <f>SUM(AC39:AC50)</f>
        <v>864.5</v>
      </c>
      <c r="AF51" s="48">
        <f>SUM(AF39:AF50)</f>
        <v>756.59999999999991</v>
      </c>
      <c r="AJ51">
        <f>SUM(AJ39:AJ50)</f>
        <v>32.5</v>
      </c>
      <c r="AL51">
        <f>SUM(AL39:AL50)</f>
        <v>1058.3</v>
      </c>
      <c r="AO51">
        <f>SUM(AO39:AO50)</f>
        <v>941.49999999999989</v>
      </c>
      <c r="AR51" s="19">
        <f>SUM(AR39:AR50)</f>
        <v>16.799999999999997</v>
      </c>
    </row>
    <row r="52" spans="6:44" x14ac:dyDescent="0.35">
      <c r="K52" s="48">
        <f>AVERAGE(K39:K50)</f>
        <v>45.716666666666676</v>
      </c>
      <c r="L52" s="48"/>
      <c r="M52" s="48"/>
      <c r="N52" s="48">
        <f t="shared" ref="N52:AR52" si="1">AVERAGE(N39:N50)</f>
        <v>35.391666666666666</v>
      </c>
      <c r="O52" s="48"/>
      <c r="P52" s="48"/>
      <c r="Q52" s="48">
        <f t="shared" si="1"/>
        <v>38.25</v>
      </c>
      <c r="R52" s="48"/>
      <c r="S52" s="48"/>
      <c r="T52" s="48">
        <f t="shared" si="1"/>
        <v>76.108333333333334</v>
      </c>
      <c r="U52" s="48"/>
      <c r="V52" s="48"/>
      <c r="W52" s="48">
        <f t="shared" si="1"/>
        <v>111.53333333333332</v>
      </c>
      <c r="X52" s="48"/>
      <c r="Y52" s="48"/>
      <c r="Z52" s="48">
        <f t="shared" si="1"/>
        <v>105.575</v>
      </c>
      <c r="AA52" s="48"/>
      <c r="AB52" s="48"/>
      <c r="AC52" s="48">
        <f t="shared" si="1"/>
        <v>72.041666666666671</v>
      </c>
      <c r="AD52" s="48"/>
      <c r="AE52" s="48"/>
      <c r="AF52" s="48">
        <f t="shared" si="1"/>
        <v>63.04999999999999</v>
      </c>
      <c r="AG52" s="48"/>
      <c r="AH52" s="48"/>
      <c r="AI52" s="48"/>
      <c r="AJ52" s="48">
        <f t="shared" si="1"/>
        <v>2.7083333333333335</v>
      </c>
      <c r="AK52" s="48"/>
      <c r="AL52" s="48">
        <f t="shared" si="1"/>
        <v>88.191666666666663</v>
      </c>
      <c r="AM52" s="48"/>
      <c r="AN52" s="48"/>
      <c r="AO52" s="48">
        <f t="shared" si="1"/>
        <v>78.458333333333329</v>
      </c>
      <c r="AP52" s="48"/>
      <c r="AQ52" s="48"/>
      <c r="AR52" s="48">
        <f t="shared" si="1"/>
        <v>1.3999999999999997</v>
      </c>
    </row>
    <row r="57" spans="6:44" x14ac:dyDescent="0.35">
      <c r="G57" t="s">
        <v>2399</v>
      </c>
      <c r="J57" s="56" t="s">
        <v>2440</v>
      </c>
    </row>
    <row r="58" spans="6:44" x14ac:dyDescent="0.35">
      <c r="F58">
        <v>1981</v>
      </c>
      <c r="G58">
        <v>66</v>
      </c>
      <c r="I58">
        <v>1981</v>
      </c>
      <c r="J58">
        <v>792.5</v>
      </c>
    </row>
    <row r="59" spans="6:44" x14ac:dyDescent="0.35">
      <c r="F59">
        <v>1982</v>
      </c>
      <c r="G59">
        <v>46</v>
      </c>
      <c r="I59">
        <v>1982</v>
      </c>
      <c r="J59">
        <v>551.80000000000007</v>
      </c>
    </row>
    <row r="60" spans="6:44" x14ac:dyDescent="0.35">
      <c r="F60">
        <v>1983</v>
      </c>
      <c r="G60">
        <v>63.5</v>
      </c>
      <c r="I60">
        <v>1983</v>
      </c>
      <c r="J60" s="10">
        <v>762.1</v>
      </c>
    </row>
    <row r="61" spans="6:44" x14ac:dyDescent="0.35">
      <c r="F61">
        <v>1984</v>
      </c>
      <c r="G61">
        <v>75.5</v>
      </c>
      <c r="I61">
        <v>1984</v>
      </c>
      <c r="J61" s="10">
        <v>906.3</v>
      </c>
    </row>
    <row r="62" spans="6:44" x14ac:dyDescent="0.35">
      <c r="F62">
        <v>1985</v>
      </c>
      <c r="G62">
        <v>52.4</v>
      </c>
      <c r="I62">
        <v>1985</v>
      </c>
      <c r="J62" s="48">
        <v>629.09999999999991</v>
      </c>
    </row>
    <row r="63" spans="6:44" x14ac:dyDescent="0.35">
      <c r="F63">
        <v>1986</v>
      </c>
      <c r="G63">
        <v>47.5</v>
      </c>
      <c r="I63">
        <v>1986</v>
      </c>
      <c r="J63" s="10">
        <v>570.1</v>
      </c>
    </row>
    <row r="64" spans="6:44" x14ac:dyDescent="0.35">
      <c r="F64">
        <v>1987</v>
      </c>
      <c r="G64">
        <v>59.9</v>
      </c>
      <c r="I64">
        <v>1987</v>
      </c>
      <c r="J64" s="10">
        <v>718.9</v>
      </c>
    </row>
    <row r="65" spans="6:10" x14ac:dyDescent="0.35">
      <c r="F65">
        <v>1988</v>
      </c>
      <c r="G65">
        <v>78.8</v>
      </c>
      <c r="I65">
        <v>1988</v>
      </c>
      <c r="J65" s="48">
        <v>946</v>
      </c>
    </row>
    <row r="66" spans="6:10" x14ac:dyDescent="0.35">
      <c r="F66">
        <v>1989</v>
      </c>
      <c r="G66">
        <v>55.7</v>
      </c>
      <c r="I66">
        <v>1989</v>
      </c>
      <c r="J66" s="10">
        <v>668.6</v>
      </c>
    </row>
    <row r="67" spans="6:10" x14ac:dyDescent="0.35">
      <c r="F67">
        <v>1990</v>
      </c>
      <c r="G67">
        <v>75.2</v>
      </c>
      <c r="I67">
        <v>1990</v>
      </c>
      <c r="J67" s="10">
        <v>902.4</v>
      </c>
    </row>
    <row r="68" spans="6:10" x14ac:dyDescent="0.35">
      <c r="F68">
        <v>1991</v>
      </c>
      <c r="G68">
        <v>84.4</v>
      </c>
      <c r="I68">
        <v>1991</v>
      </c>
      <c r="J68" s="10">
        <v>1013.3</v>
      </c>
    </row>
    <row r="69" spans="6:10" x14ac:dyDescent="0.35">
      <c r="F69">
        <v>1992</v>
      </c>
      <c r="G69">
        <v>53.4</v>
      </c>
      <c r="I69">
        <v>1992</v>
      </c>
      <c r="J69" s="10">
        <v>640.70000000000005</v>
      </c>
    </row>
    <row r="70" spans="6:10" x14ac:dyDescent="0.35">
      <c r="F70">
        <v>1993</v>
      </c>
      <c r="G70">
        <v>61.9</v>
      </c>
      <c r="I70">
        <v>1993</v>
      </c>
      <c r="J70" s="10">
        <v>743.1</v>
      </c>
    </row>
    <row r="71" spans="6:10" x14ac:dyDescent="0.35">
      <c r="F71">
        <v>1994</v>
      </c>
      <c r="G71">
        <v>80.5</v>
      </c>
      <c r="I71">
        <v>1994</v>
      </c>
      <c r="J71" s="10">
        <v>966.2</v>
      </c>
    </row>
    <row r="72" spans="6:10" x14ac:dyDescent="0.35">
      <c r="F72">
        <v>1995</v>
      </c>
      <c r="G72">
        <v>53.3</v>
      </c>
      <c r="I72">
        <v>1995</v>
      </c>
      <c r="J72" s="10">
        <v>627.6</v>
      </c>
    </row>
    <row r="73" spans="6:10" x14ac:dyDescent="0.35">
      <c r="F73">
        <v>1996</v>
      </c>
      <c r="G73">
        <v>67</v>
      </c>
      <c r="I73">
        <v>1996</v>
      </c>
      <c r="J73" s="10">
        <v>803.9</v>
      </c>
    </row>
    <row r="74" spans="6:10" x14ac:dyDescent="0.35">
      <c r="F74">
        <v>1997</v>
      </c>
      <c r="G74">
        <v>85.5</v>
      </c>
      <c r="I74">
        <v>1997</v>
      </c>
      <c r="J74" s="10">
        <v>1025.8</v>
      </c>
    </row>
    <row r="75" spans="6:10" x14ac:dyDescent="0.35">
      <c r="F75">
        <v>1998</v>
      </c>
      <c r="G75">
        <v>66.7</v>
      </c>
      <c r="I75">
        <v>1998</v>
      </c>
      <c r="J75" s="10">
        <v>800.7</v>
      </c>
    </row>
    <row r="76" spans="6:10" x14ac:dyDescent="0.35">
      <c r="F76">
        <v>1999</v>
      </c>
      <c r="G76">
        <v>61.1</v>
      </c>
      <c r="I76">
        <v>1999</v>
      </c>
      <c r="J76" s="10">
        <v>732.7</v>
      </c>
    </row>
    <row r="77" spans="6:10" x14ac:dyDescent="0.35">
      <c r="F77">
        <v>2000</v>
      </c>
      <c r="G77">
        <v>46.5</v>
      </c>
      <c r="I77">
        <v>2000</v>
      </c>
      <c r="J77" s="10">
        <v>558.29999999999995</v>
      </c>
    </row>
    <row r="78" spans="6:10" x14ac:dyDescent="0.35">
      <c r="F78">
        <v>2001</v>
      </c>
      <c r="G78">
        <v>45.7</v>
      </c>
      <c r="I78">
        <v>2001</v>
      </c>
      <c r="J78" s="10">
        <v>548.6</v>
      </c>
    </row>
    <row r="79" spans="6:10" x14ac:dyDescent="0.35">
      <c r="F79">
        <v>2002</v>
      </c>
      <c r="G79">
        <v>34.4</v>
      </c>
      <c r="I79">
        <v>2002</v>
      </c>
      <c r="J79" s="10">
        <v>424.7</v>
      </c>
    </row>
    <row r="80" spans="6:10" x14ac:dyDescent="0.35">
      <c r="F80">
        <v>2003</v>
      </c>
      <c r="G80">
        <v>38.299999999999997</v>
      </c>
      <c r="I80">
        <v>2003</v>
      </c>
      <c r="J80" s="48">
        <v>459</v>
      </c>
    </row>
    <row r="81" spans="6:10" x14ac:dyDescent="0.35">
      <c r="F81">
        <v>2004</v>
      </c>
      <c r="G81">
        <v>76.099999999999994</v>
      </c>
      <c r="I81">
        <v>2004</v>
      </c>
      <c r="J81" s="10">
        <v>913.3</v>
      </c>
    </row>
    <row r="82" spans="6:10" x14ac:dyDescent="0.35">
      <c r="F82">
        <v>2005</v>
      </c>
      <c r="G82">
        <v>111.5</v>
      </c>
      <c r="I82">
        <v>2005</v>
      </c>
      <c r="J82" s="10">
        <v>1338.4</v>
      </c>
    </row>
    <row r="83" spans="6:10" x14ac:dyDescent="0.35">
      <c r="F83">
        <v>2006</v>
      </c>
      <c r="G83">
        <v>105</v>
      </c>
      <c r="I83">
        <v>2006</v>
      </c>
      <c r="J83" s="10">
        <v>1266.9000000000001</v>
      </c>
    </row>
    <row r="84" spans="6:10" x14ac:dyDescent="0.35">
      <c r="F84">
        <v>2007</v>
      </c>
      <c r="G84">
        <v>72</v>
      </c>
      <c r="I84">
        <v>2007</v>
      </c>
      <c r="J84" s="10">
        <v>864.5</v>
      </c>
    </row>
    <row r="85" spans="6:10" x14ac:dyDescent="0.35">
      <c r="F85">
        <v>2008</v>
      </c>
      <c r="G85">
        <v>63.1</v>
      </c>
      <c r="I85">
        <v>2008</v>
      </c>
      <c r="J85" s="10">
        <v>756.6</v>
      </c>
    </row>
    <row r="86" spans="6:10" x14ac:dyDescent="0.35">
      <c r="F86">
        <v>2009</v>
      </c>
      <c r="G86">
        <v>68.599999999999994</v>
      </c>
      <c r="I86">
        <v>2009</v>
      </c>
      <c r="J86" s="10">
        <v>823.2</v>
      </c>
    </row>
    <row r="87" spans="6:10" x14ac:dyDescent="0.35">
      <c r="F87">
        <v>2010</v>
      </c>
      <c r="G87">
        <v>68.599999999999994</v>
      </c>
      <c r="I87">
        <v>2010</v>
      </c>
      <c r="J87" s="10">
        <v>1058.3</v>
      </c>
    </row>
    <row r="88" spans="6:10" x14ac:dyDescent="0.35">
      <c r="F88">
        <v>2011</v>
      </c>
      <c r="G88">
        <v>66.040000000000006</v>
      </c>
      <c r="I88">
        <v>2011</v>
      </c>
      <c r="J88" s="10">
        <v>941.5</v>
      </c>
    </row>
    <row r="89" spans="6:10" x14ac:dyDescent="0.35">
      <c r="F89">
        <v>2012</v>
      </c>
      <c r="G89">
        <v>1.4</v>
      </c>
      <c r="I89">
        <v>2012</v>
      </c>
      <c r="J89">
        <v>519.40000000000009</v>
      </c>
    </row>
    <row r="90" spans="6:10" x14ac:dyDescent="0.35">
      <c r="I90">
        <v>2013</v>
      </c>
      <c r="J90">
        <v>774.1</v>
      </c>
    </row>
    <row r="91" spans="6:10" x14ac:dyDescent="0.35">
      <c r="I91">
        <v>2014</v>
      </c>
      <c r="J91">
        <v>829</v>
      </c>
    </row>
    <row r="95" spans="6:10" x14ac:dyDescent="0.35">
      <c r="F95">
        <v>828.4</v>
      </c>
    </row>
    <row r="103" spans="8:10" x14ac:dyDescent="0.35">
      <c r="I103" t="s">
        <v>2441</v>
      </c>
      <c r="J103" t="s">
        <v>2442</v>
      </c>
    </row>
    <row r="104" spans="8:10" x14ac:dyDescent="0.35">
      <c r="H104">
        <v>1979</v>
      </c>
      <c r="I104">
        <v>41.5</v>
      </c>
      <c r="J104">
        <v>6.5</v>
      </c>
    </row>
    <row r="105" spans="8:10" x14ac:dyDescent="0.35">
      <c r="H105">
        <v>1980</v>
      </c>
      <c r="I105">
        <v>40.700000000000003</v>
      </c>
      <c r="J105">
        <v>7.2</v>
      </c>
    </row>
    <row r="106" spans="8:10" x14ac:dyDescent="0.35">
      <c r="H106">
        <v>1981</v>
      </c>
      <c r="I106">
        <v>42.1</v>
      </c>
      <c r="J106">
        <v>4.7</v>
      </c>
    </row>
    <row r="107" spans="8:10" x14ac:dyDescent="0.35">
      <c r="H107">
        <v>1982</v>
      </c>
      <c r="I107">
        <v>40</v>
      </c>
      <c r="J107">
        <v>8.4</v>
      </c>
    </row>
    <row r="108" spans="8:10" x14ac:dyDescent="0.35">
      <c r="H108">
        <v>1983</v>
      </c>
      <c r="I108">
        <v>42.5</v>
      </c>
      <c r="J108">
        <v>6.4</v>
      </c>
    </row>
    <row r="109" spans="8:10" x14ac:dyDescent="0.35">
      <c r="H109">
        <v>1984</v>
      </c>
      <c r="I109">
        <v>41.3</v>
      </c>
      <c r="J109">
        <v>5.0999999999999996</v>
      </c>
    </row>
    <row r="110" spans="8:10" x14ac:dyDescent="0.35">
      <c r="H110">
        <v>1985</v>
      </c>
      <c r="I110">
        <v>41.9</v>
      </c>
      <c r="J110">
        <v>5.5</v>
      </c>
    </row>
    <row r="111" spans="8:10" x14ac:dyDescent="0.35">
      <c r="H111">
        <v>1986</v>
      </c>
      <c r="I111">
        <v>40.5</v>
      </c>
      <c r="J111">
        <v>5.9</v>
      </c>
    </row>
    <row r="112" spans="8:10" x14ac:dyDescent="0.35">
      <c r="H112">
        <v>1987</v>
      </c>
      <c r="I112">
        <v>41.6</v>
      </c>
      <c r="J112">
        <v>6.8</v>
      </c>
    </row>
    <row r="113" spans="8:10" x14ac:dyDescent="0.35">
      <c r="H113">
        <v>1988</v>
      </c>
      <c r="I113">
        <v>41.8</v>
      </c>
      <c r="J113">
        <v>7.1</v>
      </c>
    </row>
    <row r="114" spans="8:10" x14ac:dyDescent="0.35">
      <c r="H114">
        <v>1989</v>
      </c>
      <c r="I114">
        <v>41.3</v>
      </c>
      <c r="J114">
        <v>6.6</v>
      </c>
    </row>
    <row r="115" spans="8:10" x14ac:dyDescent="0.35">
      <c r="H115">
        <v>1990</v>
      </c>
      <c r="I115">
        <v>41.3</v>
      </c>
      <c r="J115">
        <v>6.7</v>
      </c>
    </row>
    <row r="116" spans="8:10" x14ac:dyDescent="0.35">
      <c r="H116">
        <v>1991</v>
      </c>
      <c r="I116">
        <v>41.5</v>
      </c>
      <c r="J116">
        <v>2.8</v>
      </c>
    </row>
    <row r="117" spans="8:10" x14ac:dyDescent="0.35">
      <c r="H117">
        <v>1992</v>
      </c>
      <c r="I117">
        <v>40.4</v>
      </c>
      <c r="J117">
        <v>5.0999999999999996</v>
      </c>
    </row>
    <row r="118" spans="8:10" x14ac:dyDescent="0.35">
      <c r="H118">
        <v>1993</v>
      </c>
      <c r="I118">
        <v>41.6</v>
      </c>
      <c r="J118">
        <v>4.5</v>
      </c>
    </row>
    <row r="119" spans="8:10" x14ac:dyDescent="0.35">
      <c r="H119">
        <v>1994</v>
      </c>
      <c r="I119">
        <v>40.6</v>
      </c>
      <c r="J119">
        <v>4.4000000000000004</v>
      </c>
    </row>
    <row r="120" spans="8:10" x14ac:dyDescent="0.35">
      <c r="H120">
        <v>1995</v>
      </c>
      <c r="I120">
        <v>40.700000000000003</v>
      </c>
      <c r="J120">
        <v>6.8</v>
      </c>
    </row>
    <row r="121" spans="8:10" x14ac:dyDescent="0.35">
      <c r="H121">
        <v>1996</v>
      </c>
      <c r="I121">
        <v>41.1</v>
      </c>
      <c r="J121">
        <v>6.1</v>
      </c>
    </row>
    <row r="122" spans="8:10" x14ac:dyDescent="0.35">
      <c r="H122">
        <v>1997</v>
      </c>
      <c r="I122">
        <v>40</v>
      </c>
      <c r="J122">
        <v>4.7</v>
      </c>
    </row>
    <row r="123" spans="8:10" x14ac:dyDescent="0.35">
      <c r="H123">
        <v>1998</v>
      </c>
      <c r="I123">
        <v>42.4</v>
      </c>
      <c r="J123">
        <v>6.1</v>
      </c>
    </row>
    <row r="124" spans="8:10" x14ac:dyDescent="0.35">
      <c r="H124">
        <v>1999</v>
      </c>
      <c r="I124">
        <v>41.2</v>
      </c>
      <c r="J124">
        <v>6.9</v>
      </c>
    </row>
    <row r="125" spans="8:10" x14ac:dyDescent="0.35">
      <c r="H125">
        <v>2000</v>
      </c>
      <c r="I125">
        <v>41.2</v>
      </c>
      <c r="J125">
        <v>5.6</v>
      </c>
    </row>
    <row r="126" spans="8:10" x14ac:dyDescent="0.35">
      <c r="H126">
        <v>2001</v>
      </c>
      <c r="I126">
        <v>42.1</v>
      </c>
      <c r="J126">
        <v>7.3</v>
      </c>
    </row>
    <row r="127" spans="8:10" x14ac:dyDescent="0.35">
      <c r="H127">
        <v>2002</v>
      </c>
      <c r="I127">
        <v>42.4</v>
      </c>
      <c r="J127">
        <v>5.5</v>
      </c>
    </row>
    <row r="128" spans="8:10" x14ac:dyDescent="0.35">
      <c r="H128">
        <v>2003</v>
      </c>
      <c r="I128">
        <v>42.4</v>
      </c>
      <c r="J128">
        <v>6.9</v>
      </c>
    </row>
    <row r="129" spans="8:10" x14ac:dyDescent="0.35">
      <c r="H129">
        <v>2004</v>
      </c>
      <c r="I129">
        <v>41.3</v>
      </c>
      <c r="J129">
        <v>7.3</v>
      </c>
    </row>
    <row r="130" spans="8:10" x14ac:dyDescent="0.35">
      <c r="H130">
        <v>2005</v>
      </c>
      <c r="I130">
        <v>41.8</v>
      </c>
      <c r="J130">
        <v>5.7</v>
      </c>
    </row>
    <row r="131" spans="8:10" x14ac:dyDescent="0.35">
      <c r="H131">
        <v>2006</v>
      </c>
      <c r="I131">
        <v>40.5</v>
      </c>
      <c r="J131" s="48">
        <v>4.7</v>
      </c>
    </row>
    <row r="132" spans="8:10" x14ac:dyDescent="0.35">
      <c r="H132">
        <v>2007</v>
      </c>
      <c r="I132">
        <v>41.9</v>
      </c>
      <c r="J132" s="48">
        <v>8.1999999999999993</v>
      </c>
    </row>
    <row r="133" spans="8:10" x14ac:dyDescent="0.35">
      <c r="H133">
        <v>2008</v>
      </c>
      <c r="I133">
        <v>42.1</v>
      </c>
      <c r="J133">
        <v>5.8</v>
      </c>
    </row>
    <row r="134" spans="8:10" x14ac:dyDescent="0.35">
      <c r="H134">
        <v>2009</v>
      </c>
      <c r="I134">
        <v>41.9</v>
      </c>
      <c r="J134">
        <v>6.5</v>
      </c>
    </row>
    <row r="135" spans="8:10" x14ac:dyDescent="0.35">
      <c r="H135">
        <v>2010</v>
      </c>
      <c r="I135">
        <v>41.5</v>
      </c>
      <c r="J135">
        <v>7.3</v>
      </c>
    </row>
    <row r="136" spans="8:10" x14ac:dyDescent="0.35">
      <c r="H136">
        <v>2011</v>
      </c>
      <c r="I136">
        <v>40.4</v>
      </c>
      <c r="J136">
        <v>5.3</v>
      </c>
    </row>
    <row r="137" spans="8:10" x14ac:dyDescent="0.35">
      <c r="H137">
        <v>2012</v>
      </c>
      <c r="I137">
        <v>39.9</v>
      </c>
      <c r="J137">
        <v>6.6</v>
      </c>
    </row>
    <row r="138" spans="8:10" x14ac:dyDescent="0.35">
      <c r="H138">
        <v>2013</v>
      </c>
      <c r="I138">
        <v>41.3</v>
      </c>
      <c r="J138">
        <v>6.8</v>
      </c>
    </row>
    <row r="139" spans="8:10" x14ac:dyDescent="0.35">
      <c r="H139">
        <v>2014</v>
      </c>
      <c r="I139">
        <v>40.700000000000003</v>
      </c>
      <c r="J139">
        <v>7.1</v>
      </c>
    </row>
  </sheetData>
  <conditionalFormatting sqref="E5:E6">
    <cfRule type="cellIs" dxfId="130" priority="1" stopIfTrue="1" operator="equal">
      <formula>TODAY()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AU468"/>
  <sheetViews>
    <sheetView topLeftCell="Y337" workbookViewId="0">
      <selection activeCell="C7" sqref="C7"/>
    </sheetView>
  </sheetViews>
  <sheetFormatPr defaultRowHeight="14.5" x14ac:dyDescent="0.35"/>
  <cols>
    <col min="1" max="1" width="3.26953125" customWidth="1"/>
    <col min="2" max="2" width="23.453125" customWidth="1"/>
  </cols>
  <sheetData>
    <row r="5" spans="2:45" x14ac:dyDescent="0.35">
      <c r="F5" s="57"/>
      <c r="G5" s="58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8"/>
      <c r="AS5" s="58"/>
    </row>
    <row r="6" spans="2:45" x14ac:dyDescent="0.35">
      <c r="F6" s="57"/>
      <c r="G6" s="58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8"/>
      <c r="AS6" s="58"/>
    </row>
    <row r="7" spans="2:45" x14ac:dyDescent="0.35">
      <c r="F7" s="57"/>
      <c r="G7" s="58"/>
      <c r="H7" s="141" t="s">
        <v>2377</v>
      </c>
      <c r="I7" s="143" t="s">
        <v>2379</v>
      </c>
      <c r="J7" s="138" t="s">
        <v>2382</v>
      </c>
      <c r="K7" s="139"/>
      <c r="L7" s="140"/>
      <c r="M7" s="138" t="s">
        <v>2383</v>
      </c>
      <c r="N7" s="139"/>
      <c r="O7" s="140"/>
      <c r="P7" s="138" t="s">
        <v>2384</v>
      </c>
      <c r="Q7" s="139"/>
      <c r="R7" s="140"/>
      <c r="S7" s="138" t="s">
        <v>2385</v>
      </c>
      <c r="T7" s="139"/>
      <c r="U7" s="140"/>
      <c r="V7" s="138" t="s">
        <v>2386</v>
      </c>
      <c r="W7" s="139"/>
      <c r="X7" s="140"/>
      <c r="Y7" s="138" t="s">
        <v>2387</v>
      </c>
      <c r="Z7" s="139"/>
      <c r="AA7" s="140"/>
      <c r="AB7" s="138" t="s">
        <v>2388</v>
      </c>
      <c r="AC7" s="139"/>
      <c r="AD7" s="140"/>
      <c r="AE7" s="138" t="s">
        <v>2389</v>
      </c>
      <c r="AF7" s="139"/>
      <c r="AG7" s="140"/>
      <c r="AH7" s="138" t="s">
        <v>2390</v>
      </c>
      <c r="AI7" s="139"/>
      <c r="AJ7" s="140"/>
      <c r="AK7" s="138" t="s">
        <v>2391</v>
      </c>
      <c r="AL7" s="139"/>
      <c r="AM7" s="140"/>
      <c r="AN7" s="138" t="s">
        <v>2392</v>
      </c>
      <c r="AO7" s="139"/>
      <c r="AP7" s="140"/>
      <c r="AQ7" s="138" t="s">
        <v>2393</v>
      </c>
      <c r="AR7" s="139"/>
      <c r="AS7" s="140"/>
    </row>
    <row r="8" spans="2:45" x14ac:dyDescent="0.35">
      <c r="F8" s="57"/>
      <c r="G8" s="58"/>
      <c r="H8" s="142"/>
      <c r="I8" s="144"/>
      <c r="J8" s="60" t="s">
        <v>2372</v>
      </c>
      <c r="K8" s="61" t="s">
        <v>2373</v>
      </c>
      <c r="L8" s="62" t="s">
        <v>2399</v>
      </c>
      <c r="M8" s="60" t="s">
        <v>2372</v>
      </c>
      <c r="N8" s="61" t="s">
        <v>2373</v>
      </c>
      <c r="O8" s="62" t="s">
        <v>2399</v>
      </c>
      <c r="P8" s="60" t="s">
        <v>2372</v>
      </c>
      <c r="Q8" s="61" t="s">
        <v>2373</v>
      </c>
      <c r="R8" s="62" t="s">
        <v>2399</v>
      </c>
      <c r="S8" s="60" t="s">
        <v>2372</v>
      </c>
      <c r="T8" s="61" t="s">
        <v>2373</v>
      </c>
      <c r="U8" s="62" t="s">
        <v>2399</v>
      </c>
      <c r="V8" s="60" t="s">
        <v>2372</v>
      </c>
      <c r="W8" s="61" t="s">
        <v>2373</v>
      </c>
      <c r="X8" s="62" t="s">
        <v>2399</v>
      </c>
      <c r="Y8" s="60" t="s">
        <v>2372</v>
      </c>
      <c r="Z8" s="61" t="s">
        <v>2373</v>
      </c>
      <c r="AA8" s="62" t="s">
        <v>2399</v>
      </c>
      <c r="AB8" s="60" t="s">
        <v>2372</v>
      </c>
      <c r="AC8" s="61" t="s">
        <v>2373</v>
      </c>
      <c r="AD8" s="62" t="s">
        <v>2399</v>
      </c>
      <c r="AE8" s="60" t="s">
        <v>2372</v>
      </c>
      <c r="AF8" s="61" t="s">
        <v>2373</v>
      </c>
      <c r="AG8" s="62" t="s">
        <v>2399</v>
      </c>
      <c r="AH8" s="60" t="s">
        <v>2372</v>
      </c>
      <c r="AI8" s="61" t="s">
        <v>2373</v>
      </c>
      <c r="AJ8" s="62" t="s">
        <v>2399</v>
      </c>
      <c r="AK8" s="60" t="s">
        <v>2372</v>
      </c>
      <c r="AL8" s="61" t="s">
        <v>2373</v>
      </c>
      <c r="AM8" s="62" t="s">
        <v>2399</v>
      </c>
      <c r="AN8" s="60" t="s">
        <v>2372</v>
      </c>
      <c r="AO8" s="61" t="s">
        <v>2373</v>
      </c>
      <c r="AP8" s="62" t="s">
        <v>2399</v>
      </c>
      <c r="AQ8" s="60" t="s">
        <v>2372</v>
      </c>
      <c r="AR8" s="61" t="s">
        <v>2373</v>
      </c>
      <c r="AS8" s="62" t="s">
        <v>2399</v>
      </c>
    </row>
    <row r="9" spans="2:45" x14ac:dyDescent="0.35">
      <c r="F9" s="57"/>
      <c r="G9" s="58"/>
      <c r="H9" s="63">
        <v>2010</v>
      </c>
      <c r="I9" s="64">
        <v>1</v>
      </c>
      <c r="J9" s="65">
        <v>29.2</v>
      </c>
      <c r="K9" s="66">
        <v>13.1</v>
      </c>
      <c r="L9" s="67">
        <v>0</v>
      </c>
      <c r="M9" s="65">
        <v>31</v>
      </c>
      <c r="N9" s="66">
        <v>13.8</v>
      </c>
      <c r="O9" s="67">
        <v>0</v>
      </c>
      <c r="P9" s="65">
        <v>35.700000000000003</v>
      </c>
      <c r="Q9" s="66">
        <v>16.8</v>
      </c>
      <c r="R9" s="67">
        <v>0</v>
      </c>
      <c r="S9" s="65">
        <v>36.799999999999997</v>
      </c>
      <c r="T9" s="66">
        <v>18.600000000000001</v>
      </c>
      <c r="U9" s="67">
        <v>0</v>
      </c>
      <c r="V9" s="65">
        <v>35.6</v>
      </c>
      <c r="W9" s="66">
        <v>24.3</v>
      </c>
      <c r="X9" s="67">
        <v>0</v>
      </c>
      <c r="Y9" s="65">
        <v>37.5</v>
      </c>
      <c r="Z9" s="66">
        <v>17.600000000000001</v>
      </c>
      <c r="AA9" s="67">
        <v>26.5</v>
      </c>
      <c r="AB9" s="65">
        <v>29.9</v>
      </c>
      <c r="AC9" s="66">
        <v>23.8</v>
      </c>
      <c r="AD9" s="67">
        <v>0.1</v>
      </c>
      <c r="AE9" s="65">
        <v>25.9</v>
      </c>
      <c r="AF9" s="66">
        <v>22.4</v>
      </c>
      <c r="AG9" s="67">
        <v>10.199999999999999</v>
      </c>
      <c r="AH9" s="65">
        <v>24.4</v>
      </c>
      <c r="AI9" s="66">
        <v>22.1</v>
      </c>
      <c r="AJ9" s="67">
        <v>16.2</v>
      </c>
      <c r="AK9" s="65">
        <v>31.1</v>
      </c>
      <c r="AL9" s="66">
        <v>20.8</v>
      </c>
      <c r="AM9" s="67">
        <v>0</v>
      </c>
      <c r="AN9" s="65">
        <v>31.3</v>
      </c>
      <c r="AO9" s="66">
        <v>14.8</v>
      </c>
      <c r="AP9" s="67">
        <v>0</v>
      </c>
      <c r="AQ9" s="65">
        <v>30.4</v>
      </c>
      <c r="AR9" s="66">
        <v>16.7</v>
      </c>
      <c r="AS9" s="67">
        <v>0</v>
      </c>
    </row>
    <row r="10" spans="2:45" x14ac:dyDescent="0.35">
      <c r="B10" s="47">
        <v>39814</v>
      </c>
      <c r="F10" s="57"/>
      <c r="G10" s="58"/>
      <c r="H10" s="68"/>
      <c r="I10" s="69">
        <v>2</v>
      </c>
      <c r="J10" s="70">
        <v>30</v>
      </c>
      <c r="K10" s="71">
        <v>15.1</v>
      </c>
      <c r="L10" s="72">
        <v>0</v>
      </c>
      <c r="M10" s="70">
        <v>31.4</v>
      </c>
      <c r="N10" s="71">
        <v>13.4</v>
      </c>
      <c r="O10" s="72">
        <v>0</v>
      </c>
      <c r="P10" s="70">
        <v>36.1</v>
      </c>
      <c r="Q10" s="71">
        <v>16.2</v>
      </c>
      <c r="R10" s="72">
        <v>0</v>
      </c>
      <c r="S10" s="70">
        <v>34.6</v>
      </c>
      <c r="T10" s="71">
        <v>19.399999999999999</v>
      </c>
      <c r="U10" s="72">
        <v>0</v>
      </c>
      <c r="V10" s="70">
        <v>37.4</v>
      </c>
      <c r="W10" s="71">
        <v>22.8</v>
      </c>
      <c r="X10" s="72">
        <v>1.2</v>
      </c>
      <c r="Y10" s="70">
        <v>36.200000000000003</v>
      </c>
      <c r="Z10" s="71">
        <v>22.8</v>
      </c>
      <c r="AA10" s="72">
        <v>5.2</v>
      </c>
      <c r="AB10" s="70">
        <v>31.8</v>
      </c>
      <c r="AC10" s="71">
        <v>22.3</v>
      </c>
      <c r="AD10" s="72">
        <v>10.7</v>
      </c>
      <c r="AE10" s="70">
        <v>27.5</v>
      </c>
      <c r="AF10" s="71">
        <v>22.2</v>
      </c>
      <c r="AG10" s="72">
        <v>9.6</v>
      </c>
      <c r="AH10" s="70">
        <v>27.9</v>
      </c>
      <c r="AI10" s="71">
        <v>21.8</v>
      </c>
      <c r="AJ10" s="72">
        <v>0.1</v>
      </c>
      <c r="AK10" s="70">
        <v>31.7</v>
      </c>
      <c r="AL10" s="71">
        <v>19.2</v>
      </c>
      <c r="AM10" s="72">
        <v>0</v>
      </c>
      <c r="AN10" s="70">
        <v>30.1</v>
      </c>
      <c r="AO10" s="71">
        <v>13.8</v>
      </c>
      <c r="AP10" s="72">
        <v>0</v>
      </c>
      <c r="AQ10" s="70">
        <v>30.2</v>
      </c>
      <c r="AR10" s="71">
        <v>16.3</v>
      </c>
      <c r="AS10" s="72">
        <v>0</v>
      </c>
    </row>
    <row r="11" spans="2:45" x14ac:dyDescent="0.35">
      <c r="B11" s="47">
        <v>39845</v>
      </c>
      <c r="F11" s="57"/>
      <c r="G11" s="58"/>
      <c r="H11" s="73"/>
      <c r="I11" s="74">
        <v>3</v>
      </c>
      <c r="J11" s="75">
        <v>29.3</v>
      </c>
      <c r="K11" s="76">
        <v>19.100000000000001</v>
      </c>
      <c r="L11" s="77">
        <v>0.7</v>
      </c>
      <c r="M11" s="75">
        <v>30.3</v>
      </c>
      <c r="N11" s="76">
        <v>14</v>
      </c>
      <c r="O11" s="77">
        <v>0</v>
      </c>
      <c r="P11" s="75">
        <v>35.700000000000003</v>
      </c>
      <c r="Q11" s="76">
        <v>17.899999999999999</v>
      </c>
      <c r="R11" s="77">
        <v>0</v>
      </c>
      <c r="S11" s="75">
        <v>37.200000000000003</v>
      </c>
      <c r="T11" s="76">
        <v>17.5</v>
      </c>
      <c r="U11" s="77">
        <v>0</v>
      </c>
      <c r="V11" s="75">
        <v>38.799999999999997</v>
      </c>
      <c r="W11" s="76">
        <v>20.8</v>
      </c>
      <c r="X11" s="77">
        <v>2.2000000000000002</v>
      </c>
      <c r="Y11" s="75">
        <v>34.5</v>
      </c>
      <c r="Z11" s="76">
        <v>24.9</v>
      </c>
      <c r="AA11" s="77">
        <v>0</v>
      </c>
      <c r="AB11" s="75">
        <v>26.9</v>
      </c>
      <c r="AC11" s="76">
        <v>22.7</v>
      </c>
      <c r="AD11" s="77">
        <v>1.3</v>
      </c>
      <c r="AE11" s="75">
        <v>28.1</v>
      </c>
      <c r="AF11" s="76">
        <v>22.5</v>
      </c>
      <c r="AG11" s="77">
        <v>17.899999999999999</v>
      </c>
      <c r="AH11" s="75">
        <v>28.4</v>
      </c>
      <c r="AI11" s="76">
        <v>21.7</v>
      </c>
      <c r="AJ11" s="77">
        <v>0.5</v>
      </c>
      <c r="AK11" s="75">
        <v>31.3</v>
      </c>
      <c r="AL11" s="76">
        <v>20.9</v>
      </c>
      <c r="AM11" s="77">
        <v>0</v>
      </c>
      <c r="AN11" s="75">
        <v>30.6</v>
      </c>
      <c r="AO11" s="76">
        <v>17.5</v>
      </c>
      <c r="AP11" s="77">
        <v>0</v>
      </c>
      <c r="AQ11" s="75">
        <v>29.9</v>
      </c>
      <c r="AR11" s="76">
        <v>15.9</v>
      </c>
      <c r="AS11" s="77">
        <v>0</v>
      </c>
    </row>
    <row r="12" spans="2:45" x14ac:dyDescent="0.35">
      <c r="B12" s="49">
        <v>39873</v>
      </c>
      <c r="F12" s="57"/>
      <c r="G12" s="58"/>
      <c r="H12" s="68"/>
      <c r="I12" s="69">
        <v>4</v>
      </c>
      <c r="J12" s="70">
        <v>30.4</v>
      </c>
      <c r="K12" s="71">
        <v>17</v>
      </c>
      <c r="L12" s="72">
        <v>0</v>
      </c>
      <c r="M12" s="70">
        <v>31.8</v>
      </c>
      <c r="N12" s="71">
        <v>14.5</v>
      </c>
      <c r="O12" s="72">
        <v>0</v>
      </c>
      <c r="P12" s="70">
        <v>35.1</v>
      </c>
      <c r="Q12" s="71">
        <v>15.5</v>
      </c>
      <c r="R12" s="72">
        <v>0</v>
      </c>
      <c r="S12" s="70">
        <v>38</v>
      </c>
      <c r="T12" s="71">
        <v>16.2</v>
      </c>
      <c r="U12" s="72">
        <v>0</v>
      </c>
      <c r="V12" s="70">
        <v>37.200000000000003</v>
      </c>
      <c r="W12" s="71">
        <v>20.2</v>
      </c>
      <c r="X12" s="72">
        <v>0.1</v>
      </c>
      <c r="Y12" s="70">
        <v>34.799999999999997</v>
      </c>
      <c r="Z12" s="71">
        <v>24.2</v>
      </c>
      <c r="AA12" s="72">
        <v>3.6</v>
      </c>
      <c r="AB12" s="70">
        <v>27.9</v>
      </c>
      <c r="AC12" s="71">
        <v>23.3</v>
      </c>
      <c r="AD12" s="72">
        <v>0</v>
      </c>
      <c r="AE12" s="70">
        <v>27.7</v>
      </c>
      <c r="AF12" s="71">
        <v>22.4</v>
      </c>
      <c r="AG12" s="72">
        <v>3.3</v>
      </c>
      <c r="AH12" s="70">
        <v>28.1</v>
      </c>
      <c r="AI12" s="71">
        <v>21.4</v>
      </c>
      <c r="AJ12" s="72">
        <v>0.8</v>
      </c>
      <c r="AK12" s="70">
        <v>32.799999999999997</v>
      </c>
      <c r="AL12" s="71">
        <v>22.9</v>
      </c>
      <c r="AM12" s="72">
        <v>0.1</v>
      </c>
      <c r="AN12" s="70">
        <v>30.9</v>
      </c>
      <c r="AO12" s="71">
        <v>22.4</v>
      </c>
      <c r="AP12" s="72">
        <v>0</v>
      </c>
      <c r="AQ12" s="70">
        <v>29.9</v>
      </c>
      <c r="AR12" s="71">
        <v>18.399999999999999</v>
      </c>
      <c r="AS12" s="72">
        <v>0</v>
      </c>
    </row>
    <row r="13" spans="2:45" x14ac:dyDescent="0.35">
      <c r="B13" s="49">
        <v>39904</v>
      </c>
      <c r="F13" s="57"/>
      <c r="G13" s="58"/>
      <c r="H13" s="73"/>
      <c r="I13" s="74">
        <v>5</v>
      </c>
      <c r="J13" s="75">
        <v>30.4</v>
      </c>
      <c r="K13" s="76">
        <v>14.5</v>
      </c>
      <c r="L13" s="77">
        <v>0</v>
      </c>
      <c r="M13" s="75">
        <v>31.6</v>
      </c>
      <c r="N13" s="76">
        <v>14.4</v>
      </c>
      <c r="O13" s="77">
        <v>0</v>
      </c>
      <c r="P13" s="75">
        <v>34.4</v>
      </c>
      <c r="Q13" s="76">
        <v>15.3</v>
      </c>
      <c r="R13" s="77">
        <v>0</v>
      </c>
      <c r="S13" s="75">
        <v>38.6</v>
      </c>
      <c r="T13" s="76">
        <v>17.2</v>
      </c>
      <c r="U13" s="77">
        <v>0</v>
      </c>
      <c r="V13" s="75">
        <v>38.700000000000003</v>
      </c>
      <c r="W13" s="76">
        <v>23.3</v>
      </c>
      <c r="X13" s="77">
        <v>0</v>
      </c>
      <c r="Y13" s="75">
        <v>35.4</v>
      </c>
      <c r="Z13" s="76">
        <v>24.4</v>
      </c>
      <c r="AA13" s="77">
        <v>0</v>
      </c>
      <c r="AB13" s="75">
        <v>30.1</v>
      </c>
      <c r="AC13" s="76">
        <v>22.3</v>
      </c>
      <c r="AD13" s="77">
        <v>1.3</v>
      </c>
      <c r="AE13" s="75">
        <v>28.2</v>
      </c>
      <c r="AF13" s="76">
        <v>22.1</v>
      </c>
      <c r="AG13" s="77">
        <v>0.6</v>
      </c>
      <c r="AH13" s="75">
        <v>28</v>
      </c>
      <c r="AI13" s="76">
        <v>21.8</v>
      </c>
      <c r="AJ13" s="77">
        <v>0.7</v>
      </c>
      <c r="AK13" s="75">
        <v>32.5</v>
      </c>
      <c r="AL13" s="76">
        <v>20.5</v>
      </c>
      <c r="AM13" s="77">
        <v>181.3</v>
      </c>
      <c r="AN13" s="75">
        <v>30.8</v>
      </c>
      <c r="AO13" s="76">
        <v>20.9</v>
      </c>
      <c r="AP13" s="77">
        <v>0</v>
      </c>
      <c r="AQ13" s="75">
        <v>29.4</v>
      </c>
      <c r="AR13" s="76">
        <v>16.100000000000001</v>
      </c>
      <c r="AS13" s="77">
        <v>0</v>
      </c>
    </row>
    <row r="14" spans="2:45" x14ac:dyDescent="0.35">
      <c r="B14" s="49">
        <v>39934</v>
      </c>
      <c r="F14" s="57"/>
      <c r="G14" s="58"/>
      <c r="H14" s="68"/>
      <c r="I14" s="69">
        <v>6</v>
      </c>
      <c r="J14" s="70">
        <v>29.7</v>
      </c>
      <c r="K14" s="71">
        <v>13.5</v>
      </c>
      <c r="L14" s="72">
        <v>0</v>
      </c>
      <c r="M14" s="70">
        <v>29.9</v>
      </c>
      <c r="N14" s="71">
        <v>14.1</v>
      </c>
      <c r="O14" s="72">
        <v>0</v>
      </c>
      <c r="P14" s="70">
        <v>35.700000000000003</v>
      </c>
      <c r="Q14" s="71">
        <v>15</v>
      </c>
      <c r="R14" s="72">
        <v>0</v>
      </c>
      <c r="S14" s="70">
        <v>38.9</v>
      </c>
      <c r="T14" s="71">
        <v>18.3</v>
      </c>
      <c r="U14" s="72">
        <v>0</v>
      </c>
      <c r="V14" s="70">
        <v>39</v>
      </c>
      <c r="W14" s="71">
        <v>24.2</v>
      </c>
      <c r="X14" s="72">
        <v>0</v>
      </c>
      <c r="Y14" s="70">
        <v>34.9</v>
      </c>
      <c r="Z14" s="71">
        <v>24.8</v>
      </c>
      <c r="AA14" s="72">
        <v>0</v>
      </c>
      <c r="AB14" s="70">
        <v>30.6</v>
      </c>
      <c r="AC14" s="71">
        <v>22.5</v>
      </c>
      <c r="AD14" s="72">
        <v>2.1</v>
      </c>
      <c r="AE14" s="70">
        <v>29.5</v>
      </c>
      <c r="AF14" s="71">
        <v>22.5</v>
      </c>
      <c r="AG14" s="72">
        <v>0.1</v>
      </c>
      <c r="AH14" s="70">
        <v>28.4</v>
      </c>
      <c r="AI14" s="71">
        <v>22.1</v>
      </c>
      <c r="AJ14" s="72">
        <v>2.2999999999999998</v>
      </c>
      <c r="AK14" s="70">
        <v>31.9</v>
      </c>
      <c r="AL14" s="71">
        <v>21</v>
      </c>
      <c r="AM14" s="72">
        <v>18.600000000000001</v>
      </c>
      <c r="AN14" s="70">
        <v>30.8</v>
      </c>
      <c r="AO14" s="71">
        <v>20.100000000000001</v>
      </c>
      <c r="AP14" s="72">
        <v>15.8</v>
      </c>
      <c r="AQ14" s="70">
        <v>28.4</v>
      </c>
      <c r="AR14" s="71">
        <v>13.1</v>
      </c>
      <c r="AS14" s="72">
        <v>0</v>
      </c>
    </row>
    <row r="15" spans="2:45" x14ac:dyDescent="0.35">
      <c r="B15" s="49">
        <v>39965</v>
      </c>
      <c r="F15" s="57"/>
      <c r="G15" s="58"/>
      <c r="H15" s="73"/>
      <c r="I15" s="74">
        <v>7</v>
      </c>
      <c r="J15" s="75">
        <v>28</v>
      </c>
      <c r="K15" s="76">
        <v>12.4</v>
      </c>
      <c r="L15" s="77">
        <v>0</v>
      </c>
      <c r="M15" s="75">
        <v>30.4</v>
      </c>
      <c r="N15" s="76">
        <v>13.9</v>
      </c>
      <c r="O15" s="77">
        <v>0</v>
      </c>
      <c r="P15" s="75">
        <v>33.4</v>
      </c>
      <c r="Q15" s="76">
        <v>14.5</v>
      </c>
      <c r="R15" s="77">
        <v>0</v>
      </c>
      <c r="S15" s="75">
        <v>39.9</v>
      </c>
      <c r="T15" s="76">
        <v>19.2</v>
      </c>
      <c r="U15" s="77">
        <v>0</v>
      </c>
      <c r="V15" s="75">
        <v>38.799999999999997</v>
      </c>
      <c r="W15" s="76">
        <v>22.8</v>
      </c>
      <c r="X15" s="77">
        <v>0</v>
      </c>
      <c r="Y15" s="75">
        <v>33.9</v>
      </c>
      <c r="Z15" s="76">
        <v>24.3</v>
      </c>
      <c r="AA15" s="77">
        <v>0</v>
      </c>
      <c r="AB15" s="75">
        <v>29.2</v>
      </c>
      <c r="AC15" s="76">
        <v>23.2</v>
      </c>
      <c r="AD15" s="77">
        <v>0.2</v>
      </c>
      <c r="AE15" s="75">
        <v>27.9</v>
      </c>
      <c r="AF15" s="76">
        <v>21.3</v>
      </c>
      <c r="AG15" s="77">
        <v>10.199999999999999</v>
      </c>
      <c r="AH15" s="75">
        <v>27.2</v>
      </c>
      <c r="AI15" s="76">
        <v>21.7</v>
      </c>
      <c r="AJ15" s="77">
        <v>2.1</v>
      </c>
      <c r="AK15" s="75">
        <v>33.5</v>
      </c>
      <c r="AL15" s="76">
        <v>21.8</v>
      </c>
      <c r="AM15" s="77">
        <v>0</v>
      </c>
      <c r="AN15" s="75">
        <v>30.5</v>
      </c>
      <c r="AO15" s="76">
        <v>19.399999999999999</v>
      </c>
      <c r="AP15" s="77">
        <v>0</v>
      </c>
      <c r="AQ15" s="75">
        <v>27.8</v>
      </c>
      <c r="AR15" s="76">
        <v>10.8</v>
      </c>
      <c r="AS15" s="77">
        <v>0</v>
      </c>
    </row>
    <row r="16" spans="2:45" x14ac:dyDescent="0.35">
      <c r="B16" s="49">
        <v>39995</v>
      </c>
      <c r="F16" s="57"/>
      <c r="G16" s="58"/>
      <c r="H16" s="68"/>
      <c r="I16" s="69">
        <v>8</v>
      </c>
      <c r="J16" s="70">
        <v>27.8</v>
      </c>
      <c r="K16" s="71">
        <v>11.3</v>
      </c>
      <c r="L16" s="72">
        <v>0</v>
      </c>
      <c r="M16" s="70">
        <v>30.6</v>
      </c>
      <c r="N16" s="71">
        <v>14.6</v>
      </c>
      <c r="O16" s="72">
        <v>0</v>
      </c>
      <c r="P16" s="70">
        <v>34.1</v>
      </c>
      <c r="Q16" s="71">
        <v>14.5</v>
      </c>
      <c r="R16" s="72">
        <v>0</v>
      </c>
      <c r="S16" s="70">
        <v>40.299999999999997</v>
      </c>
      <c r="T16" s="71">
        <v>21.8</v>
      </c>
      <c r="U16" s="72">
        <v>0</v>
      </c>
      <c r="V16" s="70">
        <v>40.4</v>
      </c>
      <c r="W16" s="71">
        <v>22.3</v>
      </c>
      <c r="X16" s="72">
        <v>2.1</v>
      </c>
      <c r="Y16" s="70">
        <v>33.4</v>
      </c>
      <c r="Z16" s="71">
        <v>24.5</v>
      </c>
      <c r="AA16" s="72">
        <v>0</v>
      </c>
      <c r="AB16" s="70">
        <v>30.8</v>
      </c>
      <c r="AC16" s="71">
        <v>23.2</v>
      </c>
      <c r="AD16" s="72">
        <v>21.8</v>
      </c>
      <c r="AE16" s="70">
        <v>26.9</v>
      </c>
      <c r="AF16" s="71">
        <v>21.8</v>
      </c>
      <c r="AG16" s="72">
        <v>0.6</v>
      </c>
      <c r="AH16" s="70">
        <v>27.8</v>
      </c>
      <c r="AI16" s="71">
        <v>22.3</v>
      </c>
      <c r="AJ16" s="72">
        <v>0.1</v>
      </c>
      <c r="AK16" s="70">
        <v>33.6</v>
      </c>
      <c r="AL16" s="71">
        <v>19.8</v>
      </c>
      <c r="AM16" s="72">
        <v>0</v>
      </c>
      <c r="AN16" s="70">
        <v>28.6</v>
      </c>
      <c r="AO16" s="71">
        <v>17.5</v>
      </c>
      <c r="AP16" s="72">
        <v>0</v>
      </c>
      <c r="AQ16" s="70">
        <v>28</v>
      </c>
      <c r="AR16" s="71">
        <v>16.3</v>
      </c>
      <c r="AS16" s="72">
        <v>0</v>
      </c>
    </row>
    <row r="17" spans="2:45" x14ac:dyDescent="0.35">
      <c r="B17" s="49">
        <v>40026</v>
      </c>
      <c r="F17" s="57"/>
      <c r="G17" s="58"/>
      <c r="H17" s="73"/>
      <c r="I17" s="74">
        <v>9</v>
      </c>
      <c r="J17" s="75">
        <v>27.4</v>
      </c>
      <c r="K17" s="76">
        <v>15.3</v>
      </c>
      <c r="L17" s="77">
        <v>0</v>
      </c>
      <c r="M17" s="75">
        <v>31.8</v>
      </c>
      <c r="N17" s="76">
        <v>15.5</v>
      </c>
      <c r="O17" s="77">
        <v>0</v>
      </c>
      <c r="P17" s="75">
        <v>34.4</v>
      </c>
      <c r="Q17" s="76">
        <v>16.100000000000001</v>
      </c>
      <c r="R17" s="77">
        <v>0</v>
      </c>
      <c r="S17" s="75">
        <v>41</v>
      </c>
      <c r="T17" s="76">
        <v>26</v>
      </c>
      <c r="U17" s="77">
        <v>0</v>
      </c>
      <c r="V17" s="75">
        <v>39.1</v>
      </c>
      <c r="W17" s="76">
        <v>23.2</v>
      </c>
      <c r="X17" s="77">
        <v>0</v>
      </c>
      <c r="Y17" s="75">
        <v>33.200000000000003</v>
      </c>
      <c r="Z17" s="76">
        <v>24.8</v>
      </c>
      <c r="AA17" s="77">
        <v>0</v>
      </c>
      <c r="AB17" s="75">
        <v>28.6</v>
      </c>
      <c r="AC17" s="76">
        <v>23</v>
      </c>
      <c r="AD17" s="77">
        <v>0.9</v>
      </c>
      <c r="AE17" s="75">
        <v>29</v>
      </c>
      <c r="AF17" s="76">
        <v>22.1</v>
      </c>
      <c r="AG17" s="77">
        <v>0.1</v>
      </c>
      <c r="AH17" s="75">
        <v>27.9</v>
      </c>
      <c r="AI17" s="76">
        <v>22.2</v>
      </c>
      <c r="AJ17" s="77">
        <v>10.9</v>
      </c>
      <c r="AK17" s="75">
        <v>33.700000000000003</v>
      </c>
      <c r="AL17" s="76">
        <v>21.3</v>
      </c>
      <c r="AM17" s="77">
        <v>0</v>
      </c>
      <c r="AN17" s="75">
        <v>28.6</v>
      </c>
      <c r="AO17" s="76">
        <v>22.2</v>
      </c>
      <c r="AP17" s="77">
        <v>0.2</v>
      </c>
      <c r="AQ17" s="75">
        <v>30.2</v>
      </c>
      <c r="AR17" s="76">
        <v>17.5</v>
      </c>
      <c r="AS17" s="77">
        <v>0</v>
      </c>
    </row>
    <row r="18" spans="2:45" x14ac:dyDescent="0.35">
      <c r="B18" s="49">
        <v>40057</v>
      </c>
      <c r="F18" s="57"/>
      <c r="G18" s="58"/>
      <c r="H18" s="68"/>
      <c r="I18" s="69">
        <v>10</v>
      </c>
      <c r="J18" s="70">
        <v>27.8</v>
      </c>
      <c r="K18" s="71">
        <v>12.4</v>
      </c>
      <c r="L18" s="72">
        <v>0</v>
      </c>
      <c r="M18" s="70">
        <v>28.5</v>
      </c>
      <c r="N18" s="71">
        <v>14.6</v>
      </c>
      <c r="O18" s="72">
        <v>0</v>
      </c>
      <c r="P18" s="70">
        <v>36.4</v>
      </c>
      <c r="Q18" s="71">
        <v>19.100000000000001</v>
      </c>
      <c r="R18" s="72">
        <v>0</v>
      </c>
      <c r="S18" s="70">
        <v>35.9</v>
      </c>
      <c r="T18" s="71">
        <v>24.9</v>
      </c>
      <c r="U18" s="72">
        <v>0</v>
      </c>
      <c r="V18" s="70">
        <v>40.700000000000003</v>
      </c>
      <c r="W18" s="71">
        <v>22.8</v>
      </c>
      <c r="X18" s="72">
        <v>0</v>
      </c>
      <c r="Y18" s="70">
        <v>36.5</v>
      </c>
      <c r="Z18" s="71">
        <v>24.3</v>
      </c>
      <c r="AA18" s="72">
        <v>0</v>
      </c>
      <c r="AB18" s="70">
        <v>29</v>
      </c>
      <c r="AC18" s="71">
        <v>23</v>
      </c>
      <c r="AD18" s="72">
        <v>0</v>
      </c>
      <c r="AE18" s="70">
        <v>29.7</v>
      </c>
      <c r="AF18" s="71">
        <v>21.7</v>
      </c>
      <c r="AG18" s="72">
        <v>0</v>
      </c>
      <c r="AH18" s="70">
        <v>27.1</v>
      </c>
      <c r="AI18" s="71">
        <v>20.3</v>
      </c>
      <c r="AJ18" s="72">
        <v>4.7</v>
      </c>
      <c r="AK18" s="70">
        <v>32.299999999999997</v>
      </c>
      <c r="AL18" s="71">
        <v>18.600000000000001</v>
      </c>
      <c r="AM18" s="72">
        <v>0</v>
      </c>
      <c r="AN18" s="70">
        <v>25.8</v>
      </c>
      <c r="AO18" s="71">
        <v>19.3</v>
      </c>
      <c r="AP18" s="72">
        <v>0.2</v>
      </c>
      <c r="AQ18" s="70">
        <v>29</v>
      </c>
      <c r="AR18" s="71">
        <v>14.8</v>
      </c>
      <c r="AS18" s="72">
        <v>0</v>
      </c>
    </row>
    <row r="19" spans="2:45" x14ac:dyDescent="0.35">
      <c r="B19" s="49">
        <v>40087</v>
      </c>
      <c r="F19" s="57"/>
      <c r="G19" s="58"/>
      <c r="H19" s="73"/>
      <c r="I19" s="74">
        <v>11</v>
      </c>
      <c r="J19" s="75">
        <v>29</v>
      </c>
      <c r="K19" s="76">
        <v>15.2</v>
      </c>
      <c r="L19" s="77">
        <v>0</v>
      </c>
      <c r="M19" s="75">
        <v>30.3</v>
      </c>
      <c r="N19" s="76">
        <v>16.600000000000001</v>
      </c>
      <c r="O19" s="77">
        <v>0</v>
      </c>
      <c r="P19" s="75">
        <v>37.6</v>
      </c>
      <c r="Q19" s="76">
        <v>20.6</v>
      </c>
      <c r="R19" s="77">
        <v>0</v>
      </c>
      <c r="S19" s="75">
        <v>37.799999999999997</v>
      </c>
      <c r="T19" s="76">
        <v>22.1</v>
      </c>
      <c r="U19" s="77">
        <v>0</v>
      </c>
      <c r="V19" s="75">
        <v>40.1</v>
      </c>
      <c r="W19" s="76">
        <v>23</v>
      </c>
      <c r="X19" s="77">
        <v>0</v>
      </c>
      <c r="Y19" s="75">
        <v>36.200000000000003</v>
      </c>
      <c r="Z19" s="76">
        <v>21.9</v>
      </c>
      <c r="AA19" s="77">
        <v>12.2</v>
      </c>
      <c r="AB19" s="75">
        <v>29.7</v>
      </c>
      <c r="AC19" s="76">
        <v>23.3</v>
      </c>
      <c r="AD19" s="77">
        <v>0.4</v>
      </c>
      <c r="AE19" s="75">
        <v>29.5</v>
      </c>
      <c r="AF19" s="76">
        <v>21.9</v>
      </c>
      <c r="AG19" s="77">
        <v>0</v>
      </c>
      <c r="AH19" s="75">
        <v>29.7</v>
      </c>
      <c r="AI19" s="76">
        <v>19.2</v>
      </c>
      <c r="AJ19" s="77">
        <v>0</v>
      </c>
      <c r="AK19" s="75">
        <v>30.2</v>
      </c>
      <c r="AL19" s="76">
        <v>19.899999999999999</v>
      </c>
      <c r="AM19" s="77">
        <v>0</v>
      </c>
      <c r="AN19" s="75">
        <v>30.1</v>
      </c>
      <c r="AO19" s="76">
        <v>20.6</v>
      </c>
      <c r="AP19" s="77">
        <v>0</v>
      </c>
      <c r="AQ19" s="75">
        <v>29</v>
      </c>
      <c r="AR19" s="76">
        <v>15.2</v>
      </c>
      <c r="AS19" s="77">
        <v>0</v>
      </c>
    </row>
    <row r="20" spans="2:45" x14ac:dyDescent="0.35">
      <c r="B20" s="49">
        <v>40118</v>
      </c>
      <c r="F20" s="57"/>
      <c r="G20" s="58"/>
      <c r="H20" s="68"/>
      <c r="I20" s="69">
        <v>12</v>
      </c>
      <c r="J20" s="70">
        <v>30.4</v>
      </c>
      <c r="K20" s="71">
        <v>18.3</v>
      </c>
      <c r="L20" s="72">
        <v>0</v>
      </c>
      <c r="M20" s="70">
        <v>30.9</v>
      </c>
      <c r="N20" s="71">
        <v>13.1</v>
      </c>
      <c r="O20" s="72">
        <v>0</v>
      </c>
      <c r="P20" s="70">
        <v>35</v>
      </c>
      <c r="Q20" s="71">
        <v>21</v>
      </c>
      <c r="R20" s="72">
        <v>0</v>
      </c>
      <c r="S20" s="70">
        <v>40</v>
      </c>
      <c r="T20" s="71">
        <v>20</v>
      </c>
      <c r="U20" s="72">
        <v>0</v>
      </c>
      <c r="V20" s="70">
        <v>40.9</v>
      </c>
      <c r="W20" s="71">
        <v>21.8</v>
      </c>
      <c r="X20" s="72">
        <v>0</v>
      </c>
      <c r="Y20" s="70">
        <v>35.5</v>
      </c>
      <c r="Z20" s="71">
        <v>21.2</v>
      </c>
      <c r="AA20" s="72">
        <v>46.7</v>
      </c>
      <c r="AB20" s="70">
        <v>29.8</v>
      </c>
      <c r="AC20" s="71">
        <v>23.2</v>
      </c>
      <c r="AD20" s="72">
        <v>0</v>
      </c>
      <c r="AE20" s="70">
        <v>30.6</v>
      </c>
      <c r="AF20" s="71">
        <v>23.3</v>
      </c>
      <c r="AG20" s="72">
        <v>1.1000000000000001</v>
      </c>
      <c r="AH20" s="70">
        <v>28.9</v>
      </c>
      <c r="AI20" s="71">
        <v>19.2</v>
      </c>
      <c r="AJ20" s="72">
        <v>0</v>
      </c>
      <c r="AK20" s="70">
        <v>30.3</v>
      </c>
      <c r="AL20" s="71">
        <v>18.5</v>
      </c>
      <c r="AM20" s="72">
        <v>0</v>
      </c>
      <c r="AN20" s="70">
        <v>31.2</v>
      </c>
      <c r="AO20" s="71">
        <v>20.3</v>
      </c>
      <c r="AP20" s="72">
        <v>0</v>
      </c>
      <c r="AQ20" s="70">
        <v>25.2</v>
      </c>
      <c r="AR20" s="71">
        <v>15.7</v>
      </c>
      <c r="AS20" s="72">
        <v>0</v>
      </c>
    </row>
    <row r="21" spans="2:45" x14ac:dyDescent="0.35">
      <c r="B21" s="49">
        <v>40148</v>
      </c>
      <c r="F21" s="57"/>
      <c r="G21" s="58"/>
      <c r="H21" s="73"/>
      <c r="I21" s="74">
        <v>13</v>
      </c>
      <c r="J21" s="75">
        <v>30.1</v>
      </c>
      <c r="K21" s="76">
        <v>14.7</v>
      </c>
      <c r="L21" s="77">
        <v>0</v>
      </c>
      <c r="M21" s="75">
        <v>32.1</v>
      </c>
      <c r="N21" s="76">
        <v>14.2</v>
      </c>
      <c r="O21" s="77">
        <v>0</v>
      </c>
      <c r="P21" s="75">
        <v>37.5</v>
      </c>
      <c r="Q21" s="76">
        <v>19.8</v>
      </c>
      <c r="R21" s="77">
        <v>23.1</v>
      </c>
      <c r="S21" s="75">
        <v>41.2</v>
      </c>
      <c r="T21" s="76">
        <v>20.8</v>
      </c>
      <c r="U21" s="77">
        <v>0</v>
      </c>
      <c r="V21" s="75">
        <v>38.200000000000003</v>
      </c>
      <c r="W21" s="76">
        <v>23.7</v>
      </c>
      <c r="X21" s="77">
        <v>0</v>
      </c>
      <c r="Y21" s="75">
        <v>32.6</v>
      </c>
      <c r="Z21" s="76">
        <v>23.3</v>
      </c>
      <c r="AA21" s="77">
        <v>3.5</v>
      </c>
      <c r="AB21" s="75">
        <v>30.4</v>
      </c>
      <c r="AC21" s="76">
        <v>23.3</v>
      </c>
      <c r="AD21" s="77">
        <v>0</v>
      </c>
      <c r="AE21" s="75">
        <v>29.5</v>
      </c>
      <c r="AF21" s="76">
        <v>22.8</v>
      </c>
      <c r="AG21" s="77">
        <v>0.3</v>
      </c>
      <c r="AH21" s="75">
        <v>30.2</v>
      </c>
      <c r="AI21" s="76">
        <v>19.8</v>
      </c>
      <c r="AJ21" s="77">
        <v>0</v>
      </c>
      <c r="AK21" s="75">
        <v>31.1</v>
      </c>
      <c r="AL21" s="76">
        <v>19.600000000000001</v>
      </c>
      <c r="AM21" s="77">
        <v>0</v>
      </c>
      <c r="AN21" s="75">
        <v>31.9</v>
      </c>
      <c r="AO21" s="76">
        <v>22</v>
      </c>
      <c r="AP21" s="77">
        <v>0</v>
      </c>
      <c r="AQ21" s="75">
        <v>24.9</v>
      </c>
      <c r="AR21" s="76">
        <v>10.1</v>
      </c>
      <c r="AS21" s="77">
        <v>0</v>
      </c>
    </row>
    <row r="22" spans="2:45" x14ac:dyDescent="0.35">
      <c r="B22" s="49">
        <v>40148</v>
      </c>
      <c r="F22" s="57"/>
      <c r="G22" s="58"/>
      <c r="H22" s="68"/>
      <c r="I22" s="69">
        <v>14</v>
      </c>
      <c r="J22" s="70">
        <v>28.9</v>
      </c>
      <c r="K22" s="71">
        <v>12.2</v>
      </c>
      <c r="L22" s="72">
        <v>0</v>
      </c>
      <c r="M22" s="70">
        <v>33.200000000000003</v>
      </c>
      <c r="N22" s="71">
        <v>15</v>
      </c>
      <c r="O22" s="72">
        <v>0</v>
      </c>
      <c r="P22" s="70">
        <v>36.1</v>
      </c>
      <c r="Q22" s="71">
        <v>18.399999999999999</v>
      </c>
      <c r="R22" s="72">
        <v>0</v>
      </c>
      <c r="S22" s="70">
        <v>38.4</v>
      </c>
      <c r="T22" s="71">
        <v>20.100000000000001</v>
      </c>
      <c r="U22" s="72">
        <v>0</v>
      </c>
      <c r="V22" s="70">
        <v>38.9</v>
      </c>
      <c r="W22" s="71">
        <v>24</v>
      </c>
      <c r="X22" s="72">
        <v>0</v>
      </c>
      <c r="Y22" s="70">
        <v>28.8</v>
      </c>
      <c r="Z22" s="71">
        <v>23.5</v>
      </c>
      <c r="AA22" s="72">
        <v>10.4</v>
      </c>
      <c r="AB22" s="70">
        <v>29.7</v>
      </c>
      <c r="AC22" s="71">
        <v>22.7</v>
      </c>
      <c r="AD22" s="72">
        <v>0</v>
      </c>
      <c r="AE22" s="70">
        <v>27.8</v>
      </c>
      <c r="AF22" s="71">
        <v>22.4</v>
      </c>
      <c r="AG22" s="72">
        <v>0</v>
      </c>
      <c r="AH22" s="70">
        <v>31</v>
      </c>
      <c r="AI22" s="71">
        <v>21.8</v>
      </c>
      <c r="AJ22" s="72">
        <v>0</v>
      </c>
      <c r="AK22" s="70">
        <v>32.6</v>
      </c>
      <c r="AL22" s="71">
        <v>20.2</v>
      </c>
      <c r="AM22" s="72">
        <v>1.6</v>
      </c>
      <c r="AN22" s="70">
        <v>32.200000000000003</v>
      </c>
      <c r="AO22" s="71">
        <v>21.4</v>
      </c>
      <c r="AP22" s="72">
        <v>0.8</v>
      </c>
      <c r="AQ22" s="70">
        <v>25.6</v>
      </c>
      <c r="AR22" s="71">
        <v>10.3</v>
      </c>
      <c r="AS22" s="72">
        <v>0</v>
      </c>
    </row>
    <row r="23" spans="2:45" x14ac:dyDescent="0.35">
      <c r="B23" s="49">
        <v>40179</v>
      </c>
      <c r="F23" s="57"/>
      <c r="G23" s="58"/>
      <c r="H23" s="73"/>
      <c r="I23" s="74">
        <v>15</v>
      </c>
      <c r="J23" s="75">
        <v>28.6</v>
      </c>
      <c r="K23" s="76">
        <v>13.2</v>
      </c>
      <c r="L23" s="77">
        <v>0</v>
      </c>
      <c r="M23" s="75">
        <v>33.9</v>
      </c>
      <c r="N23" s="76">
        <v>17.600000000000001</v>
      </c>
      <c r="O23" s="77">
        <v>0</v>
      </c>
      <c r="P23" s="75">
        <v>36</v>
      </c>
      <c r="Q23" s="76">
        <v>15.1</v>
      </c>
      <c r="R23" s="77">
        <v>0</v>
      </c>
      <c r="S23" s="75">
        <v>40.1</v>
      </c>
      <c r="T23" s="76">
        <v>23.1</v>
      </c>
      <c r="U23" s="77">
        <v>0</v>
      </c>
      <c r="V23" s="75">
        <v>38.9</v>
      </c>
      <c r="W23" s="76">
        <v>24.2</v>
      </c>
      <c r="X23" s="77">
        <v>0</v>
      </c>
      <c r="Y23" s="75">
        <v>30.2</v>
      </c>
      <c r="Z23" s="76">
        <v>21.6</v>
      </c>
      <c r="AA23" s="77">
        <v>99.4</v>
      </c>
      <c r="AB23" s="75">
        <v>30.9</v>
      </c>
      <c r="AC23" s="76">
        <v>23.8</v>
      </c>
      <c r="AD23" s="77">
        <v>0</v>
      </c>
      <c r="AE23" s="75">
        <v>30.5</v>
      </c>
      <c r="AF23" s="76">
        <v>21.7</v>
      </c>
      <c r="AG23" s="77">
        <v>0</v>
      </c>
      <c r="AH23" s="75">
        <v>29</v>
      </c>
      <c r="AI23" s="76">
        <v>22.1</v>
      </c>
      <c r="AJ23" s="77">
        <v>0</v>
      </c>
      <c r="AK23" s="75">
        <v>32.4</v>
      </c>
      <c r="AL23" s="76">
        <v>21.3</v>
      </c>
      <c r="AM23" s="77">
        <v>1.7</v>
      </c>
      <c r="AN23" s="75">
        <v>31</v>
      </c>
      <c r="AO23" s="76">
        <v>21.1</v>
      </c>
      <c r="AP23" s="77">
        <v>11.2</v>
      </c>
      <c r="AQ23" s="75">
        <v>26.8</v>
      </c>
      <c r="AR23" s="76">
        <v>11.1</v>
      </c>
      <c r="AS23" s="77">
        <v>0</v>
      </c>
    </row>
    <row r="24" spans="2:45" x14ac:dyDescent="0.35">
      <c r="B24" s="49">
        <v>40210</v>
      </c>
      <c r="F24" s="57"/>
      <c r="G24" s="58"/>
      <c r="H24" s="68"/>
      <c r="I24" s="69">
        <v>16</v>
      </c>
      <c r="J24" s="70">
        <v>28</v>
      </c>
      <c r="K24" s="71">
        <v>15.3</v>
      </c>
      <c r="L24" s="72">
        <v>0</v>
      </c>
      <c r="M24" s="70">
        <v>33.6</v>
      </c>
      <c r="N24" s="71">
        <v>16.600000000000001</v>
      </c>
      <c r="O24" s="72">
        <v>0</v>
      </c>
      <c r="P24" s="70">
        <v>35.9</v>
      </c>
      <c r="Q24" s="71">
        <v>15.3</v>
      </c>
      <c r="R24" s="72">
        <v>0</v>
      </c>
      <c r="S24" s="70">
        <v>40.9</v>
      </c>
      <c r="T24" s="71">
        <v>24.5</v>
      </c>
      <c r="U24" s="72">
        <v>0</v>
      </c>
      <c r="V24" s="70">
        <v>39.4</v>
      </c>
      <c r="W24" s="71">
        <v>22.3</v>
      </c>
      <c r="X24" s="72">
        <v>0</v>
      </c>
      <c r="Y24" s="70">
        <v>29.1</v>
      </c>
      <c r="Z24" s="71">
        <v>23.1</v>
      </c>
      <c r="AA24" s="72">
        <v>19.2</v>
      </c>
      <c r="AB24" s="70">
        <v>31.3</v>
      </c>
      <c r="AC24" s="71">
        <v>23.4</v>
      </c>
      <c r="AD24" s="72">
        <v>0</v>
      </c>
      <c r="AE24" s="70">
        <v>31.9</v>
      </c>
      <c r="AF24" s="71">
        <v>22.5</v>
      </c>
      <c r="AG24" s="72">
        <v>0</v>
      </c>
      <c r="AH24" s="70">
        <v>30.7</v>
      </c>
      <c r="AI24" s="71">
        <v>21.9</v>
      </c>
      <c r="AJ24" s="72">
        <v>0.1</v>
      </c>
      <c r="AK24" s="70">
        <v>31.5</v>
      </c>
      <c r="AL24" s="71">
        <v>21.9</v>
      </c>
      <c r="AM24" s="72">
        <v>0</v>
      </c>
      <c r="AN24" s="70">
        <v>30.4</v>
      </c>
      <c r="AO24" s="71">
        <v>20.8</v>
      </c>
      <c r="AP24" s="72">
        <v>1.2</v>
      </c>
      <c r="AQ24" s="70">
        <v>26.6</v>
      </c>
      <c r="AR24" s="71">
        <v>10.8</v>
      </c>
      <c r="AS24" s="72">
        <v>0</v>
      </c>
    </row>
    <row r="25" spans="2:45" x14ac:dyDescent="0.35">
      <c r="B25" s="49">
        <v>40238</v>
      </c>
      <c r="F25" s="57"/>
      <c r="G25" s="58"/>
      <c r="H25" s="73"/>
      <c r="I25" s="74">
        <v>17</v>
      </c>
      <c r="J25" s="75">
        <v>30.2</v>
      </c>
      <c r="K25" s="76">
        <v>14</v>
      </c>
      <c r="L25" s="77">
        <v>0</v>
      </c>
      <c r="M25" s="75">
        <v>34.4</v>
      </c>
      <c r="N25" s="76">
        <v>15.7</v>
      </c>
      <c r="O25" s="77">
        <v>0</v>
      </c>
      <c r="P25" s="75">
        <v>37.1</v>
      </c>
      <c r="Q25" s="76">
        <v>13.8</v>
      </c>
      <c r="R25" s="77">
        <v>0</v>
      </c>
      <c r="S25" s="75">
        <v>41.5</v>
      </c>
      <c r="T25" s="76">
        <v>23</v>
      </c>
      <c r="U25" s="77">
        <v>0</v>
      </c>
      <c r="V25" s="75">
        <v>38.4</v>
      </c>
      <c r="W25" s="76">
        <v>24.6</v>
      </c>
      <c r="X25" s="77">
        <v>0</v>
      </c>
      <c r="Y25" s="75">
        <v>27.7</v>
      </c>
      <c r="Z25" s="76">
        <v>22.7</v>
      </c>
      <c r="AA25" s="77">
        <v>5.6</v>
      </c>
      <c r="AB25" s="75">
        <v>31.1</v>
      </c>
      <c r="AC25" s="76">
        <v>23.5</v>
      </c>
      <c r="AD25" s="77">
        <v>0.4</v>
      </c>
      <c r="AE25" s="75">
        <v>29.8</v>
      </c>
      <c r="AF25" s="76">
        <v>23</v>
      </c>
      <c r="AG25" s="77">
        <v>0</v>
      </c>
      <c r="AH25" s="75">
        <v>30.3</v>
      </c>
      <c r="AI25" s="76">
        <v>21.9</v>
      </c>
      <c r="AJ25" s="77">
        <v>0</v>
      </c>
      <c r="AK25" s="75">
        <v>30</v>
      </c>
      <c r="AL25" s="76">
        <v>24.4</v>
      </c>
      <c r="AM25" s="77">
        <v>0</v>
      </c>
      <c r="AN25" s="75">
        <v>30</v>
      </c>
      <c r="AO25" s="76">
        <v>19.5</v>
      </c>
      <c r="AP25" s="77">
        <v>0</v>
      </c>
      <c r="AQ25" s="75">
        <v>27.8</v>
      </c>
      <c r="AR25" s="76">
        <v>9.6</v>
      </c>
      <c r="AS25" s="77">
        <v>0</v>
      </c>
    </row>
    <row r="26" spans="2:45" x14ac:dyDescent="0.35">
      <c r="B26" s="49">
        <v>40269</v>
      </c>
      <c r="F26" s="57"/>
      <c r="G26" s="58"/>
      <c r="H26" s="68"/>
      <c r="I26" s="69">
        <v>18</v>
      </c>
      <c r="J26" s="70">
        <v>30</v>
      </c>
      <c r="K26" s="71">
        <v>11.5</v>
      </c>
      <c r="L26" s="72">
        <v>0</v>
      </c>
      <c r="M26" s="70">
        <v>32.700000000000003</v>
      </c>
      <c r="N26" s="71">
        <v>14.3</v>
      </c>
      <c r="O26" s="72">
        <v>0</v>
      </c>
      <c r="P26" s="70">
        <v>37.1</v>
      </c>
      <c r="Q26" s="71">
        <v>17.399999999999999</v>
      </c>
      <c r="R26" s="72">
        <v>0</v>
      </c>
      <c r="S26" s="70">
        <v>39.6</v>
      </c>
      <c r="T26" s="71">
        <v>25.8</v>
      </c>
      <c r="U26" s="72">
        <v>0</v>
      </c>
      <c r="V26" s="70">
        <v>39.700000000000003</v>
      </c>
      <c r="W26" s="71">
        <v>26.3</v>
      </c>
      <c r="X26" s="72">
        <v>0</v>
      </c>
      <c r="Y26" s="70">
        <v>30.7</v>
      </c>
      <c r="Z26" s="71">
        <v>23.6</v>
      </c>
      <c r="AA26" s="72">
        <v>0</v>
      </c>
      <c r="AB26" s="70">
        <v>31.4</v>
      </c>
      <c r="AC26" s="71">
        <v>22.2</v>
      </c>
      <c r="AD26" s="72">
        <v>0</v>
      </c>
      <c r="AE26" s="70">
        <v>29.4</v>
      </c>
      <c r="AF26" s="71">
        <v>23.4</v>
      </c>
      <c r="AG26" s="72">
        <v>27.4</v>
      </c>
      <c r="AH26" s="70">
        <v>29.2</v>
      </c>
      <c r="AI26" s="71">
        <v>22.5</v>
      </c>
      <c r="AJ26" s="72">
        <v>0</v>
      </c>
      <c r="AK26" s="70">
        <v>30.6</v>
      </c>
      <c r="AL26" s="71">
        <v>20.8</v>
      </c>
      <c r="AM26" s="72">
        <v>33.4</v>
      </c>
      <c r="AN26" s="70">
        <v>30.1</v>
      </c>
      <c r="AO26" s="71">
        <v>19.8</v>
      </c>
      <c r="AP26" s="72">
        <v>0</v>
      </c>
      <c r="AQ26" s="70">
        <v>28</v>
      </c>
      <c r="AR26" s="71">
        <v>8.5</v>
      </c>
      <c r="AS26" s="72">
        <v>0</v>
      </c>
    </row>
    <row r="27" spans="2:45" x14ac:dyDescent="0.35">
      <c r="B27" s="49">
        <v>40299</v>
      </c>
      <c r="F27" s="57"/>
      <c r="G27" s="58"/>
      <c r="H27" s="73"/>
      <c r="I27" s="74">
        <v>19</v>
      </c>
      <c r="J27" s="75">
        <v>29.7</v>
      </c>
      <c r="K27" s="76">
        <v>12</v>
      </c>
      <c r="L27" s="77">
        <v>0</v>
      </c>
      <c r="M27" s="75">
        <v>34.4</v>
      </c>
      <c r="N27" s="76">
        <v>15</v>
      </c>
      <c r="O27" s="77">
        <v>0</v>
      </c>
      <c r="P27" s="75">
        <v>37.6</v>
      </c>
      <c r="Q27" s="76">
        <v>19.899999999999999</v>
      </c>
      <c r="R27" s="77">
        <v>0</v>
      </c>
      <c r="S27" s="75">
        <v>38.1</v>
      </c>
      <c r="T27" s="76">
        <v>23.5</v>
      </c>
      <c r="U27" s="77">
        <v>0</v>
      </c>
      <c r="V27" s="75">
        <v>41.9</v>
      </c>
      <c r="W27" s="76">
        <v>28</v>
      </c>
      <c r="X27" s="77">
        <v>0</v>
      </c>
      <c r="Y27" s="75">
        <v>31</v>
      </c>
      <c r="Z27" s="76">
        <v>22.4</v>
      </c>
      <c r="AA27" s="77">
        <v>2.1</v>
      </c>
      <c r="AB27" s="75">
        <v>30.7</v>
      </c>
      <c r="AC27" s="76">
        <v>23.2</v>
      </c>
      <c r="AD27" s="77">
        <v>0.3</v>
      </c>
      <c r="AE27" s="75">
        <v>28</v>
      </c>
      <c r="AF27" s="76">
        <v>22.1</v>
      </c>
      <c r="AG27" s="77">
        <v>0.7</v>
      </c>
      <c r="AH27" s="75">
        <v>31.5</v>
      </c>
      <c r="AI27" s="76">
        <v>20.5</v>
      </c>
      <c r="AJ27" s="77">
        <v>0.6</v>
      </c>
      <c r="AK27" s="75">
        <v>30.5</v>
      </c>
      <c r="AL27" s="76">
        <v>23.3</v>
      </c>
      <c r="AM27" s="77">
        <v>21.2</v>
      </c>
      <c r="AN27" s="75">
        <v>29.5</v>
      </c>
      <c r="AO27" s="76">
        <v>21.2</v>
      </c>
      <c r="AP27" s="77">
        <v>0</v>
      </c>
      <c r="AQ27" s="75">
        <v>27.3</v>
      </c>
      <c r="AR27" s="76">
        <v>7.3</v>
      </c>
      <c r="AS27" s="77">
        <v>0</v>
      </c>
    </row>
    <row r="28" spans="2:45" x14ac:dyDescent="0.35">
      <c r="B28" s="49">
        <v>40330</v>
      </c>
      <c r="F28" s="57"/>
      <c r="G28" s="58"/>
      <c r="H28" s="68"/>
      <c r="I28" s="69">
        <v>20</v>
      </c>
      <c r="J28" s="70">
        <v>28.9</v>
      </c>
      <c r="K28" s="71">
        <v>12.8</v>
      </c>
      <c r="L28" s="72">
        <v>0</v>
      </c>
      <c r="M28" s="70">
        <v>34.700000000000003</v>
      </c>
      <c r="N28" s="71">
        <v>13.8</v>
      </c>
      <c r="O28" s="72">
        <v>0</v>
      </c>
      <c r="P28" s="70">
        <v>37.6</v>
      </c>
      <c r="Q28" s="71">
        <v>19.100000000000001</v>
      </c>
      <c r="R28" s="72">
        <v>0</v>
      </c>
      <c r="S28" s="70">
        <v>36.4</v>
      </c>
      <c r="T28" s="71">
        <v>20</v>
      </c>
      <c r="U28" s="72">
        <v>0</v>
      </c>
      <c r="V28" s="70">
        <v>37.200000000000003</v>
      </c>
      <c r="W28" s="71">
        <v>25.3</v>
      </c>
      <c r="X28" s="72">
        <v>0</v>
      </c>
      <c r="Y28" s="70">
        <v>32.799999999999997</v>
      </c>
      <c r="Z28" s="71">
        <v>23.7</v>
      </c>
      <c r="AA28" s="72">
        <v>0</v>
      </c>
      <c r="AB28" s="70">
        <v>30.8</v>
      </c>
      <c r="AC28" s="71">
        <v>23.4</v>
      </c>
      <c r="AD28" s="72">
        <v>0.4</v>
      </c>
      <c r="AE28" s="70">
        <v>27.4</v>
      </c>
      <c r="AF28" s="71">
        <v>22.3</v>
      </c>
      <c r="AG28" s="72">
        <v>0</v>
      </c>
      <c r="AH28" s="70">
        <v>32.299999999999997</v>
      </c>
      <c r="AI28" s="71">
        <v>21.4</v>
      </c>
      <c r="AJ28" s="72">
        <v>0.2</v>
      </c>
      <c r="AK28" s="70">
        <v>31.6</v>
      </c>
      <c r="AL28" s="71">
        <v>22.3</v>
      </c>
      <c r="AM28" s="72">
        <v>3.5</v>
      </c>
      <c r="AN28" s="70">
        <v>31.8</v>
      </c>
      <c r="AO28" s="71">
        <v>21.3</v>
      </c>
      <c r="AP28" s="72">
        <v>1.7</v>
      </c>
      <c r="AQ28" s="70">
        <v>27.4</v>
      </c>
      <c r="AR28" s="71">
        <v>6.5</v>
      </c>
      <c r="AS28" s="72">
        <v>0</v>
      </c>
    </row>
    <row r="29" spans="2:45" x14ac:dyDescent="0.35">
      <c r="B29" s="49">
        <v>40360</v>
      </c>
      <c r="F29" s="57"/>
      <c r="G29" s="58"/>
      <c r="H29" s="73"/>
      <c r="I29" s="74">
        <v>21</v>
      </c>
      <c r="J29" s="75">
        <v>29.1</v>
      </c>
      <c r="K29" s="76">
        <v>12</v>
      </c>
      <c r="L29" s="77">
        <v>0</v>
      </c>
      <c r="M29" s="75">
        <v>35.5</v>
      </c>
      <c r="N29" s="76">
        <v>14.3</v>
      </c>
      <c r="O29" s="77">
        <v>0</v>
      </c>
      <c r="P29" s="75">
        <v>38.9</v>
      </c>
      <c r="Q29" s="76">
        <v>19.7</v>
      </c>
      <c r="R29" s="77">
        <v>0</v>
      </c>
      <c r="S29" s="75">
        <v>37.5</v>
      </c>
      <c r="T29" s="76">
        <v>19.899999999999999</v>
      </c>
      <c r="U29" s="77">
        <v>0</v>
      </c>
      <c r="V29" s="75">
        <v>39.4</v>
      </c>
      <c r="W29" s="76">
        <v>25.9</v>
      </c>
      <c r="X29" s="77">
        <v>0</v>
      </c>
      <c r="Y29" s="75">
        <v>30.2</v>
      </c>
      <c r="Z29" s="76">
        <v>23.3</v>
      </c>
      <c r="AA29" s="77">
        <v>1.3</v>
      </c>
      <c r="AB29" s="75">
        <v>29.4</v>
      </c>
      <c r="AC29" s="76">
        <v>23.2</v>
      </c>
      <c r="AD29" s="77">
        <v>0.2</v>
      </c>
      <c r="AE29" s="75">
        <v>27.6</v>
      </c>
      <c r="AF29" s="76">
        <v>22.1</v>
      </c>
      <c r="AG29" s="77">
        <v>0</v>
      </c>
      <c r="AH29" s="75">
        <v>31.4</v>
      </c>
      <c r="AI29" s="76">
        <v>22.8</v>
      </c>
      <c r="AJ29" s="77">
        <v>0</v>
      </c>
      <c r="AK29" s="75">
        <v>31.5</v>
      </c>
      <c r="AL29" s="76">
        <v>23.3</v>
      </c>
      <c r="AM29" s="77">
        <v>0</v>
      </c>
      <c r="AN29" s="75">
        <v>31.1</v>
      </c>
      <c r="AO29" s="76">
        <v>20.399999999999999</v>
      </c>
      <c r="AP29" s="77">
        <v>0</v>
      </c>
      <c r="AQ29" s="75">
        <v>27.4</v>
      </c>
      <c r="AR29" s="76">
        <v>7.4</v>
      </c>
      <c r="AS29" s="77">
        <v>0</v>
      </c>
    </row>
    <row r="30" spans="2:45" x14ac:dyDescent="0.35">
      <c r="B30" s="49">
        <v>40391</v>
      </c>
      <c r="F30" s="57"/>
      <c r="G30" s="58"/>
      <c r="H30" s="68"/>
      <c r="I30" s="69">
        <v>22</v>
      </c>
      <c r="J30" s="70">
        <v>29.1</v>
      </c>
      <c r="K30" s="71">
        <v>10.1</v>
      </c>
      <c r="L30" s="72">
        <v>0</v>
      </c>
      <c r="M30" s="70">
        <v>36.299999999999997</v>
      </c>
      <c r="N30" s="71">
        <v>17.7</v>
      </c>
      <c r="O30" s="72">
        <v>0</v>
      </c>
      <c r="P30" s="70">
        <v>39</v>
      </c>
      <c r="Q30" s="71">
        <v>21.6</v>
      </c>
      <c r="R30" s="72">
        <v>0</v>
      </c>
      <c r="S30" s="70">
        <v>39.299999999999997</v>
      </c>
      <c r="T30" s="71">
        <v>20.8</v>
      </c>
      <c r="U30" s="72">
        <v>0</v>
      </c>
      <c r="V30" s="70">
        <v>37.700000000000003</v>
      </c>
      <c r="W30" s="71">
        <v>26.2</v>
      </c>
      <c r="X30" s="72">
        <v>0</v>
      </c>
      <c r="Y30" s="70">
        <v>31.2</v>
      </c>
      <c r="Z30" s="71">
        <v>24</v>
      </c>
      <c r="AA30" s="72">
        <v>0</v>
      </c>
      <c r="AB30" s="70">
        <v>28.3</v>
      </c>
      <c r="AC30" s="71">
        <v>22.6</v>
      </c>
      <c r="AD30" s="72">
        <v>1.3</v>
      </c>
      <c r="AE30" s="70">
        <v>30.1</v>
      </c>
      <c r="AF30" s="71">
        <v>22.3</v>
      </c>
      <c r="AG30" s="72">
        <v>0.1</v>
      </c>
      <c r="AH30" s="70">
        <v>30.9</v>
      </c>
      <c r="AI30" s="71">
        <v>21.2</v>
      </c>
      <c r="AJ30" s="72">
        <v>15.8</v>
      </c>
      <c r="AK30" s="70">
        <v>31.7</v>
      </c>
      <c r="AL30" s="71">
        <v>21.2</v>
      </c>
      <c r="AM30" s="72">
        <v>0</v>
      </c>
      <c r="AN30" s="70">
        <v>30.1</v>
      </c>
      <c r="AO30" s="71">
        <v>21.1</v>
      </c>
      <c r="AP30" s="72">
        <v>3.4</v>
      </c>
      <c r="AQ30" s="70">
        <v>29.3</v>
      </c>
      <c r="AR30" s="71">
        <v>8.5</v>
      </c>
      <c r="AS30" s="72">
        <v>0</v>
      </c>
    </row>
    <row r="31" spans="2:45" x14ac:dyDescent="0.35">
      <c r="B31" s="49">
        <v>40422</v>
      </c>
      <c r="F31" s="57"/>
      <c r="G31" s="58"/>
      <c r="H31" s="73"/>
      <c r="I31" s="74">
        <v>23</v>
      </c>
      <c r="J31" s="75">
        <v>29.8</v>
      </c>
      <c r="K31" s="76">
        <v>9.1</v>
      </c>
      <c r="L31" s="77">
        <v>0</v>
      </c>
      <c r="M31" s="75">
        <v>35.799999999999997</v>
      </c>
      <c r="N31" s="76">
        <v>16.7</v>
      </c>
      <c r="O31" s="77">
        <v>0</v>
      </c>
      <c r="P31" s="75">
        <v>38.9</v>
      </c>
      <c r="Q31" s="76">
        <v>17.600000000000001</v>
      </c>
      <c r="R31" s="77">
        <v>0</v>
      </c>
      <c r="S31" s="75">
        <v>39.799999999999997</v>
      </c>
      <c r="T31" s="76">
        <v>23.4</v>
      </c>
      <c r="U31" s="77">
        <v>0</v>
      </c>
      <c r="V31" s="75">
        <v>37.9</v>
      </c>
      <c r="W31" s="76">
        <v>26</v>
      </c>
      <c r="X31" s="77">
        <v>0</v>
      </c>
      <c r="Y31" s="75">
        <v>31.9</v>
      </c>
      <c r="Z31" s="76">
        <v>23.8</v>
      </c>
      <c r="AA31" s="77">
        <v>1.3</v>
      </c>
      <c r="AB31" s="75">
        <v>27.8</v>
      </c>
      <c r="AC31" s="76">
        <v>22.8</v>
      </c>
      <c r="AD31" s="77">
        <v>2.4</v>
      </c>
      <c r="AE31" s="75">
        <v>29.9</v>
      </c>
      <c r="AF31" s="76">
        <v>22.1</v>
      </c>
      <c r="AG31" s="77">
        <v>1.2</v>
      </c>
      <c r="AH31" s="75">
        <v>32.9</v>
      </c>
      <c r="AI31" s="76">
        <v>22.4</v>
      </c>
      <c r="AJ31" s="77">
        <v>0.1</v>
      </c>
      <c r="AK31" s="75">
        <v>31.3</v>
      </c>
      <c r="AL31" s="76">
        <v>20.5</v>
      </c>
      <c r="AM31" s="77">
        <v>1.2</v>
      </c>
      <c r="AN31" s="75">
        <v>30.7</v>
      </c>
      <c r="AO31" s="76">
        <v>20.2</v>
      </c>
      <c r="AP31" s="77">
        <v>1.6</v>
      </c>
      <c r="AQ31" s="75">
        <v>30.4</v>
      </c>
      <c r="AR31" s="76">
        <v>8.6</v>
      </c>
      <c r="AS31" s="77">
        <v>0</v>
      </c>
    </row>
    <row r="32" spans="2:45" x14ac:dyDescent="0.35">
      <c r="B32" s="49">
        <v>40452</v>
      </c>
      <c r="F32" s="57"/>
      <c r="G32" s="58"/>
      <c r="H32" s="68"/>
      <c r="I32" s="69">
        <v>24</v>
      </c>
      <c r="J32" s="70">
        <v>28.8</v>
      </c>
      <c r="K32" s="71">
        <v>9.5</v>
      </c>
      <c r="L32" s="72">
        <v>0</v>
      </c>
      <c r="M32" s="70">
        <v>34.1</v>
      </c>
      <c r="N32" s="71">
        <v>11.5</v>
      </c>
      <c r="O32" s="72">
        <v>0</v>
      </c>
      <c r="P32" s="70">
        <v>37.700000000000003</v>
      </c>
      <c r="Q32" s="71">
        <v>17</v>
      </c>
      <c r="R32" s="72">
        <v>0</v>
      </c>
      <c r="S32" s="70">
        <v>40.4</v>
      </c>
      <c r="T32" s="71">
        <v>22.4</v>
      </c>
      <c r="U32" s="72">
        <v>0</v>
      </c>
      <c r="V32" s="70">
        <v>38.299999999999997</v>
      </c>
      <c r="W32" s="71">
        <v>25.5</v>
      </c>
      <c r="X32" s="72">
        <v>0</v>
      </c>
      <c r="Y32" s="70">
        <v>29.8</v>
      </c>
      <c r="Z32" s="71">
        <v>23.3</v>
      </c>
      <c r="AA32" s="72">
        <v>0.1</v>
      </c>
      <c r="AB32" s="70">
        <v>27.4</v>
      </c>
      <c r="AC32" s="71">
        <v>23</v>
      </c>
      <c r="AD32" s="72">
        <v>5.9</v>
      </c>
      <c r="AE32" s="70">
        <v>29</v>
      </c>
      <c r="AF32" s="71">
        <v>22.1</v>
      </c>
      <c r="AG32" s="72">
        <v>0.1</v>
      </c>
      <c r="AH32" s="70">
        <v>32.6</v>
      </c>
      <c r="AI32" s="71">
        <v>21.9</v>
      </c>
      <c r="AJ32" s="72">
        <v>0</v>
      </c>
      <c r="AK32" s="70">
        <v>31.3</v>
      </c>
      <c r="AL32" s="71">
        <v>20.100000000000001</v>
      </c>
      <c r="AM32" s="72">
        <v>0.2</v>
      </c>
      <c r="AN32" s="70">
        <v>30.4</v>
      </c>
      <c r="AO32" s="71">
        <v>18.8</v>
      </c>
      <c r="AP32" s="72">
        <v>0</v>
      </c>
      <c r="AQ32" s="70">
        <v>30.6</v>
      </c>
      <c r="AR32" s="71">
        <v>9.1999999999999993</v>
      </c>
      <c r="AS32" s="72">
        <v>0</v>
      </c>
    </row>
    <row r="33" spans="2:45" x14ac:dyDescent="0.35">
      <c r="B33" s="49">
        <v>40483</v>
      </c>
      <c r="F33" s="57"/>
      <c r="G33" s="58"/>
      <c r="H33" s="73"/>
      <c r="I33" s="74">
        <v>25</v>
      </c>
      <c r="J33" s="75">
        <v>29.3</v>
      </c>
      <c r="K33" s="76">
        <v>10.6</v>
      </c>
      <c r="L33" s="77">
        <v>0</v>
      </c>
      <c r="M33" s="75">
        <v>31.9</v>
      </c>
      <c r="N33" s="76">
        <v>10.4</v>
      </c>
      <c r="O33" s="77">
        <v>0</v>
      </c>
      <c r="P33" s="75">
        <v>38.1</v>
      </c>
      <c r="Q33" s="76">
        <v>16.2</v>
      </c>
      <c r="R33" s="77">
        <v>0</v>
      </c>
      <c r="S33" s="75">
        <v>39.4</v>
      </c>
      <c r="T33" s="76">
        <v>21.6</v>
      </c>
      <c r="U33" s="77">
        <v>0</v>
      </c>
      <c r="V33" s="75">
        <v>37.200000000000003</v>
      </c>
      <c r="W33" s="76">
        <v>25.1</v>
      </c>
      <c r="X33" s="77">
        <v>0</v>
      </c>
      <c r="Y33" s="75">
        <v>29.3</v>
      </c>
      <c r="Z33" s="76">
        <v>21.7</v>
      </c>
      <c r="AA33" s="77">
        <v>0.1</v>
      </c>
      <c r="AB33" s="75">
        <v>25.5</v>
      </c>
      <c r="AC33" s="76">
        <v>21.9</v>
      </c>
      <c r="AD33" s="77">
        <v>19.7</v>
      </c>
      <c r="AE33" s="75">
        <v>28.9</v>
      </c>
      <c r="AF33" s="76">
        <v>22.6</v>
      </c>
      <c r="AG33" s="77">
        <v>0.3</v>
      </c>
      <c r="AH33" s="75">
        <v>32.9</v>
      </c>
      <c r="AI33" s="76">
        <v>20.399999999999999</v>
      </c>
      <c r="AJ33" s="77">
        <v>0.2</v>
      </c>
      <c r="AK33" s="75">
        <v>31.8</v>
      </c>
      <c r="AL33" s="76">
        <v>20.6</v>
      </c>
      <c r="AM33" s="77">
        <v>0</v>
      </c>
      <c r="AN33" s="75">
        <v>31.4</v>
      </c>
      <c r="AO33" s="76">
        <v>20.8</v>
      </c>
      <c r="AP33" s="77">
        <v>5.5</v>
      </c>
      <c r="AQ33" s="75">
        <v>30.6</v>
      </c>
      <c r="AR33" s="76">
        <v>9.5</v>
      </c>
      <c r="AS33" s="77">
        <v>0</v>
      </c>
    </row>
    <row r="34" spans="2:45" x14ac:dyDescent="0.35">
      <c r="B34" s="49">
        <v>40513</v>
      </c>
      <c r="F34" s="57"/>
      <c r="G34" s="58"/>
      <c r="H34" s="68"/>
      <c r="I34" s="69">
        <v>26</v>
      </c>
      <c r="J34" s="70">
        <v>28.6</v>
      </c>
      <c r="K34" s="71">
        <v>10.8</v>
      </c>
      <c r="L34" s="72">
        <v>0</v>
      </c>
      <c r="M34" s="70">
        <v>32.799999999999997</v>
      </c>
      <c r="N34" s="71">
        <v>13.2</v>
      </c>
      <c r="O34" s="72">
        <v>0</v>
      </c>
      <c r="P34" s="70">
        <v>37.9</v>
      </c>
      <c r="Q34" s="71">
        <v>18.7</v>
      </c>
      <c r="R34" s="72">
        <v>0</v>
      </c>
      <c r="S34" s="70">
        <v>39</v>
      </c>
      <c r="T34" s="71">
        <v>20.8</v>
      </c>
      <c r="U34" s="72">
        <v>0</v>
      </c>
      <c r="V34" s="70">
        <v>37.4</v>
      </c>
      <c r="W34" s="71">
        <v>25.3</v>
      </c>
      <c r="X34" s="72">
        <v>0</v>
      </c>
      <c r="Y34" s="70">
        <v>29.9</v>
      </c>
      <c r="Z34" s="71">
        <v>22.8</v>
      </c>
      <c r="AA34" s="72">
        <v>0</v>
      </c>
      <c r="AB34" s="70">
        <v>25.9</v>
      </c>
      <c r="AC34" s="71">
        <v>22</v>
      </c>
      <c r="AD34" s="72">
        <v>54.2</v>
      </c>
      <c r="AE34" s="70">
        <v>27.4</v>
      </c>
      <c r="AF34" s="71">
        <v>22.6</v>
      </c>
      <c r="AG34" s="72">
        <v>0</v>
      </c>
      <c r="AH34" s="70">
        <v>32.1</v>
      </c>
      <c r="AI34" s="71">
        <v>21.9</v>
      </c>
      <c r="AJ34" s="72">
        <v>0.2</v>
      </c>
      <c r="AK34" s="70">
        <v>29.9</v>
      </c>
      <c r="AL34" s="71">
        <v>19.100000000000001</v>
      </c>
      <c r="AM34" s="72">
        <v>0</v>
      </c>
      <c r="AN34" s="70">
        <v>29.6</v>
      </c>
      <c r="AO34" s="71">
        <v>18.600000000000001</v>
      </c>
      <c r="AP34" s="72">
        <v>0</v>
      </c>
      <c r="AQ34" s="70">
        <v>29.2</v>
      </c>
      <c r="AR34" s="71">
        <v>9.3000000000000007</v>
      </c>
      <c r="AS34" s="72">
        <v>0</v>
      </c>
    </row>
    <row r="35" spans="2:45" x14ac:dyDescent="0.35">
      <c r="B35" s="49">
        <v>40544</v>
      </c>
      <c r="F35" s="57"/>
      <c r="G35" s="58"/>
      <c r="H35" s="73"/>
      <c r="I35" s="74">
        <v>27</v>
      </c>
      <c r="J35" s="75">
        <v>28.2</v>
      </c>
      <c r="K35" s="76">
        <v>10.7</v>
      </c>
      <c r="L35" s="77">
        <v>0</v>
      </c>
      <c r="M35" s="75">
        <v>34.299999999999997</v>
      </c>
      <c r="N35" s="76">
        <v>14</v>
      </c>
      <c r="O35" s="77">
        <v>0</v>
      </c>
      <c r="P35" s="75">
        <v>38</v>
      </c>
      <c r="Q35" s="76">
        <v>18.2</v>
      </c>
      <c r="R35" s="77">
        <v>0</v>
      </c>
      <c r="S35" s="75">
        <v>40.4</v>
      </c>
      <c r="T35" s="76">
        <v>21.2</v>
      </c>
      <c r="U35" s="77">
        <v>0</v>
      </c>
      <c r="V35" s="75">
        <v>35.9</v>
      </c>
      <c r="W35" s="76">
        <v>26</v>
      </c>
      <c r="X35" s="77">
        <v>0</v>
      </c>
      <c r="Y35" s="75">
        <v>33.1</v>
      </c>
      <c r="Z35" s="76">
        <v>23.5</v>
      </c>
      <c r="AA35" s="77">
        <v>0</v>
      </c>
      <c r="AB35" s="75">
        <v>25.7</v>
      </c>
      <c r="AC35" s="76">
        <v>22.5</v>
      </c>
      <c r="AD35" s="77">
        <v>44.5</v>
      </c>
      <c r="AE35" s="75">
        <v>30.2</v>
      </c>
      <c r="AF35" s="76">
        <v>22.6</v>
      </c>
      <c r="AG35" s="77">
        <v>2.2999999999999998</v>
      </c>
      <c r="AH35" s="75">
        <v>32.700000000000003</v>
      </c>
      <c r="AI35" s="76">
        <v>21.1</v>
      </c>
      <c r="AJ35" s="77">
        <v>10.6</v>
      </c>
      <c r="AK35" s="75">
        <v>31.6</v>
      </c>
      <c r="AL35" s="76">
        <v>18.3</v>
      </c>
      <c r="AM35" s="77">
        <v>0</v>
      </c>
      <c r="AN35" s="75">
        <v>30.4</v>
      </c>
      <c r="AO35" s="76">
        <v>20.3</v>
      </c>
      <c r="AP35" s="77">
        <v>0</v>
      </c>
      <c r="AQ35" s="75">
        <v>28.8</v>
      </c>
      <c r="AR35" s="76">
        <v>11.2</v>
      </c>
      <c r="AS35" s="77">
        <v>0</v>
      </c>
    </row>
    <row r="36" spans="2:45" x14ac:dyDescent="0.35">
      <c r="B36" s="49">
        <v>40575</v>
      </c>
      <c r="F36" s="57"/>
      <c r="G36" s="58"/>
      <c r="H36" s="68"/>
      <c r="I36" s="69">
        <v>28</v>
      </c>
      <c r="J36" s="70">
        <v>27.8</v>
      </c>
      <c r="K36" s="71">
        <v>10.8</v>
      </c>
      <c r="L36" s="72">
        <v>0</v>
      </c>
      <c r="M36" s="70">
        <v>35</v>
      </c>
      <c r="N36" s="71">
        <v>15.6</v>
      </c>
      <c r="O36" s="72">
        <v>0</v>
      </c>
      <c r="P36" s="70">
        <v>38.1</v>
      </c>
      <c r="Q36" s="71">
        <v>19.100000000000001</v>
      </c>
      <c r="R36" s="72">
        <v>0</v>
      </c>
      <c r="S36" s="70">
        <v>40.299999999999997</v>
      </c>
      <c r="T36" s="71">
        <v>23.2</v>
      </c>
      <c r="U36" s="72">
        <v>0</v>
      </c>
      <c r="V36" s="70">
        <v>36.6</v>
      </c>
      <c r="W36" s="71">
        <v>25.7</v>
      </c>
      <c r="X36" s="72">
        <v>0</v>
      </c>
      <c r="Y36" s="70">
        <v>32.299999999999997</v>
      </c>
      <c r="Z36" s="71">
        <v>24.2</v>
      </c>
      <c r="AA36" s="72">
        <v>0.4</v>
      </c>
      <c r="AB36" s="70">
        <v>27.6</v>
      </c>
      <c r="AC36" s="71">
        <v>22.8</v>
      </c>
      <c r="AD36" s="72">
        <v>9.8000000000000007</v>
      </c>
      <c r="AE36" s="70">
        <v>28.9</v>
      </c>
      <c r="AF36" s="71">
        <v>22.8</v>
      </c>
      <c r="AG36" s="72">
        <v>0.2</v>
      </c>
      <c r="AH36" s="70">
        <v>32.700000000000003</v>
      </c>
      <c r="AI36" s="71">
        <v>21.3</v>
      </c>
      <c r="AJ36" s="72">
        <v>22.5</v>
      </c>
      <c r="AK36" s="70">
        <v>31.9</v>
      </c>
      <c r="AL36" s="71">
        <v>16.399999999999999</v>
      </c>
      <c r="AM36" s="72">
        <v>0</v>
      </c>
      <c r="AN36" s="70">
        <v>30.6</v>
      </c>
      <c r="AO36" s="71">
        <v>17.8</v>
      </c>
      <c r="AP36" s="72">
        <v>0</v>
      </c>
      <c r="AQ36" s="70">
        <v>28.6</v>
      </c>
      <c r="AR36" s="71">
        <v>12.8</v>
      </c>
      <c r="AS36" s="72">
        <v>0</v>
      </c>
    </row>
    <row r="37" spans="2:45" x14ac:dyDescent="0.35">
      <c r="B37" s="49">
        <v>40603</v>
      </c>
      <c r="F37" s="57"/>
      <c r="G37" s="58"/>
      <c r="H37" s="73"/>
      <c r="I37" s="74">
        <v>29</v>
      </c>
      <c r="J37" s="75">
        <v>28.9</v>
      </c>
      <c r="K37" s="76">
        <v>11.5</v>
      </c>
      <c r="L37" s="77">
        <v>0</v>
      </c>
      <c r="M37" s="75"/>
      <c r="N37" s="76"/>
      <c r="O37" s="77"/>
      <c r="P37" s="75">
        <v>38.700000000000003</v>
      </c>
      <c r="Q37" s="76">
        <v>22.1</v>
      </c>
      <c r="R37" s="77">
        <v>0</v>
      </c>
      <c r="S37" s="75">
        <v>39.4</v>
      </c>
      <c r="T37" s="76">
        <v>23.8</v>
      </c>
      <c r="U37" s="77">
        <v>0</v>
      </c>
      <c r="V37" s="75">
        <v>36.4</v>
      </c>
      <c r="W37" s="76">
        <v>24.5</v>
      </c>
      <c r="X37" s="77">
        <v>0</v>
      </c>
      <c r="Y37" s="75">
        <v>30.5</v>
      </c>
      <c r="Z37" s="76">
        <v>24</v>
      </c>
      <c r="AA37" s="77">
        <v>0.8</v>
      </c>
      <c r="AB37" s="75">
        <v>27.7</v>
      </c>
      <c r="AC37" s="76">
        <v>22.6</v>
      </c>
      <c r="AD37" s="77">
        <v>4.7</v>
      </c>
      <c r="AE37" s="75">
        <v>29.2</v>
      </c>
      <c r="AF37" s="76">
        <v>23.1</v>
      </c>
      <c r="AG37" s="77">
        <v>22.1</v>
      </c>
      <c r="AH37" s="75">
        <v>31.6</v>
      </c>
      <c r="AI37" s="76">
        <v>22.1</v>
      </c>
      <c r="AJ37" s="77">
        <v>0</v>
      </c>
      <c r="AK37" s="75">
        <v>31.6</v>
      </c>
      <c r="AL37" s="76">
        <v>16.5</v>
      </c>
      <c r="AM37" s="77">
        <v>0</v>
      </c>
      <c r="AN37" s="75">
        <v>30</v>
      </c>
      <c r="AO37" s="76">
        <v>15.8</v>
      </c>
      <c r="AP37" s="77">
        <v>0</v>
      </c>
      <c r="AQ37" s="75">
        <v>29.1</v>
      </c>
      <c r="AR37" s="76">
        <v>14.5</v>
      </c>
      <c r="AS37" s="77">
        <v>0</v>
      </c>
    </row>
    <row r="38" spans="2:45" x14ac:dyDescent="0.35">
      <c r="B38" s="49">
        <v>40634</v>
      </c>
      <c r="F38" s="57"/>
      <c r="G38" s="58"/>
      <c r="H38" s="68"/>
      <c r="I38" s="69">
        <v>30</v>
      </c>
      <c r="J38" s="70">
        <v>29.8</v>
      </c>
      <c r="K38" s="71">
        <v>11.9</v>
      </c>
      <c r="L38" s="72">
        <v>0</v>
      </c>
      <c r="M38" s="70"/>
      <c r="N38" s="71"/>
      <c r="O38" s="72"/>
      <c r="P38" s="70">
        <v>38.799999999999997</v>
      </c>
      <c r="Q38" s="71">
        <v>20.2</v>
      </c>
      <c r="R38" s="72">
        <v>0</v>
      </c>
      <c r="S38" s="70">
        <v>40.299999999999997</v>
      </c>
      <c r="T38" s="71">
        <v>24.6</v>
      </c>
      <c r="U38" s="72">
        <v>0.3</v>
      </c>
      <c r="V38" s="70">
        <v>37.6</v>
      </c>
      <c r="W38" s="71">
        <v>24.1</v>
      </c>
      <c r="X38" s="72">
        <v>0</v>
      </c>
      <c r="Y38" s="70">
        <v>29.4</v>
      </c>
      <c r="Z38" s="71">
        <v>23.9</v>
      </c>
      <c r="AA38" s="72">
        <v>0</v>
      </c>
      <c r="AB38" s="70">
        <v>28.3</v>
      </c>
      <c r="AC38" s="71">
        <v>21.6</v>
      </c>
      <c r="AD38" s="72">
        <v>7.9</v>
      </c>
      <c r="AE38" s="70">
        <v>27.8</v>
      </c>
      <c r="AF38" s="71">
        <v>22.2</v>
      </c>
      <c r="AG38" s="72">
        <v>56.9</v>
      </c>
      <c r="AH38" s="70">
        <v>33.5</v>
      </c>
      <c r="AI38" s="71">
        <v>21.2</v>
      </c>
      <c r="AJ38" s="72">
        <v>25.3</v>
      </c>
      <c r="AK38" s="70">
        <v>30.7</v>
      </c>
      <c r="AL38" s="71">
        <v>16</v>
      </c>
      <c r="AM38" s="72">
        <v>0</v>
      </c>
      <c r="AN38" s="70">
        <v>29.9</v>
      </c>
      <c r="AO38" s="71">
        <v>17.100000000000001</v>
      </c>
      <c r="AP38" s="72">
        <v>0</v>
      </c>
      <c r="AQ38" s="70">
        <v>27.9</v>
      </c>
      <c r="AR38" s="71">
        <v>14.8</v>
      </c>
      <c r="AS38" s="72">
        <v>0</v>
      </c>
    </row>
    <row r="39" spans="2:45" x14ac:dyDescent="0.35">
      <c r="B39" s="49">
        <v>40664</v>
      </c>
      <c r="F39" s="57"/>
      <c r="G39" s="58"/>
      <c r="H39" s="78"/>
      <c r="I39" s="79">
        <v>31</v>
      </c>
      <c r="J39" s="80">
        <v>28.8</v>
      </c>
      <c r="K39" s="81">
        <v>12.7</v>
      </c>
      <c r="L39" s="82">
        <v>0</v>
      </c>
      <c r="M39" s="80"/>
      <c r="N39" s="81"/>
      <c r="O39" s="82"/>
      <c r="P39" s="80">
        <v>36</v>
      </c>
      <c r="Q39" s="81">
        <v>16.2</v>
      </c>
      <c r="R39" s="82">
        <v>0</v>
      </c>
      <c r="S39" s="80"/>
      <c r="T39" s="81"/>
      <c r="U39" s="82">
        <f>AVERAGE(U9:U38)</f>
        <v>0.01</v>
      </c>
      <c r="V39" s="80">
        <v>37.6</v>
      </c>
      <c r="W39" s="81">
        <v>24.5</v>
      </c>
      <c r="X39" s="82">
        <v>0</v>
      </c>
      <c r="Y39" s="80">
        <f>AVERAGE(Y9:Y38)</f>
        <v>32.416666666666664</v>
      </c>
      <c r="Z39" s="81"/>
      <c r="AA39" s="82"/>
      <c r="AB39" s="80">
        <v>29.2</v>
      </c>
      <c r="AC39" s="81">
        <v>22</v>
      </c>
      <c r="AD39" s="82">
        <v>2.5</v>
      </c>
      <c r="AE39" s="80">
        <v>25.9</v>
      </c>
      <c r="AF39" s="81">
        <v>22</v>
      </c>
      <c r="AG39" s="82">
        <v>13.5</v>
      </c>
      <c r="AH39" s="80"/>
      <c r="AI39" s="81"/>
      <c r="AJ39" s="82">
        <f>AVERAGE(AJ9:AJ38)</f>
        <v>3.8000000000000003</v>
      </c>
      <c r="AK39" s="80">
        <v>31.8</v>
      </c>
      <c r="AL39" s="81">
        <v>15.9</v>
      </c>
      <c r="AM39" s="82">
        <v>0</v>
      </c>
      <c r="AN39" s="80"/>
      <c r="AO39" s="81"/>
      <c r="AP39" s="82"/>
      <c r="AQ39" s="80">
        <v>26.8</v>
      </c>
      <c r="AR39" s="81">
        <v>15.3</v>
      </c>
      <c r="AS39" s="82">
        <v>0</v>
      </c>
    </row>
    <row r="40" spans="2:45" x14ac:dyDescent="0.35">
      <c r="B40" s="49">
        <v>40695</v>
      </c>
      <c r="F40" s="57"/>
      <c r="G40" s="58"/>
      <c r="J40" s="48">
        <f t="shared" ref="J40:Z40" si="0">AVERAGE(J9:J39)</f>
        <v>29.096774193548384</v>
      </c>
      <c r="K40" s="48">
        <f t="shared" si="0"/>
        <v>12.987096774193551</v>
      </c>
      <c r="L40" s="48">
        <f t="shared" si="0"/>
        <v>2.2580645161290321E-2</v>
      </c>
      <c r="M40" s="48">
        <f t="shared" si="0"/>
        <v>32.614285714285714</v>
      </c>
      <c r="N40" s="48">
        <f t="shared" si="0"/>
        <v>14.574999999999998</v>
      </c>
      <c r="O40" s="48">
        <f t="shared" si="0"/>
        <v>0</v>
      </c>
      <c r="P40" s="48">
        <f t="shared" si="0"/>
        <v>36.729032258064521</v>
      </c>
      <c r="Q40" s="48">
        <f t="shared" si="0"/>
        <v>17.674193548387098</v>
      </c>
      <c r="R40" s="48">
        <f t="shared" si="0"/>
        <v>0.74516129032258072</v>
      </c>
      <c r="S40" s="48">
        <f t="shared" si="0"/>
        <v>39.033333333333331</v>
      </c>
      <c r="T40" s="48">
        <f t="shared" si="0"/>
        <v>21.456666666666667</v>
      </c>
      <c r="U40" s="48">
        <f t="shared" si="0"/>
        <v>0.01</v>
      </c>
      <c r="V40" s="48">
        <f t="shared" si="0"/>
        <v>38.42903225806451</v>
      </c>
      <c r="W40" s="48">
        <f t="shared" si="0"/>
        <v>24.151612903225807</v>
      </c>
      <c r="X40" s="48">
        <f t="shared" si="0"/>
        <v>0.1806451612903226</v>
      </c>
      <c r="Y40" s="48">
        <f t="shared" si="0"/>
        <v>32.416666666666664</v>
      </c>
      <c r="Z40" s="48">
        <f t="shared" si="0"/>
        <v>23.27</v>
      </c>
      <c r="AA40" s="83">
        <v>7.9</v>
      </c>
      <c r="AB40" s="48">
        <f t="shared" ref="AB40:AH40" si="1">AVERAGE(AB9:AB39)</f>
        <v>29.141935483870967</v>
      </c>
      <c r="AC40" s="48">
        <f t="shared" si="1"/>
        <v>22.848387096774189</v>
      </c>
      <c r="AD40" s="48">
        <f t="shared" si="1"/>
        <v>6.225806451612903</v>
      </c>
      <c r="AE40" s="48">
        <f t="shared" si="1"/>
        <v>28.700000000000003</v>
      </c>
      <c r="AF40" s="48">
        <f t="shared" si="1"/>
        <v>22.35161290322581</v>
      </c>
      <c r="AG40" s="48">
        <f t="shared" si="1"/>
        <v>5.7677419354838708</v>
      </c>
      <c r="AH40" s="48">
        <f t="shared" si="1"/>
        <v>30.043333333333333</v>
      </c>
      <c r="AI40" s="47"/>
      <c r="AJ40" s="48">
        <f t="shared" ref="AJ40:AR40" si="2">AVERAGE(AJ9:AJ39)</f>
        <v>3.8000000000000003</v>
      </c>
      <c r="AK40" s="48">
        <f t="shared" si="2"/>
        <v>31.622580645161289</v>
      </c>
      <c r="AL40" s="48">
        <f t="shared" si="2"/>
        <v>20.22258064516129</v>
      </c>
      <c r="AM40" s="48">
        <f t="shared" si="2"/>
        <v>8.4774193548387089</v>
      </c>
      <c r="AN40" s="48">
        <f t="shared" si="2"/>
        <v>30.346666666666668</v>
      </c>
      <c r="AO40" s="48">
        <f t="shared" si="2"/>
        <v>19.559999999999999</v>
      </c>
      <c r="AP40" s="48">
        <f t="shared" si="2"/>
        <v>1.3866666666666667</v>
      </c>
      <c r="AQ40" s="48">
        <f t="shared" si="2"/>
        <v>28.403225806451612</v>
      </c>
      <c r="AR40" s="48">
        <f t="shared" si="2"/>
        <v>12.325806451612904</v>
      </c>
    </row>
    <row r="41" spans="2:45" x14ac:dyDescent="0.35">
      <c r="B41" s="49">
        <v>40725</v>
      </c>
      <c r="F41" s="57"/>
      <c r="G41" s="58"/>
      <c r="U41" s="47"/>
      <c r="AI41" s="47"/>
      <c r="AJ41" s="48"/>
      <c r="AS41" s="48">
        <f>AVERAGE(AS9:AS40)</f>
        <v>0</v>
      </c>
    </row>
    <row r="42" spans="2:45" x14ac:dyDescent="0.35">
      <c r="B42" s="49">
        <v>40756</v>
      </c>
    </row>
    <row r="43" spans="2:45" x14ac:dyDescent="0.35">
      <c r="B43" s="49">
        <v>40787</v>
      </c>
    </row>
    <row r="44" spans="2:45" x14ac:dyDescent="0.35">
      <c r="B44" s="49">
        <v>40817</v>
      </c>
    </row>
    <row r="45" spans="2:45" x14ac:dyDescent="0.35">
      <c r="B45" s="49">
        <v>40848</v>
      </c>
    </row>
    <row r="46" spans="2:45" x14ac:dyDescent="0.35">
      <c r="B46" s="49">
        <v>40878</v>
      </c>
    </row>
    <row r="47" spans="2:45" x14ac:dyDescent="0.35">
      <c r="B47" s="47">
        <v>39814</v>
      </c>
    </row>
    <row r="48" spans="2:45" x14ac:dyDescent="0.35">
      <c r="B48" s="47">
        <v>39845</v>
      </c>
    </row>
    <row r="49" spans="2:47" x14ac:dyDescent="0.35">
      <c r="B49" s="49">
        <v>39873</v>
      </c>
      <c r="H49" s="141" t="s">
        <v>2377</v>
      </c>
      <c r="I49" s="143" t="s">
        <v>2379</v>
      </c>
      <c r="J49" s="138" t="s">
        <v>2382</v>
      </c>
      <c r="K49" s="139"/>
      <c r="L49" s="140"/>
      <c r="M49" s="138" t="s">
        <v>2383</v>
      </c>
      <c r="N49" s="139"/>
      <c r="O49" s="140"/>
      <c r="P49" s="138" t="s">
        <v>2384</v>
      </c>
      <c r="Q49" s="139"/>
      <c r="R49" s="140"/>
      <c r="S49" s="138" t="s">
        <v>2385</v>
      </c>
      <c r="T49" s="139"/>
      <c r="U49" s="140"/>
      <c r="V49" s="138" t="s">
        <v>2386</v>
      </c>
      <c r="W49" s="139"/>
      <c r="X49" s="140"/>
      <c r="Y49" s="138" t="s">
        <v>2387</v>
      </c>
      <c r="Z49" s="139"/>
      <c r="AA49" s="140"/>
      <c r="AB49" s="138" t="s">
        <v>2388</v>
      </c>
      <c r="AC49" s="139"/>
      <c r="AD49" s="140"/>
      <c r="AE49" s="138" t="s">
        <v>2389</v>
      </c>
      <c r="AF49" s="139"/>
      <c r="AG49" s="140"/>
      <c r="AH49" s="138" t="s">
        <v>2390</v>
      </c>
      <c r="AI49" s="139"/>
      <c r="AJ49" s="140"/>
      <c r="AK49" s="138" t="s">
        <v>2391</v>
      </c>
      <c r="AL49" s="139"/>
      <c r="AM49" s="140"/>
      <c r="AN49" s="138" t="s">
        <v>2392</v>
      </c>
      <c r="AO49" s="139"/>
      <c r="AP49" s="140"/>
      <c r="AQ49" s="138" t="s">
        <v>2393</v>
      </c>
      <c r="AR49" s="139"/>
      <c r="AS49" s="140"/>
      <c r="AT49" s="57"/>
      <c r="AU49" s="57"/>
    </row>
    <row r="50" spans="2:47" x14ac:dyDescent="0.35">
      <c r="B50" s="49">
        <v>39904</v>
      </c>
      <c r="H50" s="142"/>
      <c r="I50" s="144"/>
      <c r="J50" s="60" t="s">
        <v>2372</v>
      </c>
      <c r="K50" s="61" t="s">
        <v>2373</v>
      </c>
      <c r="L50" s="62" t="s">
        <v>2399</v>
      </c>
      <c r="M50" s="60" t="s">
        <v>2372</v>
      </c>
      <c r="N50" s="61" t="s">
        <v>2373</v>
      </c>
      <c r="O50" s="62" t="s">
        <v>2399</v>
      </c>
      <c r="P50" s="60" t="s">
        <v>2372</v>
      </c>
      <c r="Q50" s="61" t="s">
        <v>2373</v>
      </c>
      <c r="R50" s="62" t="s">
        <v>2399</v>
      </c>
      <c r="S50" s="60" t="s">
        <v>2372</v>
      </c>
      <c r="T50" s="61" t="s">
        <v>2373</v>
      </c>
      <c r="U50" s="62" t="s">
        <v>2399</v>
      </c>
      <c r="V50" s="60" t="s">
        <v>2372</v>
      </c>
      <c r="W50" s="61" t="s">
        <v>2373</v>
      </c>
      <c r="X50" s="62" t="s">
        <v>2399</v>
      </c>
      <c r="Y50" s="60" t="s">
        <v>2372</v>
      </c>
      <c r="Z50" s="61" t="s">
        <v>2373</v>
      </c>
      <c r="AA50" s="62" t="s">
        <v>2399</v>
      </c>
      <c r="AB50" s="60" t="s">
        <v>2372</v>
      </c>
      <c r="AC50" s="61" t="s">
        <v>2373</v>
      </c>
      <c r="AD50" s="62" t="s">
        <v>2399</v>
      </c>
      <c r="AE50" s="60" t="s">
        <v>2372</v>
      </c>
      <c r="AF50" s="61" t="s">
        <v>2373</v>
      </c>
      <c r="AG50" s="62" t="s">
        <v>2399</v>
      </c>
      <c r="AH50" s="60" t="s">
        <v>2372</v>
      </c>
      <c r="AI50" s="61" t="s">
        <v>2373</v>
      </c>
      <c r="AJ50" s="62" t="s">
        <v>2399</v>
      </c>
      <c r="AK50" s="60" t="s">
        <v>2372</v>
      </c>
      <c r="AL50" s="61" t="s">
        <v>2373</v>
      </c>
      <c r="AM50" s="62" t="s">
        <v>2399</v>
      </c>
      <c r="AN50" s="60" t="s">
        <v>2372</v>
      </c>
      <c r="AO50" s="61" t="s">
        <v>2373</v>
      </c>
      <c r="AP50" s="62" t="s">
        <v>2399</v>
      </c>
      <c r="AQ50" s="60" t="s">
        <v>2372</v>
      </c>
      <c r="AR50" s="61" t="s">
        <v>2373</v>
      </c>
      <c r="AS50" s="62" t="s">
        <v>2399</v>
      </c>
      <c r="AT50" s="84"/>
      <c r="AU50" s="84"/>
    </row>
    <row r="51" spans="2:47" x14ac:dyDescent="0.35">
      <c r="B51" s="49">
        <v>39934</v>
      </c>
      <c r="H51" s="63">
        <v>2010</v>
      </c>
      <c r="I51" s="64">
        <v>1</v>
      </c>
      <c r="J51" s="65">
        <v>29.2</v>
      </c>
      <c r="K51" s="66">
        <v>13.1</v>
      </c>
      <c r="L51" s="67">
        <v>0</v>
      </c>
      <c r="M51" s="65">
        <v>31</v>
      </c>
      <c r="N51" s="66">
        <v>13.8</v>
      </c>
      <c r="O51" s="67">
        <v>0</v>
      </c>
      <c r="P51" s="65">
        <v>35.700000000000003</v>
      </c>
      <c r="Q51" s="66">
        <v>16.8</v>
      </c>
      <c r="R51" s="67">
        <v>0</v>
      </c>
      <c r="S51" s="65">
        <v>36.799999999999997</v>
      </c>
      <c r="T51" s="66">
        <v>18.600000000000001</v>
      </c>
      <c r="U51" s="67">
        <v>0</v>
      </c>
      <c r="V51" s="65">
        <v>35.6</v>
      </c>
      <c r="W51" s="66">
        <v>24.3</v>
      </c>
      <c r="X51" s="67">
        <v>0</v>
      </c>
      <c r="Y51" s="65">
        <v>37.5</v>
      </c>
      <c r="Z51" s="66">
        <v>17.600000000000001</v>
      </c>
      <c r="AA51" s="67">
        <v>26.5</v>
      </c>
      <c r="AB51" s="65">
        <v>29.9</v>
      </c>
      <c r="AC51" s="66">
        <v>23.8</v>
      </c>
      <c r="AD51" s="67">
        <v>0.1</v>
      </c>
      <c r="AE51" s="65">
        <v>25.9</v>
      </c>
      <c r="AF51" s="66">
        <v>22.4</v>
      </c>
      <c r="AG51" s="67">
        <v>10.199999999999999</v>
      </c>
      <c r="AH51" s="65">
        <v>24.4</v>
      </c>
      <c r="AI51" s="66">
        <v>22.1</v>
      </c>
      <c r="AJ51" s="67">
        <v>16.2</v>
      </c>
      <c r="AK51" s="65">
        <v>31.1</v>
      </c>
      <c r="AL51" s="66">
        <v>20.8</v>
      </c>
      <c r="AM51" s="67">
        <v>0</v>
      </c>
      <c r="AN51" s="65">
        <v>31.3</v>
      </c>
      <c r="AO51" s="66">
        <v>14.8</v>
      </c>
      <c r="AP51" s="67">
        <v>0</v>
      </c>
      <c r="AQ51" s="65">
        <v>30.4</v>
      </c>
      <c r="AR51" s="66">
        <v>16.7</v>
      </c>
      <c r="AS51" s="67">
        <v>0</v>
      </c>
      <c r="AT51" s="59">
        <f t="shared" ref="AT51:AT81" si="3">AVERAGE(J51:AS51)</f>
        <v>18.238888888888884</v>
      </c>
      <c r="AU51" s="58"/>
    </row>
    <row r="52" spans="2:47" x14ac:dyDescent="0.35">
      <c r="B52" s="49">
        <v>39965</v>
      </c>
      <c r="H52" s="68"/>
      <c r="I52" s="69">
        <v>2</v>
      </c>
      <c r="J52" s="70">
        <v>30</v>
      </c>
      <c r="K52" s="71">
        <v>15.1</v>
      </c>
      <c r="L52" s="72">
        <v>0</v>
      </c>
      <c r="M52" s="70">
        <v>31.4</v>
      </c>
      <c r="N52" s="71">
        <v>13.4</v>
      </c>
      <c r="O52" s="72">
        <v>0</v>
      </c>
      <c r="P52" s="70">
        <v>36.1</v>
      </c>
      <c r="Q52" s="71">
        <v>16.2</v>
      </c>
      <c r="R52" s="72">
        <v>0</v>
      </c>
      <c r="S52" s="70">
        <v>34.6</v>
      </c>
      <c r="T52" s="71">
        <v>19.399999999999999</v>
      </c>
      <c r="U52" s="72">
        <v>0</v>
      </c>
      <c r="V52" s="70">
        <v>37.4</v>
      </c>
      <c r="W52" s="71">
        <v>22.8</v>
      </c>
      <c r="X52" s="72">
        <v>1.2</v>
      </c>
      <c r="Y52" s="70">
        <v>36.200000000000003</v>
      </c>
      <c r="Z52" s="71">
        <v>22.8</v>
      </c>
      <c r="AA52" s="72">
        <v>5.2</v>
      </c>
      <c r="AB52" s="70">
        <v>31.8</v>
      </c>
      <c r="AC52" s="71">
        <v>22.3</v>
      </c>
      <c r="AD52" s="72">
        <v>10.7</v>
      </c>
      <c r="AE52" s="70">
        <v>27.5</v>
      </c>
      <c r="AF52" s="71">
        <v>22.2</v>
      </c>
      <c r="AG52" s="72">
        <v>9.6</v>
      </c>
      <c r="AH52" s="70">
        <v>27.9</v>
      </c>
      <c r="AI52" s="71">
        <v>21.8</v>
      </c>
      <c r="AJ52" s="72">
        <v>0.1</v>
      </c>
      <c r="AK52" s="70">
        <v>31.7</v>
      </c>
      <c r="AL52" s="71">
        <v>19.2</v>
      </c>
      <c r="AM52" s="72">
        <v>0</v>
      </c>
      <c r="AN52" s="70">
        <v>30.1</v>
      </c>
      <c r="AO52" s="71">
        <v>13.8</v>
      </c>
      <c r="AP52" s="72">
        <v>0</v>
      </c>
      <c r="AQ52" s="70">
        <v>30.2</v>
      </c>
      <c r="AR52" s="71">
        <v>16.3</v>
      </c>
      <c r="AS52" s="72">
        <v>0</v>
      </c>
      <c r="AT52" s="59">
        <f t="shared" si="3"/>
        <v>17.694444444444443</v>
      </c>
      <c r="AU52" s="58"/>
    </row>
    <row r="53" spans="2:47" x14ac:dyDescent="0.35">
      <c r="B53" s="49">
        <v>39995</v>
      </c>
      <c r="H53" s="73"/>
      <c r="I53" s="74">
        <v>3</v>
      </c>
      <c r="J53" s="75">
        <v>29.3</v>
      </c>
      <c r="K53" s="76">
        <v>19.100000000000001</v>
      </c>
      <c r="L53" s="77">
        <v>0.7</v>
      </c>
      <c r="M53" s="75">
        <v>30.3</v>
      </c>
      <c r="N53" s="76">
        <v>14</v>
      </c>
      <c r="O53" s="77">
        <v>0</v>
      </c>
      <c r="P53" s="75">
        <v>35.700000000000003</v>
      </c>
      <c r="Q53" s="76">
        <v>17.899999999999999</v>
      </c>
      <c r="R53" s="77">
        <v>0</v>
      </c>
      <c r="S53" s="75">
        <v>37.200000000000003</v>
      </c>
      <c r="T53" s="76">
        <v>17.5</v>
      </c>
      <c r="U53" s="77">
        <v>0</v>
      </c>
      <c r="V53" s="75">
        <v>38.799999999999997</v>
      </c>
      <c r="W53" s="76">
        <v>20.8</v>
      </c>
      <c r="X53" s="77">
        <v>2.2000000000000002</v>
      </c>
      <c r="Y53" s="75">
        <v>34.5</v>
      </c>
      <c r="Z53" s="76">
        <v>24.9</v>
      </c>
      <c r="AA53" s="77">
        <v>0</v>
      </c>
      <c r="AB53" s="75">
        <v>26.9</v>
      </c>
      <c r="AC53" s="76">
        <v>22.7</v>
      </c>
      <c r="AD53" s="77">
        <v>1.3</v>
      </c>
      <c r="AE53" s="75">
        <v>28.1</v>
      </c>
      <c r="AF53" s="76">
        <v>22.5</v>
      </c>
      <c r="AG53" s="77">
        <v>17.899999999999999</v>
      </c>
      <c r="AH53" s="75">
        <v>28.4</v>
      </c>
      <c r="AI53" s="76">
        <v>21.7</v>
      </c>
      <c r="AJ53" s="77">
        <v>0.5</v>
      </c>
      <c r="AK53" s="75">
        <v>31.3</v>
      </c>
      <c r="AL53" s="76">
        <v>20.9</v>
      </c>
      <c r="AM53" s="77">
        <v>0</v>
      </c>
      <c r="AN53" s="75">
        <v>30.6</v>
      </c>
      <c r="AO53" s="76">
        <v>17.5</v>
      </c>
      <c r="AP53" s="77">
        <v>0</v>
      </c>
      <c r="AQ53" s="75">
        <v>29.9</v>
      </c>
      <c r="AR53" s="76">
        <v>15.9</v>
      </c>
      <c r="AS53" s="77">
        <v>0</v>
      </c>
      <c r="AT53" s="59">
        <f t="shared" si="3"/>
        <v>17.749999999999996</v>
      </c>
      <c r="AU53" s="58"/>
    </row>
    <row r="54" spans="2:47" x14ac:dyDescent="0.35">
      <c r="B54" s="49">
        <v>40026</v>
      </c>
      <c r="H54" s="68"/>
      <c r="I54" s="69">
        <v>4</v>
      </c>
      <c r="J54" s="70">
        <v>30.4</v>
      </c>
      <c r="K54" s="71">
        <v>17</v>
      </c>
      <c r="L54" s="72">
        <v>0</v>
      </c>
      <c r="M54" s="70">
        <v>31.8</v>
      </c>
      <c r="N54" s="71">
        <v>14.5</v>
      </c>
      <c r="O54" s="72">
        <v>0</v>
      </c>
      <c r="P54" s="70">
        <v>35.1</v>
      </c>
      <c r="Q54" s="71">
        <v>15.5</v>
      </c>
      <c r="R54" s="72">
        <v>0</v>
      </c>
      <c r="S54" s="70">
        <v>38</v>
      </c>
      <c r="T54" s="71">
        <v>16.2</v>
      </c>
      <c r="U54" s="72">
        <v>0</v>
      </c>
      <c r="V54" s="70">
        <v>37.200000000000003</v>
      </c>
      <c r="W54" s="71">
        <v>20.2</v>
      </c>
      <c r="X54" s="72">
        <v>0.1</v>
      </c>
      <c r="Y54" s="70">
        <v>34.799999999999997</v>
      </c>
      <c r="Z54" s="71">
        <v>24.2</v>
      </c>
      <c r="AA54" s="72">
        <v>3.6</v>
      </c>
      <c r="AB54" s="70">
        <v>27.9</v>
      </c>
      <c r="AC54" s="71">
        <v>23.3</v>
      </c>
      <c r="AD54" s="72">
        <v>0</v>
      </c>
      <c r="AE54" s="70">
        <v>27.7</v>
      </c>
      <c r="AF54" s="71">
        <v>22.4</v>
      </c>
      <c r="AG54" s="72">
        <v>3.3</v>
      </c>
      <c r="AH54" s="70">
        <v>28.1</v>
      </c>
      <c r="AI54" s="71">
        <v>21.4</v>
      </c>
      <c r="AJ54" s="72">
        <v>0.8</v>
      </c>
      <c r="AK54" s="70">
        <v>32.799999999999997</v>
      </c>
      <c r="AL54" s="71">
        <v>22.9</v>
      </c>
      <c r="AM54" s="72">
        <v>0.1</v>
      </c>
      <c r="AN54" s="70">
        <v>30.9</v>
      </c>
      <c r="AO54" s="71">
        <v>22.4</v>
      </c>
      <c r="AP54" s="72">
        <v>0</v>
      </c>
      <c r="AQ54" s="70">
        <v>29.9</v>
      </c>
      <c r="AR54" s="71">
        <v>18.399999999999999</v>
      </c>
      <c r="AS54" s="72">
        <v>0</v>
      </c>
      <c r="AT54" s="59">
        <f t="shared" si="3"/>
        <v>17.524999999999995</v>
      </c>
      <c r="AU54" s="58"/>
    </row>
    <row r="55" spans="2:47" x14ac:dyDescent="0.35">
      <c r="B55" s="49">
        <v>40057</v>
      </c>
      <c r="H55" s="73"/>
      <c r="I55" s="74">
        <v>5</v>
      </c>
      <c r="J55" s="75">
        <v>30.4</v>
      </c>
      <c r="K55" s="76">
        <v>14.5</v>
      </c>
      <c r="L55" s="77">
        <v>0</v>
      </c>
      <c r="M55" s="75">
        <v>31.6</v>
      </c>
      <c r="N55" s="76">
        <v>14.4</v>
      </c>
      <c r="O55" s="77">
        <v>0</v>
      </c>
      <c r="P55" s="75">
        <v>34.4</v>
      </c>
      <c r="Q55" s="76">
        <v>15.3</v>
      </c>
      <c r="R55" s="77">
        <v>0</v>
      </c>
      <c r="S55" s="75">
        <v>38.6</v>
      </c>
      <c r="T55" s="76">
        <v>17.2</v>
      </c>
      <c r="U55" s="77">
        <v>0</v>
      </c>
      <c r="V55" s="75">
        <v>38.700000000000003</v>
      </c>
      <c r="W55" s="76">
        <v>23.3</v>
      </c>
      <c r="X55" s="77">
        <v>0</v>
      </c>
      <c r="Y55" s="75">
        <v>35.4</v>
      </c>
      <c r="Z55" s="76">
        <v>24.4</v>
      </c>
      <c r="AA55" s="77">
        <v>0</v>
      </c>
      <c r="AB55" s="75">
        <v>30.1</v>
      </c>
      <c r="AC55" s="76">
        <v>22.3</v>
      </c>
      <c r="AD55" s="77">
        <v>1.3</v>
      </c>
      <c r="AE55" s="75">
        <v>28.2</v>
      </c>
      <c r="AF55" s="76">
        <v>22.1</v>
      </c>
      <c r="AG55" s="77">
        <v>0.6</v>
      </c>
      <c r="AH55" s="75">
        <v>28</v>
      </c>
      <c r="AI55" s="76">
        <v>21.8</v>
      </c>
      <c r="AJ55" s="77">
        <v>0.7</v>
      </c>
      <c r="AK55" s="75">
        <v>32.5</v>
      </c>
      <c r="AL55" s="76">
        <v>20.5</v>
      </c>
      <c r="AM55" s="77">
        <v>181.3</v>
      </c>
      <c r="AN55" s="75">
        <v>30.8</v>
      </c>
      <c r="AO55" s="76">
        <v>20.9</v>
      </c>
      <c r="AP55" s="77">
        <v>0</v>
      </c>
      <c r="AQ55" s="75">
        <v>29.4</v>
      </c>
      <c r="AR55" s="76">
        <v>16.100000000000001</v>
      </c>
      <c r="AS55" s="77">
        <v>0</v>
      </c>
      <c r="AT55" s="59">
        <f t="shared" si="3"/>
        <v>22.355555555555558</v>
      </c>
      <c r="AU55" s="58"/>
    </row>
    <row r="56" spans="2:47" x14ac:dyDescent="0.35">
      <c r="B56" s="49">
        <v>40087</v>
      </c>
      <c r="H56" s="68"/>
      <c r="I56" s="69">
        <v>6</v>
      </c>
      <c r="J56" s="70">
        <v>29.7</v>
      </c>
      <c r="K56" s="71">
        <v>13.5</v>
      </c>
      <c r="L56" s="72">
        <v>0</v>
      </c>
      <c r="M56" s="70">
        <v>29.9</v>
      </c>
      <c r="N56" s="71">
        <v>14.1</v>
      </c>
      <c r="O56" s="72">
        <v>0</v>
      </c>
      <c r="P56" s="70">
        <v>35.700000000000003</v>
      </c>
      <c r="Q56" s="71">
        <v>15</v>
      </c>
      <c r="R56" s="72">
        <v>0</v>
      </c>
      <c r="S56" s="70">
        <v>38.9</v>
      </c>
      <c r="T56" s="71">
        <v>18.3</v>
      </c>
      <c r="U56" s="72">
        <v>0</v>
      </c>
      <c r="V56" s="70">
        <v>39</v>
      </c>
      <c r="W56" s="71">
        <v>24.2</v>
      </c>
      <c r="X56" s="72">
        <v>0</v>
      </c>
      <c r="Y56" s="70">
        <v>34.9</v>
      </c>
      <c r="Z56" s="71">
        <v>24.8</v>
      </c>
      <c r="AA56" s="72">
        <v>0</v>
      </c>
      <c r="AB56" s="70">
        <v>30.6</v>
      </c>
      <c r="AC56" s="71">
        <v>22.5</v>
      </c>
      <c r="AD56" s="72">
        <v>2.1</v>
      </c>
      <c r="AE56" s="70">
        <v>29.5</v>
      </c>
      <c r="AF56" s="71">
        <v>22.5</v>
      </c>
      <c r="AG56" s="72">
        <v>0.1</v>
      </c>
      <c r="AH56" s="70">
        <v>28.4</v>
      </c>
      <c r="AI56" s="71">
        <v>22.1</v>
      </c>
      <c r="AJ56" s="72">
        <v>2.2999999999999998</v>
      </c>
      <c r="AK56" s="70">
        <v>31.9</v>
      </c>
      <c r="AL56" s="71">
        <v>21</v>
      </c>
      <c r="AM56" s="72">
        <v>18.600000000000001</v>
      </c>
      <c r="AN56" s="70">
        <v>30.8</v>
      </c>
      <c r="AO56" s="71">
        <v>20.100000000000001</v>
      </c>
      <c r="AP56" s="72">
        <v>15.8</v>
      </c>
      <c r="AQ56" s="70">
        <v>28.4</v>
      </c>
      <c r="AR56" s="71">
        <v>13.1</v>
      </c>
      <c r="AS56" s="72">
        <v>0</v>
      </c>
      <c r="AT56" s="59">
        <f t="shared" si="3"/>
        <v>18.272222222222222</v>
      </c>
      <c r="AU56" s="58"/>
    </row>
    <row r="57" spans="2:47" x14ac:dyDescent="0.35">
      <c r="B57" s="49">
        <v>40118</v>
      </c>
      <c r="H57" s="73"/>
      <c r="I57" s="74">
        <v>7</v>
      </c>
      <c r="J57" s="75">
        <v>28</v>
      </c>
      <c r="K57" s="76">
        <v>12.4</v>
      </c>
      <c r="L57" s="77">
        <v>0</v>
      </c>
      <c r="M57" s="75">
        <v>30.4</v>
      </c>
      <c r="N57" s="76">
        <v>13.9</v>
      </c>
      <c r="O57" s="77">
        <v>0</v>
      </c>
      <c r="P57" s="75">
        <v>33.4</v>
      </c>
      <c r="Q57" s="76">
        <v>14.5</v>
      </c>
      <c r="R57" s="77">
        <v>0</v>
      </c>
      <c r="S57" s="75">
        <v>39.9</v>
      </c>
      <c r="T57" s="76">
        <v>19.2</v>
      </c>
      <c r="U57" s="77">
        <v>0</v>
      </c>
      <c r="V57" s="75">
        <v>38.799999999999997</v>
      </c>
      <c r="W57" s="76">
        <v>22.8</v>
      </c>
      <c r="X57" s="77">
        <v>0</v>
      </c>
      <c r="Y57" s="75">
        <v>33.9</v>
      </c>
      <c r="Z57" s="76">
        <v>24.3</v>
      </c>
      <c r="AA57" s="77">
        <v>0</v>
      </c>
      <c r="AB57" s="75">
        <v>29.2</v>
      </c>
      <c r="AC57" s="76">
        <v>23.2</v>
      </c>
      <c r="AD57" s="77">
        <v>0.2</v>
      </c>
      <c r="AE57" s="75">
        <v>27.9</v>
      </c>
      <c r="AF57" s="76">
        <v>21.3</v>
      </c>
      <c r="AG57" s="77">
        <v>10.199999999999999</v>
      </c>
      <c r="AH57" s="75">
        <v>27.2</v>
      </c>
      <c r="AI57" s="76">
        <v>21.7</v>
      </c>
      <c r="AJ57" s="77">
        <v>2.1</v>
      </c>
      <c r="AK57" s="75">
        <v>33.5</v>
      </c>
      <c r="AL57" s="76">
        <v>21.8</v>
      </c>
      <c r="AM57" s="77">
        <v>0</v>
      </c>
      <c r="AN57" s="75">
        <v>30.5</v>
      </c>
      <c r="AO57" s="76">
        <v>19.399999999999999</v>
      </c>
      <c r="AP57" s="77">
        <v>0</v>
      </c>
      <c r="AQ57" s="75">
        <v>27.8</v>
      </c>
      <c r="AR57" s="76">
        <v>10.8</v>
      </c>
      <c r="AS57" s="77">
        <v>0</v>
      </c>
      <c r="AT57" s="59">
        <f t="shared" si="3"/>
        <v>17.174999999999997</v>
      </c>
      <c r="AU57" s="58"/>
    </row>
    <row r="58" spans="2:47" x14ac:dyDescent="0.35">
      <c r="B58" s="49">
        <v>40148</v>
      </c>
      <c r="H58" s="68"/>
      <c r="I58" s="69">
        <v>8</v>
      </c>
      <c r="J58" s="70">
        <v>27.8</v>
      </c>
      <c r="K58" s="71">
        <v>11.3</v>
      </c>
      <c r="L58" s="72">
        <v>0</v>
      </c>
      <c r="M58" s="70">
        <v>30.6</v>
      </c>
      <c r="N58" s="71">
        <v>14.6</v>
      </c>
      <c r="O58" s="72">
        <v>0</v>
      </c>
      <c r="P58" s="70">
        <v>34.1</v>
      </c>
      <c r="Q58" s="71">
        <v>14.5</v>
      </c>
      <c r="R58" s="72">
        <v>0</v>
      </c>
      <c r="S58" s="70">
        <v>40.299999999999997</v>
      </c>
      <c r="T58" s="71">
        <v>21.8</v>
      </c>
      <c r="U58" s="72">
        <v>0</v>
      </c>
      <c r="V58" s="70">
        <v>40.4</v>
      </c>
      <c r="W58" s="71">
        <v>22.3</v>
      </c>
      <c r="X58" s="72">
        <v>2.1</v>
      </c>
      <c r="Y58" s="70">
        <v>33.4</v>
      </c>
      <c r="Z58" s="71">
        <v>24.5</v>
      </c>
      <c r="AA58" s="72">
        <v>0</v>
      </c>
      <c r="AB58" s="70">
        <v>30.8</v>
      </c>
      <c r="AC58" s="71">
        <v>23.2</v>
      </c>
      <c r="AD58" s="72">
        <v>21.8</v>
      </c>
      <c r="AE58" s="70">
        <v>26.9</v>
      </c>
      <c r="AF58" s="71">
        <v>21.8</v>
      </c>
      <c r="AG58" s="72">
        <v>0.6</v>
      </c>
      <c r="AH58" s="70">
        <v>27.8</v>
      </c>
      <c r="AI58" s="71">
        <v>22.3</v>
      </c>
      <c r="AJ58" s="72">
        <v>0.1</v>
      </c>
      <c r="AK58" s="70">
        <v>33.6</v>
      </c>
      <c r="AL58" s="71">
        <v>19.8</v>
      </c>
      <c r="AM58" s="72">
        <v>0</v>
      </c>
      <c r="AN58" s="70">
        <v>28.6</v>
      </c>
      <c r="AO58" s="71">
        <v>17.5</v>
      </c>
      <c r="AP58" s="72">
        <v>0</v>
      </c>
      <c r="AQ58" s="70">
        <v>28</v>
      </c>
      <c r="AR58" s="71">
        <v>16.3</v>
      </c>
      <c r="AS58" s="72">
        <v>0</v>
      </c>
      <c r="AT58" s="59">
        <f t="shared" si="3"/>
        <v>17.688888888888886</v>
      </c>
      <c r="AU58" s="58"/>
    </row>
    <row r="59" spans="2:47" x14ac:dyDescent="0.35">
      <c r="B59" s="49">
        <v>40148</v>
      </c>
      <c r="H59" s="73"/>
      <c r="I59" s="74">
        <v>9</v>
      </c>
      <c r="J59" s="75">
        <v>27.4</v>
      </c>
      <c r="K59" s="76">
        <v>15.3</v>
      </c>
      <c r="L59" s="77">
        <v>0</v>
      </c>
      <c r="M59" s="75">
        <v>31.8</v>
      </c>
      <c r="N59" s="76">
        <v>15.5</v>
      </c>
      <c r="O59" s="77">
        <v>0</v>
      </c>
      <c r="P59" s="75">
        <v>34.4</v>
      </c>
      <c r="Q59" s="76">
        <v>16.100000000000001</v>
      </c>
      <c r="R59" s="77">
        <v>0</v>
      </c>
      <c r="S59" s="75">
        <v>41</v>
      </c>
      <c r="T59" s="76">
        <v>26</v>
      </c>
      <c r="U59" s="77">
        <v>0</v>
      </c>
      <c r="V59" s="75">
        <v>39.1</v>
      </c>
      <c r="W59" s="76">
        <v>23.2</v>
      </c>
      <c r="X59" s="77">
        <v>0</v>
      </c>
      <c r="Y59" s="75">
        <v>33.200000000000003</v>
      </c>
      <c r="Z59" s="76">
        <v>24.8</v>
      </c>
      <c r="AA59" s="77">
        <v>0</v>
      </c>
      <c r="AB59" s="75">
        <v>28.6</v>
      </c>
      <c r="AC59" s="76">
        <v>23</v>
      </c>
      <c r="AD59" s="77">
        <v>0.9</v>
      </c>
      <c r="AE59" s="75">
        <v>29</v>
      </c>
      <c r="AF59" s="76">
        <v>22.1</v>
      </c>
      <c r="AG59" s="77">
        <v>0.1</v>
      </c>
      <c r="AH59" s="75">
        <v>27.9</v>
      </c>
      <c r="AI59" s="76">
        <v>22.2</v>
      </c>
      <c r="AJ59" s="77">
        <v>10.9</v>
      </c>
      <c r="AK59" s="75">
        <v>33.700000000000003</v>
      </c>
      <c r="AL59" s="76">
        <v>21.3</v>
      </c>
      <c r="AM59" s="77">
        <v>0</v>
      </c>
      <c r="AN59" s="75">
        <v>28.6</v>
      </c>
      <c r="AO59" s="76">
        <v>22.2</v>
      </c>
      <c r="AP59" s="77">
        <v>0.2</v>
      </c>
      <c r="AQ59" s="75">
        <v>30.2</v>
      </c>
      <c r="AR59" s="76">
        <v>17.5</v>
      </c>
      <c r="AS59" s="77">
        <v>0</v>
      </c>
      <c r="AT59" s="59">
        <f t="shared" si="3"/>
        <v>17.950000000000003</v>
      </c>
      <c r="AU59" s="58"/>
    </row>
    <row r="60" spans="2:47" x14ac:dyDescent="0.35">
      <c r="B60" s="49">
        <v>40179</v>
      </c>
      <c r="H60" s="68"/>
      <c r="I60" s="69">
        <v>10</v>
      </c>
      <c r="J60" s="70">
        <v>27.8</v>
      </c>
      <c r="K60" s="71">
        <v>12.4</v>
      </c>
      <c r="L60" s="72">
        <v>0</v>
      </c>
      <c r="M60" s="70">
        <v>28.5</v>
      </c>
      <c r="N60" s="71">
        <v>14.6</v>
      </c>
      <c r="O60" s="72">
        <v>0</v>
      </c>
      <c r="P60" s="70">
        <v>36.4</v>
      </c>
      <c r="Q60" s="71">
        <v>19.100000000000001</v>
      </c>
      <c r="R60" s="72">
        <v>0</v>
      </c>
      <c r="S60" s="70">
        <v>35.9</v>
      </c>
      <c r="T60" s="71">
        <v>24.9</v>
      </c>
      <c r="U60" s="72">
        <v>0</v>
      </c>
      <c r="V60" s="70">
        <v>40.700000000000003</v>
      </c>
      <c r="W60" s="71">
        <v>22.8</v>
      </c>
      <c r="X60" s="72">
        <v>0</v>
      </c>
      <c r="Y60" s="70">
        <v>36.5</v>
      </c>
      <c r="Z60" s="71">
        <v>24.3</v>
      </c>
      <c r="AA60" s="72">
        <v>0</v>
      </c>
      <c r="AB60" s="70">
        <v>29</v>
      </c>
      <c r="AC60" s="71">
        <v>23</v>
      </c>
      <c r="AD60" s="72">
        <v>0</v>
      </c>
      <c r="AE60" s="70">
        <v>29.7</v>
      </c>
      <c r="AF60" s="71">
        <v>21.7</v>
      </c>
      <c r="AG60" s="72">
        <v>0</v>
      </c>
      <c r="AH60" s="70">
        <v>27.1</v>
      </c>
      <c r="AI60" s="71">
        <v>20.3</v>
      </c>
      <c r="AJ60" s="72">
        <v>4.7</v>
      </c>
      <c r="AK60" s="70">
        <v>32.299999999999997</v>
      </c>
      <c r="AL60" s="71">
        <v>18.600000000000001</v>
      </c>
      <c r="AM60" s="72">
        <v>0</v>
      </c>
      <c r="AN60" s="70">
        <v>25.8</v>
      </c>
      <c r="AO60" s="71">
        <v>19.3</v>
      </c>
      <c r="AP60" s="72">
        <v>0.2</v>
      </c>
      <c r="AQ60" s="70">
        <v>29</v>
      </c>
      <c r="AR60" s="71">
        <v>14.8</v>
      </c>
      <c r="AS60" s="72">
        <v>0</v>
      </c>
      <c r="AT60" s="59">
        <f t="shared" si="3"/>
        <v>17.205555555555556</v>
      </c>
      <c r="AU60" s="58"/>
    </row>
    <row r="61" spans="2:47" x14ac:dyDescent="0.35">
      <c r="B61" s="49">
        <v>40210</v>
      </c>
      <c r="H61" s="73"/>
      <c r="I61" s="74">
        <v>11</v>
      </c>
      <c r="J61" s="75">
        <v>29</v>
      </c>
      <c r="K61" s="76">
        <v>15.2</v>
      </c>
      <c r="L61" s="77">
        <v>0</v>
      </c>
      <c r="M61" s="75">
        <v>30.3</v>
      </c>
      <c r="N61" s="76">
        <v>16.600000000000001</v>
      </c>
      <c r="O61" s="77">
        <v>0</v>
      </c>
      <c r="P61" s="75">
        <v>37.6</v>
      </c>
      <c r="Q61" s="76">
        <v>20.6</v>
      </c>
      <c r="R61" s="77">
        <v>0</v>
      </c>
      <c r="S61" s="75">
        <v>37.799999999999997</v>
      </c>
      <c r="T61" s="76">
        <v>22.1</v>
      </c>
      <c r="U61" s="77">
        <v>0</v>
      </c>
      <c r="V61" s="75">
        <v>40.1</v>
      </c>
      <c r="W61" s="76">
        <v>23</v>
      </c>
      <c r="X61" s="77">
        <v>0</v>
      </c>
      <c r="Y61" s="75">
        <v>36.200000000000003</v>
      </c>
      <c r="Z61" s="76">
        <v>21.9</v>
      </c>
      <c r="AA61" s="77">
        <v>12.2</v>
      </c>
      <c r="AB61" s="75">
        <v>29.7</v>
      </c>
      <c r="AC61" s="76">
        <v>23.3</v>
      </c>
      <c r="AD61" s="77">
        <v>0.4</v>
      </c>
      <c r="AE61" s="75">
        <v>29.5</v>
      </c>
      <c r="AF61" s="76">
        <v>21.9</v>
      </c>
      <c r="AG61" s="77">
        <v>0</v>
      </c>
      <c r="AH61" s="75">
        <v>29.7</v>
      </c>
      <c r="AI61" s="76">
        <v>19.2</v>
      </c>
      <c r="AJ61" s="77">
        <v>0</v>
      </c>
      <c r="AK61" s="75">
        <v>30.2</v>
      </c>
      <c r="AL61" s="76">
        <v>19.899999999999999</v>
      </c>
      <c r="AM61" s="77">
        <v>0</v>
      </c>
      <c r="AN61" s="75">
        <v>30.1</v>
      </c>
      <c r="AO61" s="76">
        <v>20.6</v>
      </c>
      <c r="AP61" s="77">
        <v>0</v>
      </c>
      <c r="AQ61" s="75">
        <v>29</v>
      </c>
      <c r="AR61" s="76">
        <v>15.2</v>
      </c>
      <c r="AS61" s="77">
        <v>0</v>
      </c>
      <c r="AT61" s="59">
        <f t="shared" si="3"/>
        <v>17.813888888888886</v>
      </c>
      <c r="AU61" s="58"/>
    </row>
    <row r="62" spans="2:47" x14ac:dyDescent="0.35">
      <c r="B62" s="49">
        <v>40238</v>
      </c>
      <c r="H62" s="68"/>
      <c r="I62" s="69">
        <v>12</v>
      </c>
      <c r="J62" s="70">
        <v>30.4</v>
      </c>
      <c r="K62" s="71">
        <v>18.3</v>
      </c>
      <c r="L62" s="72">
        <v>0</v>
      </c>
      <c r="M62" s="70">
        <v>30.9</v>
      </c>
      <c r="N62" s="71">
        <v>13.1</v>
      </c>
      <c r="O62" s="72">
        <v>0</v>
      </c>
      <c r="P62" s="70">
        <v>35</v>
      </c>
      <c r="Q62" s="71">
        <v>21</v>
      </c>
      <c r="R62" s="72">
        <v>0</v>
      </c>
      <c r="S62" s="70">
        <v>40</v>
      </c>
      <c r="T62" s="71">
        <v>20</v>
      </c>
      <c r="U62" s="72">
        <v>0</v>
      </c>
      <c r="V62" s="70">
        <v>40.9</v>
      </c>
      <c r="W62" s="71">
        <v>21.8</v>
      </c>
      <c r="X62" s="72">
        <v>0</v>
      </c>
      <c r="Y62" s="70">
        <v>35.5</v>
      </c>
      <c r="Z62" s="71">
        <v>21.2</v>
      </c>
      <c r="AA62" s="72">
        <v>46.7</v>
      </c>
      <c r="AB62" s="70">
        <v>29.8</v>
      </c>
      <c r="AC62" s="71">
        <v>23.2</v>
      </c>
      <c r="AD62" s="72">
        <v>0</v>
      </c>
      <c r="AE62" s="70">
        <v>30.6</v>
      </c>
      <c r="AF62" s="71">
        <v>23.3</v>
      </c>
      <c r="AG62" s="72">
        <v>1.1000000000000001</v>
      </c>
      <c r="AH62" s="70">
        <v>28.9</v>
      </c>
      <c r="AI62" s="71">
        <v>19.2</v>
      </c>
      <c r="AJ62" s="72">
        <v>0</v>
      </c>
      <c r="AK62" s="70">
        <v>30.3</v>
      </c>
      <c r="AL62" s="71">
        <v>18.5</v>
      </c>
      <c r="AM62" s="72">
        <v>0</v>
      </c>
      <c r="AN62" s="70">
        <v>31.2</v>
      </c>
      <c r="AO62" s="71">
        <v>20.3</v>
      </c>
      <c r="AP62" s="72">
        <v>0</v>
      </c>
      <c r="AQ62" s="70">
        <v>25.2</v>
      </c>
      <c r="AR62" s="71">
        <v>15.7</v>
      </c>
      <c r="AS62" s="72">
        <v>0</v>
      </c>
      <c r="AT62" s="59">
        <f t="shared" si="3"/>
        <v>18.669444444444444</v>
      </c>
      <c r="AU62" s="58"/>
    </row>
    <row r="63" spans="2:47" x14ac:dyDescent="0.35">
      <c r="B63" s="49">
        <v>40269</v>
      </c>
      <c r="H63" s="73"/>
      <c r="I63" s="74">
        <v>13</v>
      </c>
      <c r="J63" s="75">
        <v>30.1</v>
      </c>
      <c r="K63" s="76">
        <v>14.7</v>
      </c>
      <c r="L63" s="77">
        <v>0</v>
      </c>
      <c r="M63" s="75">
        <v>32.1</v>
      </c>
      <c r="N63" s="76">
        <v>14.2</v>
      </c>
      <c r="O63" s="77">
        <v>0</v>
      </c>
      <c r="P63" s="75">
        <v>37.5</v>
      </c>
      <c r="Q63" s="76">
        <v>19.8</v>
      </c>
      <c r="R63" s="77">
        <v>23.1</v>
      </c>
      <c r="S63" s="75">
        <v>41.2</v>
      </c>
      <c r="T63" s="76">
        <v>20.8</v>
      </c>
      <c r="U63" s="77">
        <v>0</v>
      </c>
      <c r="V63" s="75">
        <v>38.200000000000003</v>
      </c>
      <c r="W63" s="76">
        <v>23.7</v>
      </c>
      <c r="X63" s="77">
        <v>0</v>
      </c>
      <c r="Y63" s="75">
        <v>32.6</v>
      </c>
      <c r="Z63" s="76">
        <v>23.3</v>
      </c>
      <c r="AA63" s="77">
        <v>3.5</v>
      </c>
      <c r="AB63" s="75">
        <v>30.4</v>
      </c>
      <c r="AC63" s="76">
        <v>23.3</v>
      </c>
      <c r="AD63" s="77">
        <v>0</v>
      </c>
      <c r="AE63" s="75">
        <v>29.5</v>
      </c>
      <c r="AF63" s="76">
        <v>22.8</v>
      </c>
      <c r="AG63" s="77">
        <v>0.3</v>
      </c>
      <c r="AH63" s="75">
        <v>30.2</v>
      </c>
      <c r="AI63" s="76">
        <v>19.8</v>
      </c>
      <c r="AJ63" s="77">
        <v>0</v>
      </c>
      <c r="AK63" s="75">
        <v>31.1</v>
      </c>
      <c r="AL63" s="76">
        <v>19.600000000000001</v>
      </c>
      <c r="AM63" s="77">
        <v>0</v>
      </c>
      <c r="AN63" s="75">
        <v>31.9</v>
      </c>
      <c r="AO63" s="76">
        <v>22</v>
      </c>
      <c r="AP63" s="77">
        <v>0</v>
      </c>
      <c r="AQ63" s="75">
        <v>24.9</v>
      </c>
      <c r="AR63" s="76">
        <v>10.1</v>
      </c>
      <c r="AS63" s="77">
        <v>0</v>
      </c>
      <c r="AT63" s="59">
        <f t="shared" si="3"/>
        <v>18.075000000000003</v>
      </c>
      <c r="AU63" s="58"/>
    </row>
    <row r="64" spans="2:47" x14ac:dyDescent="0.35">
      <c r="B64" s="49">
        <v>40299</v>
      </c>
      <c r="H64" s="68"/>
      <c r="I64" s="69">
        <v>14</v>
      </c>
      <c r="J64" s="70">
        <v>28.9</v>
      </c>
      <c r="K64" s="71">
        <v>12.2</v>
      </c>
      <c r="L64" s="72">
        <v>0</v>
      </c>
      <c r="M64" s="70">
        <v>33.200000000000003</v>
      </c>
      <c r="N64" s="71">
        <v>15</v>
      </c>
      <c r="O64" s="72">
        <v>0</v>
      </c>
      <c r="P64" s="70">
        <v>36.1</v>
      </c>
      <c r="Q64" s="71">
        <v>18.399999999999999</v>
      </c>
      <c r="R64" s="72">
        <v>0</v>
      </c>
      <c r="S64" s="70">
        <v>38.4</v>
      </c>
      <c r="T64" s="71">
        <v>20.100000000000001</v>
      </c>
      <c r="U64" s="72">
        <v>0</v>
      </c>
      <c r="V64" s="70">
        <v>38.9</v>
      </c>
      <c r="W64" s="71">
        <v>24</v>
      </c>
      <c r="X64" s="72">
        <v>0</v>
      </c>
      <c r="Y64" s="70">
        <v>28.8</v>
      </c>
      <c r="Z64" s="71">
        <v>23.5</v>
      </c>
      <c r="AA64" s="72">
        <v>10.4</v>
      </c>
      <c r="AB64" s="70">
        <v>29.7</v>
      </c>
      <c r="AC64" s="71">
        <v>22.7</v>
      </c>
      <c r="AD64" s="72">
        <v>0</v>
      </c>
      <c r="AE64" s="70">
        <v>27.8</v>
      </c>
      <c r="AF64" s="71">
        <v>22.4</v>
      </c>
      <c r="AG64" s="72">
        <v>0</v>
      </c>
      <c r="AH64" s="70">
        <v>31</v>
      </c>
      <c r="AI64" s="71">
        <v>21.8</v>
      </c>
      <c r="AJ64" s="72">
        <v>0</v>
      </c>
      <c r="AK64" s="70">
        <v>32.6</v>
      </c>
      <c r="AL64" s="71">
        <v>20.2</v>
      </c>
      <c r="AM64" s="72">
        <v>1.6</v>
      </c>
      <c r="AN64" s="70">
        <v>32.200000000000003</v>
      </c>
      <c r="AO64" s="71">
        <v>21.4</v>
      </c>
      <c r="AP64" s="72">
        <v>0.8</v>
      </c>
      <c r="AQ64" s="70">
        <v>25.6</v>
      </c>
      <c r="AR64" s="71">
        <v>10.3</v>
      </c>
      <c r="AS64" s="72">
        <v>0</v>
      </c>
      <c r="AT64" s="59">
        <f t="shared" si="3"/>
        <v>17.444444444444443</v>
      </c>
      <c r="AU64" s="58"/>
    </row>
    <row r="65" spans="2:47" x14ac:dyDescent="0.35">
      <c r="B65" s="49">
        <v>40330</v>
      </c>
      <c r="H65" s="73"/>
      <c r="I65" s="74">
        <v>15</v>
      </c>
      <c r="J65" s="75">
        <v>28.6</v>
      </c>
      <c r="K65" s="76">
        <v>13.2</v>
      </c>
      <c r="L65" s="77">
        <v>0</v>
      </c>
      <c r="M65" s="75">
        <v>33.9</v>
      </c>
      <c r="N65" s="76">
        <v>17.600000000000001</v>
      </c>
      <c r="O65" s="77">
        <v>0</v>
      </c>
      <c r="P65" s="75">
        <v>36</v>
      </c>
      <c r="Q65" s="76">
        <v>15.1</v>
      </c>
      <c r="R65" s="77">
        <v>0</v>
      </c>
      <c r="S65" s="75">
        <v>40.1</v>
      </c>
      <c r="T65" s="76">
        <v>23.1</v>
      </c>
      <c r="U65" s="77">
        <v>0</v>
      </c>
      <c r="V65" s="75">
        <v>38.9</v>
      </c>
      <c r="W65" s="76">
        <v>24.2</v>
      </c>
      <c r="X65" s="77">
        <v>0</v>
      </c>
      <c r="Y65" s="75">
        <v>30.2</v>
      </c>
      <c r="Z65" s="76">
        <v>21.6</v>
      </c>
      <c r="AA65" s="77">
        <v>99.4</v>
      </c>
      <c r="AB65" s="75">
        <v>30.9</v>
      </c>
      <c r="AC65" s="76">
        <v>23.8</v>
      </c>
      <c r="AD65" s="77">
        <v>0</v>
      </c>
      <c r="AE65" s="75">
        <v>30.5</v>
      </c>
      <c r="AF65" s="76">
        <v>21.7</v>
      </c>
      <c r="AG65" s="77">
        <v>0</v>
      </c>
      <c r="AH65" s="75">
        <v>29</v>
      </c>
      <c r="AI65" s="76">
        <v>22.1</v>
      </c>
      <c r="AJ65" s="77">
        <v>0</v>
      </c>
      <c r="AK65" s="75">
        <v>32.4</v>
      </c>
      <c r="AL65" s="76">
        <v>21.3</v>
      </c>
      <c r="AM65" s="77">
        <v>1.7</v>
      </c>
      <c r="AN65" s="75">
        <v>31</v>
      </c>
      <c r="AO65" s="76">
        <v>21.1</v>
      </c>
      <c r="AP65" s="77">
        <v>11.2</v>
      </c>
      <c r="AQ65" s="75">
        <v>26.8</v>
      </c>
      <c r="AR65" s="76">
        <v>11.1</v>
      </c>
      <c r="AS65" s="77">
        <v>0</v>
      </c>
      <c r="AT65" s="59">
        <f t="shared" si="3"/>
        <v>20.458333333333332</v>
      </c>
      <c r="AU65" s="58"/>
    </row>
    <row r="66" spans="2:47" x14ac:dyDescent="0.35">
      <c r="B66" s="49">
        <v>40360</v>
      </c>
      <c r="H66" s="68"/>
      <c r="I66" s="69">
        <v>16</v>
      </c>
      <c r="J66" s="70">
        <v>28</v>
      </c>
      <c r="K66" s="71">
        <v>15.3</v>
      </c>
      <c r="L66" s="72">
        <v>0</v>
      </c>
      <c r="M66" s="70">
        <v>33.6</v>
      </c>
      <c r="N66" s="71">
        <v>16.600000000000001</v>
      </c>
      <c r="O66" s="72">
        <v>0</v>
      </c>
      <c r="P66" s="70">
        <v>35.9</v>
      </c>
      <c r="Q66" s="71">
        <v>15.3</v>
      </c>
      <c r="R66" s="72">
        <v>0</v>
      </c>
      <c r="S66" s="70">
        <v>40.9</v>
      </c>
      <c r="T66" s="71">
        <v>24.5</v>
      </c>
      <c r="U66" s="72">
        <v>0</v>
      </c>
      <c r="V66" s="70">
        <v>39.4</v>
      </c>
      <c r="W66" s="71">
        <v>22.3</v>
      </c>
      <c r="X66" s="72">
        <v>0</v>
      </c>
      <c r="Y66" s="70">
        <v>29.1</v>
      </c>
      <c r="Z66" s="71">
        <v>23.1</v>
      </c>
      <c r="AA66" s="72">
        <v>19.2</v>
      </c>
      <c r="AB66" s="70">
        <v>31.3</v>
      </c>
      <c r="AC66" s="71">
        <v>23.4</v>
      </c>
      <c r="AD66" s="72">
        <v>0</v>
      </c>
      <c r="AE66" s="70">
        <v>31.9</v>
      </c>
      <c r="AF66" s="71">
        <v>22.5</v>
      </c>
      <c r="AG66" s="72">
        <v>0</v>
      </c>
      <c r="AH66" s="70">
        <v>30.7</v>
      </c>
      <c r="AI66" s="71">
        <v>21.9</v>
      </c>
      <c r="AJ66" s="72">
        <v>0.1</v>
      </c>
      <c r="AK66" s="70">
        <v>31.5</v>
      </c>
      <c r="AL66" s="71">
        <v>21.9</v>
      </c>
      <c r="AM66" s="72">
        <v>0</v>
      </c>
      <c r="AN66" s="70">
        <v>30.4</v>
      </c>
      <c r="AO66" s="71">
        <v>20.8</v>
      </c>
      <c r="AP66" s="72">
        <v>1.2</v>
      </c>
      <c r="AQ66" s="70">
        <v>26.6</v>
      </c>
      <c r="AR66" s="71">
        <v>10.8</v>
      </c>
      <c r="AS66" s="72">
        <v>0</v>
      </c>
      <c r="AT66" s="59">
        <f t="shared" si="3"/>
        <v>18.005555555555553</v>
      </c>
      <c r="AU66" s="58"/>
    </row>
    <row r="67" spans="2:47" x14ac:dyDescent="0.35">
      <c r="B67" s="49">
        <v>40391</v>
      </c>
      <c r="H67" s="73"/>
      <c r="I67" s="74">
        <v>17</v>
      </c>
      <c r="J67" s="75">
        <v>30.2</v>
      </c>
      <c r="K67" s="76">
        <v>14</v>
      </c>
      <c r="L67" s="77">
        <v>0</v>
      </c>
      <c r="M67" s="75">
        <v>34.4</v>
      </c>
      <c r="N67" s="76">
        <v>15.7</v>
      </c>
      <c r="O67" s="77">
        <v>0</v>
      </c>
      <c r="P67" s="75">
        <v>37.1</v>
      </c>
      <c r="Q67" s="76">
        <v>13.8</v>
      </c>
      <c r="R67" s="77">
        <v>0</v>
      </c>
      <c r="S67" s="75">
        <v>41.5</v>
      </c>
      <c r="T67" s="76">
        <v>23</v>
      </c>
      <c r="U67" s="77">
        <v>0</v>
      </c>
      <c r="V67" s="75">
        <v>38.4</v>
      </c>
      <c r="W67" s="76">
        <v>24.6</v>
      </c>
      <c r="X67" s="77">
        <v>0</v>
      </c>
      <c r="Y67" s="75">
        <v>27.7</v>
      </c>
      <c r="Z67" s="76">
        <v>22.7</v>
      </c>
      <c r="AA67" s="77">
        <v>5.6</v>
      </c>
      <c r="AB67" s="75">
        <v>31.1</v>
      </c>
      <c r="AC67" s="76">
        <v>23.5</v>
      </c>
      <c r="AD67" s="77">
        <v>0.4</v>
      </c>
      <c r="AE67" s="75">
        <v>29.8</v>
      </c>
      <c r="AF67" s="76">
        <v>23</v>
      </c>
      <c r="AG67" s="77">
        <v>0</v>
      </c>
      <c r="AH67" s="75">
        <v>30.3</v>
      </c>
      <c r="AI67" s="76">
        <v>21.9</v>
      </c>
      <c r="AJ67" s="77">
        <v>0</v>
      </c>
      <c r="AK67" s="75">
        <v>30</v>
      </c>
      <c r="AL67" s="76">
        <v>24.4</v>
      </c>
      <c r="AM67" s="77">
        <v>0</v>
      </c>
      <c r="AN67" s="75">
        <v>30</v>
      </c>
      <c r="AO67" s="76">
        <v>19.5</v>
      </c>
      <c r="AP67" s="77">
        <v>0</v>
      </c>
      <c r="AQ67" s="75">
        <v>27.8</v>
      </c>
      <c r="AR67" s="76">
        <v>9.6</v>
      </c>
      <c r="AS67" s="77">
        <v>0</v>
      </c>
      <c r="AT67" s="59">
        <f t="shared" si="3"/>
        <v>17.5</v>
      </c>
      <c r="AU67" s="58"/>
    </row>
    <row r="68" spans="2:47" x14ac:dyDescent="0.35">
      <c r="B68" s="49">
        <v>40422</v>
      </c>
      <c r="H68" s="68"/>
      <c r="I68" s="69">
        <v>18</v>
      </c>
      <c r="J68" s="70">
        <v>30</v>
      </c>
      <c r="K68" s="71">
        <v>11.5</v>
      </c>
      <c r="L68" s="72">
        <v>0</v>
      </c>
      <c r="M68" s="70">
        <v>32.700000000000003</v>
      </c>
      <c r="N68" s="71">
        <v>14.3</v>
      </c>
      <c r="O68" s="72">
        <v>0</v>
      </c>
      <c r="P68" s="70">
        <v>37.1</v>
      </c>
      <c r="Q68" s="71">
        <v>17.399999999999999</v>
      </c>
      <c r="R68" s="72">
        <v>0</v>
      </c>
      <c r="S68" s="70">
        <v>39.6</v>
      </c>
      <c r="T68" s="71">
        <v>25.8</v>
      </c>
      <c r="U68" s="72">
        <v>0</v>
      </c>
      <c r="V68" s="70">
        <v>39.700000000000003</v>
      </c>
      <c r="W68" s="71">
        <v>26.3</v>
      </c>
      <c r="X68" s="72">
        <v>0</v>
      </c>
      <c r="Y68" s="70">
        <v>30.7</v>
      </c>
      <c r="Z68" s="71">
        <v>23.6</v>
      </c>
      <c r="AA68" s="72">
        <v>0</v>
      </c>
      <c r="AB68" s="70">
        <v>31.4</v>
      </c>
      <c r="AC68" s="71">
        <v>22.2</v>
      </c>
      <c r="AD68" s="72">
        <v>0</v>
      </c>
      <c r="AE68" s="70">
        <v>29.4</v>
      </c>
      <c r="AF68" s="71">
        <v>23.4</v>
      </c>
      <c r="AG68" s="72">
        <v>27.4</v>
      </c>
      <c r="AH68" s="70">
        <v>29.2</v>
      </c>
      <c r="AI68" s="71">
        <v>22.5</v>
      </c>
      <c r="AJ68" s="72">
        <v>0</v>
      </c>
      <c r="AK68" s="70">
        <v>30.6</v>
      </c>
      <c r="AL68" s="71">
        <v>20.8</v>
      </c>
      <c r="AM68" s="72">
        <v>33.4</v>
      </c>
      <c r="AN68" s="70">
        <v>30.1</v>
      </c>
      <c r="AO68" s="71">
        <v>19.8</v>
      </c>
      <c r="AP68" s="72">
        <v>0</v>
      </c>
      <c r="AQ68" s="70">
        <v>28</v>
      </c>
      <c r="AR68" s="71">
        <v>8.5</v>
      </c>
      <c r="AS68" s="72">
        <v>0</v>
      </c>
      <c r="AT68" s="59">
        <f t="shared" si="3"/>
        <v>19.038888888888884</v>
      </c>
      <c r="AU68" s="58"/>
    </row>
    <row r="69" spans="2:47" x14ac:dyDescent="0.35">
      <c r="B69" s="49">
        <v>40452</v>
      </c>
      <c r="H69" s="73"/>
      <c r="I69" s="74">
        <v>19</v>
      </c>
      <c r="J69" s="75">
        <v>29.7</v>
      </c>
      <c r="K69" s="76">
        <v>12</v>
      </c>
      <c r="L69" s="77">
        <v>0</v>
      </c>
      <c r="M69" s="75">
        <v>34.4</v>
      </c>
      <c r="N69" s="76">
        <v>15</v>
      </c>
      <c r="O69" s="77">
        <v>0</v>
      </c>
      <c r="P69" s="75">
        <v>37.6</v>
      </c>
      <c r="Q69" s="76">
        <v>19.899999999999999</v>
      </c>
      <c r="R69" s="77">
        <v>0</v>
      </c>
      <c r="S69" s="75">
        <v>38.1</v>
      </c>
      <c r="T69" s="76">
        <v>23.5</v>
      </c>
      <c r="U69" s="77">
        <v>0</v>
      </c>
      <c r="V69" s="75">
        <v>41.9</v>
      </c>
      <c r="W69" s="76">
        <v>28</v>
      </c>
      <c r="X69" s="77">
        <v>0</v>
      </c>
      <c r="Y69" s="75">
        <v>31</v>
      </c>
      <c r="Z69" s="76">
        <v>22.4</v>
      </c>
      <c r="AA69" s="77">
        <v>2.1</v>
      </c>
      <c r="AB69" s="75">
        <v>30.7</v>
      </c>
      <c r="AC69" s="76">
        <v>23.2</v>
      </c>
      <c r="AD69" s="77">
        <v>0.3</v>
      </c>
      <c r="AE69" s="75">
        <v>28</v>
      </c>
      <c r="AF69" s="76">
        <v>22.1</v>
      </c>
      <c r="AG69" s="77">
        <v>0.7</v>
      </c>
      <c r="AH69" s="75">
        <v>31.5</v>
      </c>
      <c r="AI69" s="76">
        <v>20.5</v>
      </c>
      <c r="AJ69" s="77">
        <v>0.6</v>
      </c>
      <c r="AK69" s="75">
        <v>30.5</v>
      </c>
      <c r="AL69" s="76">
        <v>23.3</v>
      </c>
      <c r="AM69" s="77">
        <v>21.2</v>
      </c>
      <c r="AN69" s="75">
        <v>29.5</v>
      </c>
      <c r="AO69" s="76">
        <v>21.2</v>
      </c>
      <c r="AP69" s="77">
        <v>0</v>
      </c>
      <c r="AQ69" s="75">
        <v>27.3</v>
      </c>
      <c r="AR69" s="76">
        <v>7.3</v>
      </c>
      <c r="AS69" s="77">
        <v>0</v>
      </c>
      <c r="AT69" s="59">
        <f t="shared" si="3"/>
        <v>18.152777777777779</v>
      </c>
      <c r="AU69" s="58"/>
    </row>
    <row r="70" spans="2:47" x14ac:dyDescent="0.35">
      <c r="B70" s="49">
        <v>40483</v>
      </c>
      <c r="H70" s="68"/>
      <c r="I70" s="69">
        <v>20</v>
      </c>
      <c r="J70" s="70">
        <v>28.9</v>
      </c>
      <c r="K70" s="71">
        <v>12.8</v>
      </c>
      <c r="L70" s="72">
        <v>0</v>
      </c>
      <c r="M70" s="70">
        <v>34.700000000000003</v>
      </c>
      <c r="N70" s="71">
        <v>13.8</v>
      </c>
      <c r="O70" s="72">
        <v>0</v>
      </c>
      <c r="P70" s="70">
        <v>37.6</v>
      </c>
      <c r="Q70" s="71">
        <v>19.100000000000001</v>
      </c>
      <c r="R70" s="72">
        <v>0</v>
      </c>
      <c r="S70" s="70">
        <v>36.4</v>
      </c>
      <c r="T70" s="71">
        <v>20</v>
      </c>
      <c r="U70" s="72">
        <v>0</v>
      </c>
      <c r="V70" s="70">
        <v>37.200000000000003</v>
      </c>
      <c r="W70" s="71">
        <v>25.3</v>
      </c>
      <c r="X70" s="72">
        <v>0</v>
      </c>
      <c r="Y70" s="70">
        <v>32.799999999999997</v>
      </c>
      <c r="Z70" s="71">
        <v>23.7</v>
      </c>
      <c r="AA70" s="72">
        <v>0</v>
      </c>
      <c r="AB70" s="70">
        <v>30.8</v>
      </c>
      <c r="AC70" s="71">
        <v>23.4</v>
      </c>
      <c r="AD70" s="72">
        <v>0.4</v>
      </c>
      <c r="AE70" s="70">
        <v>27.4</v>
      </c>
      <c r="AF70" s="71">
        <v>22.3</v>
      </c>
      <c r="AG70" s="72">
        <v>0</v>
      </c>
      <c r="AH70" s="70">
        <v>32.299999999999997</v>
      </c>
      <c r="AI70" s="71">
        <v>21.4</v>
      </c>
      <c r="AJ70" s="72">
        <v>0.2</v>
      </c>
      <c r="AK70" s="70">
        <v>31.6</v>
      </c>
      <c r="AL70" s="71">
        <v>22.3</v>
      </c>
      <c r="AM70" s="72">
        <v>3.5</v>
      </c>
      <c r="AN70" s="70">
        <v>31.8</v>
      </c>
      <c r="AO70" s="71">
        <v>21.3</v>
      </c>
      <c r="AP70" s="72">
        <v>1.7</v>
      </c>
      <c r="AQ70" s="70">
        <v>27.4</v>
      </c>
      <c r="AR70" s="71">
        <v>6.5</v>
      </c>
      <c r="AS70" s="72">
        <v>0</v>
      </c>
      <c r="AT70" s="59">
        <f t="shared" si="3"/>
        <v>17.405555555555551</v>
      </c>
      <c r="AU70" s="58"/>
    </row>
    <row r="71" spans="2:47" x14ac:dyDescent="0.35">
      <c r="B71" s="49">
        <v>40513</v>
      </c>
      <c r="H71" s="73"/>
      <c r="I71" s="74">
        <v>21</v>
      </c>
      <c r="J71" s="75">
        <v>29.1</v>
      </c>
      <c r="K71" s="76">
        <v>12</v>
      </c>
      <c r="L71" s="77">
        <v>0</v>
      </c>
      <c r="M71" s="75">
        <v>35.5</v>
      </c>
      <c r="N71" s="76">
        <v>14.3</v>
      </c>
      <c r="O71" s="77">
        <v>0</v>
      </c>
      <c r="P71" s="75">
        <v>38.9</v>
      </c>
      <c r="Q71" s="76">
        <v>19.7</v>
      </c>
      <c r="R71" s="77">
        <v>0</v>
      </c>
      <c r="S71" s="75">
        <v>37.5</v>
      </c>
      <c r="T71" s="76">
        <v>19.899999999999999</v>
      </c>
      <c r="U71" s="77">
        <v>0</v>
      </c>
      <c r="V71" s="75">
        <v>39.4</v>
      </c>
      <c r="W71" s="76">
        <v>25.9</v>
      </c>
      <c r="X71" s="77">
        <v>0</v>
      </c>
      <c r="Y71" s="75">
        <v>30.2</v>
      </c>
      <c r="Z71" s="76">
        <v>23.3</v>
      </c>
      <c r="AA71" s="77">
        <v>1.3</v>
      </c>
      <c r="AB71" s="75">
        <v>29.4</v>
      </c>
      <c r="AC71" s="76">
        <v>23.2</v>
      </c>
      <c r="AD71" s="77">
        <v>0.2</v>
      </c>
      <c r="AE71" s="75">
        <v>27.6</v>
      </c>
      <c r="AF71" s="76">
        <v>22.1</v>
      </c>
      <c r="AG71" s="77">
        <v>0</v>
      </c>
      <c r="AH71" s="75">
        <v>31.4</v>
      </c>
      <c r="AI71" s="76">
        <v>22.8</v>
      </c>
      <c r="AJ71" s="77">
        <v>0</v>
      </c>
      <c r="AK71" s="75">
        <v>31.5</v>
      </c>
      <c r="AL71" s="76">
        <v>23.3</v>
      </c>
      <c r="AM71" s="77">
        <v>0</v>
      </c>
      <c r="AN71" s="75">
        <v>31.1</v>
      </c>
      <c r="AO71" s="76">
        <v>20.399999999999999</v>
      </c>
      <c r="AP71" s="77">
        <v>0</v>
      </c>
      <c r="AQ71" s="75">
        <v>27.4</v>
      </c>
      <c r="AR71" s="76">
        <v>7.4</v>
      </c>
      <c r="AS71" s="77">
        <v>0</v>
      </c>
      <c r="AT71" s="59">
        <f t="shared" si="3"/>
        <v>17.355555555555554</v>
      </c>
      <c r="AU71" s="58"/>
    </row>
    <row r="72" spans="2:47" x14ac:dyDescent="0.35">
      <c r="B72" s="49">
        <v>40544</v>
      </c>
      <c r="H72" s="68"/>
      <c r="I72" s="69">
        <v>22</v>
      </c>
      <c r="J72" s="70">
        <v>29.1</v>
      </c>
      <c r="K72" s="71">
        <v>10.1</v>
      </c>
      <c r="L72" s="72">
        <v>0</v>
      </c>
      <c r="M72" s="70">
        <v>36.299999999999997</v>
      </c>
      <c r="N72" s="71">
        <v>17.7</v>
      </c>
      <c r="O72" s="72">
        <v>0</v>
      </c>
      <c r="P72" s="70">
        <v>39</v>
      </c>
      <c r="Q72" s="71">
        <v>21.6</v>
      </c>
      <c r="R72" s="72">
        <v>0</v>
      </c>
      <c r="S72" s="70">
        <v>39.299999999999997</v>
      </c>
      <c r="T72" s="71">
        <v>20.8</v>
      </c>
      <c r="U72" s="72">
        <v>0</v>
      </c>
      <c r="V72" s="70">
        <v>37.700000000000003</v>
      </c>
      <c r="W72" s="71">
        <v>26.2</v>
      </c>
      <c r="X72" s="72">
        <v>0</v>
      </c>
      <c r="Y72" s="70">
        <v>31.2</v>
      </c>
      <c r="Z72" s="71">
        <v>24</v>
      </c>
      <c r="AA72" s="72">
        <v>0</v>
      </c>
      <c r="AB72" s="70">
        <v>28.3</v>
      </c>
      <c r="AC72" s="71">
        <v>22.6</v>
      </c>
      <c r="AD72" s="72">
        <v>1.3</v>
      </c>
      <c r="AE72" s="70">
        <v>30.1</v>
      </c>
      <c r="AF72" s="71">
        <v>22.3</v>
      </c>
      <c r="AG72" s="72">
        <v>0.1</v>
      </c>
      <c r="AH72" s="70">
        <v>30.9</v>
      </c>
      <c r="AI72" s="71">
        <v>21.2</v>
      </c>
      <c r="AJ72" s="72">
        <v>15.8</v>
      </c>
      <c r="AK72" s="70">
        <v>31.7</v>
      </c>
      <c r="AL72" s="71">
        <v>21.2</v>
      </c>
      <c r="AM72" s="72">
        <v>0</v>
      </c>
      <c r="AN72" s="70">
        <v>30.1</v>
      </c>
      <c r="AO72" s="71">
        <v>21.1</v>
      </c>
      <c r="AP72" s="72">
        <v>3.4</v>
      </c>
      <c r="AQ72" s="70">
        <v>29.3</v>
      </c>
      <c r="AR72" s="71">
        <v>8.5</v>
      </c>
      <c r="AS72" s="72">
        <v>0</v>
      </c>
      <c r="AT72" s="59">
        <f t="shared" si="3"/>
        <v>18.080555555555559</v>
      </c>
      <c r="AU72" s="58"/>
    </row>
    <row r="73" spans="2:47" x14ac:dyDescent="0.35">
      <c r="B73" s="49">
        <v>40575</v>
      </c>
      <c r="H73" s="73"/>
      <c r="I73" s="74">
        <v>23</v>
      </c>
      <c r="J73" s="75">
        <v>29.8</v>
      </c>
      <c r="K73" s="76">
        <v>9.1</v>
      </c>
      <c r="L73" s="77">
        <v>0</v>
      </c>
      <c r="M73" s="75">
        <v>35.799999999999997</v>
      </c>
      <c r="N73" s="76">
        <v>16.7</v>
      </c>
      <c r="O73" s="77">
        <v>0</v>
      </c>
      <c r="P73" s="75">
        <v>38.9</v>
      </c>
      <c r="Q73" s="76">
        <v>17.600000000000001</v>
      </c>
      <c r="R73" s="77">
        <v>0</v>
      </c>
      <c r="S73" s="75">
        <v>39.799999999999997</v>
      </c>
      <c r="T73" s="76">
        <v>23.4</v>
      </c>
      <c r="U73" s="77">
        <v>0</v>
      </c>
      <c r="V73" s="75">
        <v>37.9</v>
      </c>
      <c r="W73" s="76">
        <v>26</v>
      </c>
      <c r="X73" s="77">
        <v>0</v>
      </c>
      <c r="Y73" s="75">
        <v>31.9</v>
      </c>
      <c r="Z73" s="76">
        <v>23.8</v>
      </c>
      <c r="AA73" s="77">
        <v>1.3</v>
      </c>
      <c r="AB73" s="75">
        <v>27.8</v>
      </c>
      <c r="AC73" s="76">
        <v>22.8</v>
      </c>
      <c r="AD73" s="77">
        <v>2.4</v>
      </c>
      <c r="AE73" s="75">
        <v>29.9</v>
      </c>
      <c r="AF73" s="76">
        <v>22.1</v>
      </c>
      <c r="AG73" s="77">
        <v>1.2</v>
      </c>
      <c r="AH73" s="75">
        <v>32.9</v>
      </c>
      <c r="AI73" s="76">
        <v>22.4</v>
      </c>
      <c r="AJ73" s="77">
        <v>0.1</v>
      </c>
      <c r="AK73" s="75">
        <v>31.3</v>
      </c>
      <c r="AL73" s="76">
        <v>20.5</v>
      </c>
      <c r="AM73" s="77">
        <v>1.2</v>
      </c>
      <c r="AN73" s="75">
        <v>30.7</v>
      </c>
      <c r="AO73" s="76">
        <v>20.2</v>
      </c>
      <c r="AP73" s="77">
        <v>1.6</v>
      </c>
      <c r="AQ73" s="75">
        <v>30.4</v>
      </c>
      <c r="AR73" s="76">
        <v>8.6</v>
      </c>
      <c r="AS73" s="77">
        <v>0</v>
      </c>
      <c r="AT73" s="59">
        <f t="shared" si="3"/>
        <v>17.725000000000005</v>
      </c>
      <c r="AU73" s="58"/>
    </row>
    <row r="74" spans="2:47" x14ac:dyDescent="0.35">
      <c r="B74" s="49">
        <v>40603</v>
      </c>
      <c r="H74" s="68"/>
      <c r="I74" s="69">
        <v>24</v>
      </c>
      <c r="J74" s="70">
        <v>28.8</v>
      </c>
      <c r="K74" s="71">
        <v>9.5</v>
      </c>
      <c r="L74" s="72">
        <v>0</v>
      </c>
      <c r="M74" s="70">
        <v>34.1</v>
      </c>
      <c r="N74" s="71">
        <v>11.5</v>
      </c>
      <c r="O74" s="72">
        <v>0</v>
      </c>
      <c r="P74" s="70">
        <v>37.700000000000003</v>
      </c>
      <c r="Q74" s="71">
        <v>17</v>
      </c>
      <c r="R74" s="72">
        <v>0</v>
      </c>
      <c r="S74" s="70">
        <v>40.4</v>
      </c>
      <c r="T74" s="71">
        <v>22.4</v>
      </c>
      <c r="U74" s="72">
        <v>0</v>
      </c>
      <c r="V74" s="70">
        <v>38.299999999999997</v>
      </c>
      <c r="W74" s="71">
        <v>25.5</v>
      </c>
      <c r="X74" s="72">
        <v>0</v>
      </c>
      <c r="Y74" s="70">
        <v>29.8</v>
      </c>
      <c r="Z74" s="71">
        <v>23.3</v>
      </c>
      <c r="AA74" s="72">
        <v>0.1</v>
      </c>
      <c r="AB74" s="70">
        <v>27.4</v>
      </c>
      <c r="AC74" s="71">
        <v>23</v>
      </c>
      <c r="AD74" s="72">
        <v>5.9</v>
      </c>
      <c r="AE74" s="70">
        <v>29</v>
      </c>
      <c r="AF74" s="71">
        <v>22.1</v>
      </c>
      <c r="AG74" s="72">
        <v>0.1</v>
      </c>
      <c r="AH74" s="70">
        <v>32.6</v>
      </c>
      <c r="AI74" s="71">
        <v>21.9</v>
      </c>
      <c r="AJ74" s="72">
        <v>0</v>
      </c>
      <c r="AK74" s="70">
        <v>31.3</v>
      </c>
      <c r="AL74" s="71">
        <v>20.100000000000001</v>
      </c>
      <c r="AM74" s="72">
        <v>0.2</v>
      </c>
      <c r="AN74" s="70">
        <v>30.4</v>
      </c>
      <c r="AO74" s="71">
        <v>18.8</v>
      </c>
      <c r="AP74" s="72">
        <v>0</v>
      </c>
      <c r="AQ74" s="70">
        <v>30.6</v>
      </c>
      <c r="AR74" s="71">
        <v>9.1999999999999993</v>
      </c>
      <c r="AS74" s="72">
        <v>0</v>
      </c>
      <c r="AT74" s="59">
        <f t="shared" si="3"/>
        <v>17.250000000000004</v>
      </c>
      <c r="AU74" s="58"/>
    </row>
    <row r="75" spans="2:47" x14ac:dyDescent="0.35">
      <c r="B75" s="49">
        <v>40634</v>
      </c>
      <c r="H75" s="73"/>
      <c r="I75" s="74">
        <v>25</v>
      </c>
      <c r="J75" s="75">
        <v>29.3</v>
      </c>
      <c r="K75" s="76">
        <v>10.6</v>
      </c>
      <c r="L75" s="77">
        <v>0</v>
      </c>
      <c r="M75" s="75">
        <v>31.9</v>
      </c>
      <c r="N75" s="76">
        <v>10.4</v>
      </c>
      <c r="O75" s="77">
        <v>0</v>
      </c>
      <c r="P75" s="75">
        <v>38.1</v>
      </c>
      <c r="Q75" s="76">
        <v>16.2</v>
      </c>
      <c r="R75" s="77">
        <v>0</v>
      </c>
      <c r="S75" s="75">
        <v>39.4</v>
      </c>
      <c r="T75" s="76">
        <v>21.6</v>
      </c>
      <c r="U75" s="77">
        <v>0</v>
      </c>
      <c r="V75" s="75">
        <v>37.200000000000003</v>
      </c>
      <c r="W75" s="76">
        <v>25.1</v>
      </c>
      <c r="X75" s="77">
        <v>0</v>
      </c>
      <c r="Y75" s="75">
        <v>29.3</v>
      </c>
      <c r="Z75" s="76">
        <v>21.7</v>
      </c>
      <c r="AA75" s="77">
        <v>0.1</v>
      </c>
      <c r="AB75" s="75">
        <v>25.5</v>
      </c>
      <c r="AC75" s="76">
        <v>21.9</v>
      </c>
      <c r="AD75" s="77">
        <v>19.7</v>
      </c>
      <c r="AE75" s="75">
        <v>28.9</v>
      </c>
      <c r="AF75" s="76">
        <v>22.6</v>
      </c>
      <c r="AG75" s="77">
        <v>0.3</v>
      </c>
      <c r="AH75" s="75">
        <v>32.9</v>
      </c>
      <c r="AI75" s="76">
        <v>20.399999999999999</v>
      </c>
      <c r="AJ75" s="77">
        <v>0.2</v>
      </c>
      <c r="AK75" s="75">
        <v>31.8</v>
      </c>
      <c r="AL75" s="76">
        <v>20.6</v>
      </c>
      <c r="AM75" s="77">
        <v>0</v>
      </c>
      <c r="AN75" s="75">
        <v>31.4</v>
      </c>
      <c r="AO75" s="76">
        <v>20.8</v>
      </c>
      <c r="AP75" s="77">
        <v>5.5</v>
      </c>
      <c r="AQ75" s="75">
        <v>30.6</v>
      </c>
      <c r="AR75" s="76">
        <v>9.5</v>
      </c>
      <c r="AS75" s="77">
        <v>0</v>
      </c>
      <c r="AT75" s="59">
        <f t="shared" si="3"/>
        <v>17.597222222222218</v>
      </c>
      <c r="AU75" s="58"/>
    </row>
    <row r="76" spans="2:47" x14ac:dyDescent="0.35">
      <c r="B76" s="49">
        <v>40664</v>
      </c>
      <c r="H76" s="68"/>
      <c r="I76" s="69">
        <v>26</v>
      </c>
      <c r="J76" s="70">
        <v>28.6</v>
      </c>
      <c r="K76" s="71">
        <v>10.8</v>
      </c>
      <c r="L76" s="72">
        <v>0</v>
      </c>
      <c r="M76" s="70">
        <v>32.799999999999997</v>
      </c>
      <c r="N76" s="71">
        <v>13.2</v>
      </c>
      <c r="O76" s="72">
        <v>0</v>
      </c>
      <c r="P76" s="70">
        <v>37.9</v>
      </c>
      <c r="Q76" s="71">
        <v>18.7</v>
      </c>
      <c r="R76" s="72">
        <v>0</v>
      </c>
      <c r="S76" s="70">
        <v>39</v>
      </c>
      <c r="T76" s="71">
        <v>20.8</v>
      </c>
      <c r="U76" s="72">
        <v>0</v>
      </c>
      <c r="V76" s="70">
        <v>37.4</v>
      </c>
      <c r="W76" s="71">
        <v>25.3</v>
      </c>
      <c r="X76" s="72">
        <v>0</v>
      </c>
      <c r="Y76" s="70">
        <v>29.9</v>
      </c>
      <c r="Z76" s="71">
        <v>22.8</v>
      </c>
      <c r="AA76" s="72">
        <v>0</v>
      </c>
      <c r="AB76" s="70">
        <v>25.9</v>
      </c>
      <c r="AC76" s="71">
        <v>22</v>
      </c>
      <c r="AD76" s="72">
        <v>54.2</v>
      </c>
      <c r="AE76" s="70">
        <v>27.4</v>
      </c>
      <c r="AF76" s="71">
        <v>22.6</v>
      </c>
      <c r="AG76" s="72">
        <v>0</v>
      </c>
      <c r="AH76" s="70">
        <v>32.1</v>
      </c>
      <c r="AI76" s="71">
        <v>21.9</v>
      </c>
      <c r="AJ76" s="72">
        <v>0.2</v>
      </c>
      <c r="AK76" s="70">
        <v>29.9</v>
      </c>
      <c r="AL76" s="71">
        <v>19.100000000000001</v>
      </c>
      <c r="AM76" s="72">
        <v>0</v>
      </c>
      <c r="AN76" s="70">
        <v>29.6</v>
      </c>
      <c r="AO76" s="71">
        <v>18.600000000000001</v>
      </c>
      <c r="AP76" s="72">
        <v>0</v>
      </c>
      <c r="AQ76" s="70">
        <v>29.2</v>
      </c>
      <c r="AR76" s="71">
        <v>9.3000000000000007</v>
      </c>
      <c r="AS76" s="72">
        <v>0</v>
      </c>
      <c r="AT76" s="59">
        <f t="shared" si="3"/>
        <v>18.311111111111114</v>
      </c>
      <c r="AU76" s="58"/>
    </row>
    <row r="77" spans="2:47" x14ac:dyDescent="0.35">
      <c r="B77" s="49">
        <v>40695</v>
      </c>
      <c r="H77" s="73"/>
      <c r="I77" s="74">
        <v>27</v>
      </c>
      <c r="J77" s="75">
        <v>28.2</v>
      </c>
      <c r="K77" s="76">
        <v>10.7</v>
      </c>
      <c r="L77" s="77">
        <v>0</v>
      </c>
      <c r="M77" s="75">
        <v>34.299999999999997</v>
      </c>
      <c r="N77" s="76">
        <v>14</v>
      </c>
      <c r="O77" s="77">
        <v>0</v>
      </c>
      <c r="P77" s="75">
        <v>38</v>
      </c>
      <c r="Q77" s="76">
        <v>18.2</v>
      </c>
      <c r="R77" s="77">
        <v>0</v>
      </c>
      <c r="S77" s="75">
        <v>40.4</v>
      </c>
      <c r="T77" s="76">
        <v>21.2</v>
      </c>
      <c r="U77" s="77">
        <v>0</v>
      </c>
      <c r="V77" s="75">
        <v>35.9</v>
      </c>
      <c r="W77" s="76">
        <v>26</v>
      </c>
      <c r="X77" s="77">
        <v>0</v>
      </c>
      <c r="Y77" s="75">
        <v>33.1</v>
      </c>
      <c r="Z77" s="76">
        <v>23.5</v>
      </c>
      <c r="AA77" s="77">
        <v>0</v>
      </c>
      <c r="AB77" s="75">
        <v>25.7</v>
      </c>
      <c r="AC77" s="76">
        <v>22.5</v>
      </c>
      <c r="AD77" s="77">
        <v>44.5</v>
      </c>
      <c r="AE77" s="75">
        <v>30.2</v>
      </c>
      <c r="AF77" s="76">
        <v>22.6</v>
      </c>
      <c r="AG77" s="77">
        <v>2.2999999999999998</v>
      </c>
      <c r="AH77" s="75">
        <v>32.700000000000003</v>
      </c>
      <c r="AI77" s="76">
        <v>21.1</v>
      </c>
      <c r="AJ77" s="77">
        <v>10.6</v>
      </c>
      <c r="AK77" s="75">
        <v>31.6</v>
      </c>
      <c r="AL77" s="76">
        <v>18.3</v>
      </c>
      <c r="AM77" s="77">
        <v>0</v>
      </c>
      <c r="AN77" s="75">
        <v>30.4</v>
      </c>
      <c r="AO77" s="76">
        <v>20.3</v>
      </c>
      <c r="AP77" s="77">
        <v>0</v>
      </c>
      <c r="AQ77" s="75">
        <v>28.8</v>
      </c>
      <c r="AR77" s="76">
        <v>11.2</v>
      </c>
      <c r="AS77" s="77">
        <v>0</v>
      </c>
      <c r="AT77" s="59">
        <f t="shared" si="3"/>
        <v>18.786111111111111</v>
      </c>
      <c r="AU77" s="58"/>
    </row>
    <row r="78" spans="2:47" x14ac:dyDescent="0.35">
      <c r="B78" s="49">
        <v>40725</v>
      </c>
      <c r="H78" s="68"/>
      <c r="I78" s="69">
        <v>28</v>
      </c>
      <c r="J78" s="70">
        <v>27.8</v>
      </c>
      <c r="K78" s="71">
        <v>10.8</v>
      </c>
      <c r="L78" s="72">
        <v>0</v>
      </c>
      <c r="M78" s="70">
        <v>35</v>
      </c>
      <c r="N78" s="71">
        <v>15.6</v>
      </c>
      <c r="O78" s="72">
        <v>0</v>
      </c>
      <c r="P78" s="70">
        <v>38.1</v>
      </c>
      <c r="Q78" s="71">
        <v>19.100000000000001</v>
      </c>
      <c r="R78" s="72">
        <v>0</v>
      </c>
      <c r="S78" s="70">
        <v>40.299999999999997</v>
      </c>
      <c r="T78" s="71">
        <v>23.2</v>
      </c>
      <c r="U78" s="72">
        <v>0</v>
      </c>
      <c r="V78" s="70">
        <v>36.6</v>
      </c>
      <c r="W78" s="71">
        <v>25.7</v>
      </c>
      <c r="X78" s="72">
        <v>0</v>
      </c>
      <c r="Y78" s="70">
        <v>32.299999999999997</v>
      </c>
      <c r="Z78" s="71">
        <v>24.2</v>
      </c>
      <c r="AA78" s="72">
        <v>0.4</v>
      </c>
      <c r="AB78" s="70">
        <v>27.6</v>
      </c>
      <c r="AC78" s="71">
        <v>22.8</v>
      </c>
      <c r="AD78" s="72">
        <v>9.8000000000000007</v>
      </c>
      <c r="AE78" s="70">
        <v>28.9</v>
      </c>
      <c r="AF78" s="71">
        <v>22.8</v>
      </c>
      <c r="AG78" s="72">
        <v>0.2</v>
      </c>
      <c r="AH78" s="70">
        <v>32.700000000000003</v>
      </c>
      <c r="AI78" s="71">
        <v>21.3</v>
      </c>
      <c r="AJ78" s="72">
        <v>22.5</v>
      </c>
      <c r="AK78" s="70">
        <v>31.9</v>
      </c>
      <c r="AL78" s="71">
        <v>16.399999999999999</v>
      </c>
      <c r="AM78" s="72">
        <v>0</v>
      </c>
      <c r="AN78" s="70">
        <v>30.6</v>
      </c>
      <c r="AO78" s="71">
        <v>17.8</v>
      </c>
      <c r="AP78" s="72">
        <v>0</v>
      </c>
      <c r="AQ78" s="70">
        <v>28.6</v>
      </c>
      <c r="AR78" s="71">
        <v>12.8</v>
      </c>
      <c r="AS78" s="72">
        <v>0</v>
      </c>
      <c r="AT78" s="59">
        <f t="shared" si="3"/>
        <v>18.216666666666665</v>
      </c>
      <c r="AU78" s="58"/>
    </row>
    <row r="79" spans="2:47" x14ac:dyDescent="0.35">
      <c r="B79" s="49">
        <v>40756</v>
      </c>
      <c r="H79" s="73"/>
      <c r="I79" s="74">
        <v>29</v>
      </c>
      <c r="J79" s="75">
        <v>28.9</v>
      </c>
      <c r="K79" s="76">
        <v>11.5</v>
      </c>
      <c r="L79" s="77">
        <v>0</v>
      </c>
      <c r="M79" s="75"/>
      <c r="N79" s="76"/>
      <c r="O79" s="77"/>
      <c r="P79" s="75">
        <v>38.700000000000003</v>
      </c>
      <c r="Q79" s="76">
        <v>22.1</v>
      </c>
      <c r="R79" s="77">
        <v>0</v>
      </c>
      <c r="S79" s="75">
        <v>39.4</v>
      </c>
      <c r="T79" s="76">
        <v>23.8</v>
      </c>
      <c r="U79" s="77">
        <v>0</v>
      </c>
      <c r="V79" s="75">
        <v>36.4</v>
      </c>
      <c r="W79" s="76">
        <v>24.5</v>
      </c>
      <c r="X79" s="77">
        <v>0</v>
      </c>
      <c r="Y79" s="75">
        <v>30.5</v>
      </c>
      <c r="Z79" s="76">
        <v>24</v>
      </c>
      <c r="AA79" s="77">
        <v>0.8</v>
      </c>
      <c r="AB79" s="75">
        <v>27.7</v>
      </c>
      <c r="AC79" s="76">
        <v>22.6</v>
      </c>
      <c r="AD79" s="77">
        <v>4.7</v>
      </c>
      <c r="AE79" s="75">
        <v>29.2</v>
      </c>
      <c r="AF79" s="76">
        <v>23.1</v>
      </c>
      <c r="AG79" s="77">
        <v>22.1</v>
      </c>
      <c r="AH79" s="75">
        <v>31.6</v>
      </c>
      <c r="AI79" s="76">
        <v>22.1</v>
      </c>
      <c r="AJ79" s="77">
        <v>0</v>
      </c>
      <c r="AK79" s="75">
        <v>31.6</v>
      </c>
      <c r="AL79" s="76">
        <v>16.5</v>
      </c>
      <c r="AM79" s="77">
        <v>0</v>
      </c>
      <c r="AN79" s="75">
        <v>30</v>
      </c>
      <c r="AO79" s="76">
        <v>15.8</v>
      </c>
      <c r="AP79" s="77">
        <v>0</v>
      </c>
      <c r="AQ79" s="75">
        <v>29.1</v>
      </c>
      <c r="AR79" s="76">
        <v>14.5</v>
      </c>
      <c r="AS79" s="77">
        <v>0</v>
      </c>
      <c r="AT79" s="59">
        <f t="shared" si="3"/>
        <v>18.218181818181822</v>
      </c>
      <c r="AU79" s="58"/>
    </row>
    <row r="80" spans="2:47" x14ac:dyDescent="0.35">
      <c r="B80" s="49">
        <v>40787</v>
      </c>
      <c r="H80" s="68"/>
      <c r="I80" s="69">
        <v>30</v>
      </c>
      <c r="J80" s="70">
        <v>29.8</v>
      </c>
      <c r="K80" s="71">
        <v>11.9</v>
      </c>
      <c r="L80" s="72">
        <v>0</v>
      </c>
      <c r="M80" s="70"/>
      <c r="N80" s="71"/>
      <c r="O80" s="72"/>
      <c r="P80" s="70">
        <v>38.799999999999997</v>
      </c>
      <c r="Q80" s="71">
        <v>20.2</v>
      </c>
      <c r="R80" s="72">
        <v>0</v>
      </c>
      <c r="S80" s="70">
        <v>40.299999999999997</v>
      </c>
      <c r="T80" s="71">
        <v>24.6</v>
      </c>
      <c r="U80" s="72">
        <v>0.3</v>
      </c>
      <c r="V80" s="70">
        <v>37.6</v>
      </c>
      <c r="W80" s="71">
        <v>24.1</v>
      </c>
      <c r="X80" s="72">
        <v>0</v>
      </c>
      <c r="Y80" s="70">
        <v>29.4</v>
      </c>
      <c r="Z80" s="71">
        <v>23.9</v>
      </c>
      <c r="AA80" s="72">
        <v>0</v>
      </c>
      <c r="AB80" s="70">
        <v>28.3</v>
      </c>
      <c r="AC80" s="71">
        <v>21.6</v>
      </c>
      <c r="AD80" s="72">
        <v>7.9</v>
      </c>
      <c r="AE80" s="70">
        <v>27.8</v>
      </c>
      <c r="AF80" s="71">
        <v>22.2</v>
      </c>
      <c r="AG80" s="72">
        <v>56.9</v>
      </c>
      <c r="AH80" s="70">
        <v>33.5</v>
      </c>
      <c r="AI80" s="71">
        <v>21.2</v>
      </c>
      <c r="AJ80" s="72">
        <v>25.3</v>
      </c>
      <c r="AK80" s="70">
        <v>30.7</v>
      </c>
      <c r="AL80" s="71">
        <v>16</v>
      </c>
      <c r="AM80" s="72">
        <v>0</v>
      </c>
      <c r="AN80" s="70">
        <v>29.9</v>
      </c>
      <c r="AO80" s="71">
        <v>17.100000000000001</v>
      </c>
      <c r="AP80" s="72">
        <v>0</v>
      </c>
      <c r="AQ80" s="70">
        <v>27.9</v>
      </c>
      <c r="AR80" s="71">
        <v>14.8</v>
      </c>
      <c r="AS80" s="72">
        <v>0</v>
      </c>
      <c r="AT80" s="59">
        <f t="shared" si="3"/>
        <v>20.060606060606059</v>
      </c>
      <c r="AU80" s="58"/>
    </row>
    <row r="81" spans="2:47" x14ac:dyDescent="0.35">
      <c r="B81" s="49">
        <v>40817</v>
      </c>
      <c r="H81" s="78"/>
      <c r="I81" s="79">
        <v>31</v>
      </c>
      <c r="J81" s="80">
        <v>28.8</v>
      </c>
      <c r="K81" s="81">
        <v>12.7</v>
      </c>
      <c r="L81" s="82">
        <v>0</v>
      </c>
      <c r="M81" s="80"/>
      <c r="N81" s="81"/>
      <c r="O81" s="82"/>
      <c r="P81" s="80">
        <v>36</v>
      </c>
      <c r="Q81" s="81">
        <v>16.2</v>
      </c>
      <c r="R81" s="82">
        <v>0</v>
      </c>
      <c r="S81" s="80"/>
      <c r="T81" s="81"/>
      <c r="U81" s="82"/>
      <c r="V81" s="80">
        <v>37.6</v>
      </c>
      <c r="W81" s="81">
        <v>24.5</v>
      </c>
      <c r="X81" s="82">
        <v>0</v>
      </c>
      <c r="Y81" s="80"/>
      <c r="Z81" s="81"/>
      <c r="AA81" s="82"/>
      <c r="AB81" s="80">
        <v>29.2</v>
      </c>
      <c r="AC81" s="81">
        <v>22</v>
      </c>
      <c r="AD81" s="82">
        <v>2.5</v>
      </c>
      <c r="AE81" s="80">
        <v>25.9</v>
      </c>
      <c r="AF81" s="81">
        <v>22</v>
      </c>
      <c r="AG81" s="82">
        <v>13.5</v>
      </c>
      <c r="AH81" s="80"/>
      <c r="AI81" s="81"/>
      <c r="AJ81" s="82"/>
      <c r="AK81" s="80">
        <v>31.8</v>
      </c>
      <c r="AL81" s="81">
        <v>15.9</v>
      </c>
      <c r="AM81" s="82">
        <v>0</v>
      </c>
      <c r="AN81" s="80"/>
      <c r="AO81" s="81"/>
      <c r="AP81" s="82"/>
      <c r="AQ81" s="80">
        <v>26.8</v>
      </c>
      <c r="AR81" s="81">
        <v>15.3</v>
      </c>
      <c r="AS81" s="82">
        <v>0</v>
      </c>
      <c r="AT81" s="59">
        <f t="shared" si="3"/>
        <v>17.176190476190477</v>
      </c>
      <c r="AU81" s="58"/>
    </row>
    <row r="82" spans="2:47" x14ac:dyDescent="0.35">
      <c r="B82" s="49">
        <v>40848</v>
      </c>
    </row>
    <row r="83" spans="2:47" x14ac:dyDescent="0.35">
      <c r="B83" s="49">
        <v>40878</v>
      </c>
      <c r="R83" s="48">
        <f>AVERAGE(R51:R82)</f>
        <v>0.74516129032258072</v>
      </c>
      <c r="AJ83" s="48"/>
    </row>
    <row r="84" spans="2:47" x14ac:dyDescent="0.35">
      <c r="B84" s="47">
        <v>39814</v>
      </c>
    </row>
    <row r="85" spans="2:47" x14ac:dyDescent="0.35">
      <c r="B85" s="47">
        <v>39845</v>
      </c>
      <c r="J85" s="48">
        <f t="shared" ref="J85:AS85" si="4">AVERAGE(J51:J84)</f>
        <v>29.096774193548384</v>
      </c>
      <c r="K85" s="48">
        <f t="shared" si="4"/>
        <v>12.987096774193551</v>
      </c>
      <c r="L85" s="48">
        <f t="shared" si="4"/>
        <v>2.2580645161290321E-2</v>
      </c>
      <c r="M85" s="48">
        <f t="shared" si="4"/>
        <v>32.614285714285714</v>
      </c>
      <c r="N85" s="48">
        <f t="shared" si="4"/>
        <v>14.574999999999998</v>
      </c>
      <c r="O85" s="48">
        <f t="shared" si="4"/>
        <v>0</v>
      </c>
      <c r="P85" s="48">
        <f t="shared" si="4"/>
        <v>36.729032258064521</v>
      </c>
      <c r="Q85" s="48">
        <f t="shared" si="4"/>
        <v>17.674193548387098</v>
      </c>
      <c r="R85" s="48">
        <f t="shared" si="4"/>
        <v>0.74516129032258072</v>
      </c>
      <c r="S85" s="48">
        <f t="shared" si="4"/>
        <v>39.033333333333331</v>
      </c>
      <c r="T85" s="48">
        <f t="shared" si="4"/>
        <v>21.456666666666667</v>
      </c>
      <c r="U85" s="48">
        <f t="shared" si="4"/>
        <v>0.01</v>
      </c>
      <c r="V85" s="48">
        <f t="shared" si="4"/>
        <v>38.42903225806451</v>
      </c>
      <c r="W85" s="48">
        <f t="shared" si="4"/>
        <v>24.151612903225807</v>
      </c>
      <c r="X85" s="48">
        <f t="shared" si="4"/>
        <v>0.1806451612903226</v>
      </c>
      <c r="Y85" s="48">
        <f t="shared" si="4"/>
        <v>32.416666666666664</v>
      </c>
      <c r="Z85" s="48">
        <f t="shared" si="4"/>
        <v>23.27</v>
      </c>
      <c r="AA85" s="48">
        <f t="shared" si="4"/>
        <v>7.9466666666666672</v>
      </c>
      <c r="AB85" s="48">
        <f t="shared" si="4"/>
        <v>29.141935483870967</v>
      </c>
      <c r="AC85" s="48">
        <f t="shared" si="4"/>
        <v>22.848387096774189</v>
      </c>
      <c r="AD85" s="48">
        <f t="shared" si="4"/>
        <v>6.225806451612903</v>
      </c>
      <c r="AE85" s="48">
        <f t="shared" si="4"/>
        <v>28.700000000000003</v>
      </c>
      <c r="AF85" s="48">
        <f t="shared" si="4"/>
        <v>22.35161290322581</v>
      </c>
      <c r="AG85" s="48">
        <f t="shared" si="4"/>
        <v>5.7677419354838708</v>
      </c>
      <c r="AH85" s="48">
        <f t="shared" si="4"/>
        <v>30.043333333333333</v>
      </c>
      <c r="AI85" s="48">
        <f t="shared" si="4"/>
        <v>21.466666666666661</v>
      </c>
      <c r="AJ85" s="48">
        <f t="shared" si="4"/>
        <v>3.8000000000000003</v>
      </c>
      <c r="AK85" s="48">
        <f t="shared" si="4"/>
        <v>31.622580645161289</v>
      </c>
      <c r="AL85" s="48">
        <f t="shared" si="4"/>
        <v>20.22258064516129</v>
      </c>
      <c r="AM85" s="48">
        <f t="shared" si="4"/>
        <v>8.4774193548387089</v>
      </c>
      <c r="AN85" s="48">
        <f t="shared" si="4"/>
        <v>30.346666666666668</v>
      </c>
      <c r="AO85" s="48">
        <f t="shared" si="4"/>
        <v>19.559999999999999</v>
      </c>
      <c r="AP85" s="48">
        <f t="shared" si="4"/>
        <v>1.3866666666666667</v>
      </c>
      <c r="AQ85" s="48">
        <f t="shared" si="4"/>
        <v>28.403225806451612</v>
      </c>
      <c r="AR85" s="48">
        <f t="shared" si="4"/>
        <v>12.325806451612904</v>
      </c>
      <c r="AS85" s="48">
        <f t="shared" si="4"/>
        <v>0</v>
      </c>
      <c r="AT85" s="48">
        <f>AVERAGE(J85:AS85)</f>
        <v>18.167477171872335</v>
      </c>
    </row>
    <row r="86" spans="2:47" x14ac:dyDescent="0.35">
      <c r="B86" s="49">
        <v>39873</v>
      </c>
    </row>
    <row r="87" spans="2:47" x14ac:dyDescent="0.35">
      <c r="B87" s="49">
        <v>39904</v>
      </c>
    </row>
    <row r="88" spans="2:47" x14ac:dyDescent="0.35">
      <c r="B88" s="49">
        <v>39934</v>
      </c>
    </row>
    <row r="89" spans="2:47" x14ac:dyDescent="0.35">
      <c r="B89" s="49">
        <v>39965</v>
      </c>
    </row>
    <row r="90" spans="2:47" x14ac:dyDescent="0.35">
      <c r="B90" s="49">
        <v>39995</v>
      </c>
    </row>
    <row r="91" spans="2:47" ht="15.5" x14ac:dyDescent="0.35">
      <c r="B91" s="49">
        <v>40026</v>
      </c>
      <c r="Y91" s="85" t="s">
        <v>2443</v>
      </c>
      <c r="Z91" s="85"/>
      <c r="AA91" s="85"/>
      <c r="AB91" s="86"/>
      <c r="AC91" s="85"/>
      <c r="AD91" s="87"/>
      <c r="AE91" s="88"/>
      <c r="AF91" s="88"/>
      <c r="AG91" s="89"/>
      <c r="AH91" s="88"/>
      <c r="AI91" s="87"/>
      <c r="AJ91" s="88"/>
      <c r="AK91" s="88"/>
      <c r="AL91" s="90"/>
      <c r="AM91" s="88"/>
      <c r="AN91" s="90"/>
      <c r="AO91" s="88"/>
      <c r="AP91" s="88"/>
      <c r="AQ91" s="88"/>
      <c r="AR91" s="88"/>
    </row>
    <row r="92" spans="2:47" x14ac:dyDescent="0.35">
      <c r="B92" s="49">
        <v>40057</v>
      </c>
      <c r="Y92" s="91" t="s">
        <v>2444</v>
      </c>
      <c r="Z92" s="91" t="s">
        <v>2445</v>
      </c>
      <c r="AA92" s="92"/>
      <c r="AB92" s="93"/>
      <c r="AC92" s="92"/>
      <c r="AD92" s="94"/>
      <c r="AE92" s="92"/>
      <c r="AF92" s="92"/>
      <c r="AG92" s="95"/>
      <c r="AI92" s="96"/>
      <c r="AL92" s="48"/>
      <c r="AN92" s="48"/>
    </row>
    <row r="93" spans="2:47" x14ac:dyDescent="0.35">
      <c r="B93" s="49">
        <v>40087</v>
      </c>
      <c r="Y93" s="91" t="s">
        <v>2446</v>
      </c>
      <c r="Z93" s="91" t="s">
        <v>2447</v>
      </c>
      <c r="AA93" s="92"/>
      <c r="AB93" s="93"/>
      <c r="AC93" s="92"/>
      <c r="AD93" s="94"/>
      <c r="AE93" s="92"/>
      <c r="AF93" s="92"/>
      <c r="AG93" s="95"/>
      <c r="AI93" s="96"/>
      <c r="AL93" s="48"/>
      <c r="AN93" s="48"/>
    </row>
    <row r="94" spans="2:47" ht="15.5" x14ac:dyDescent="0.35">
      <c r="B94" s="49">
        <v>40118</v>
      </c>
      <c r="Y94" s="91" t="s">
        <v>2448</v>
      </c>
      <c r="Z94" s="91" t="s">
        <v>2449</v>
      </c>
      <c r="AA94" s="92"/>
      <c r="AB94" s="93"/>
      <c r="AC94" s="92"/>
      <c r="AD94" s="94"/>
      <c r="AE94" s="92"/>
      <c r="AF94" s="92"/>
      <c r="AG94" s="95"/>
      <c r="AI94" s="96"/>
      <c r="AL94" s="48"/>
      <c r="AN94" s="48"/>
    </row>
    <row r="95" spans="2:47" x14ac:dyDescent="0.35">
      <c r="B95" s="49">
        <v>40148</v>
      </c>
      <c r="Y95" s="91" t="s">
        <v>2450</v>
      </c>
      <c r="Z95" s="91" t="s">
        <v>2451</v>
      </c>
      <c r="AA95" s="92"/>
      <c r="AB95" s="93"/>
      <c r="AC95" s="92"/>
      <c r="AD95" s="94"/>
      <c r="AE95" s="92"/>
      <c r="AF95" s="92"/>
      <c r="AG95" s="95"/>
      <c r="AI95" s="96"/>
      <c r="AL95" s="48"/>
      <c r="AN95" s="48"/>
    </row>
    <row r="96" spans="2:47" ht="15.5" x14ac:dyDescent="0.35">
      <c r="B96" s="49">
        <v>40148</v>
      </c>
      <c r="Y96" s="91" t="s">
        <v>2452</v>
      </c>
      <c r="Z96" s="91" t="s">
        <v>2453</v>
      </c>
      <c r="AA96" s="92"/>
      <c r="AB96" s="93"/>
      <c r="AC96" s="92"/>
      <c r="AD96" s="94"/>
      <c r="AE96" s="92"/>
      <c r="AF96" s="92"/>
      <c r="AG96" s="95"/>
      <c r="AI96" s="96"/>
      <c r="AL96" s="48"/>
      <c r="AN96" s="48"/>
    </row>
    <row r="97" spans="2:42" x14ac:dyDescent="0.35">
      <c r="B97" s="49">
        <v>40179</v>
      </c>
      <c r="Y97" s="91" t="s">
        <v>2454</v>
      </c>
      <c r="Z97" s="91" t="s">
        <v>2455</v>
      </c>
      <c r="AA97" s="92"/>
      <c r="AB97" s="93"/>
      <c r="AC97" s="92"/>
      <c r="AD97" s="94"/>
      <c r="AE97" s="92"/>
      <c r="AF97" s="92"/>
      <c r="AG97" s="95"/>
      <c r="AI97" s="96"/>
      <c r="AL97" s="48"/>
      <c r="AN97" s="48"/>
    </row>
    <row r="98" spans="2:42" x14ac:dyDescent="0.35">
      <c r="B98" s="49">
        <v>40210</v>
      </c>
      <c r="Y98" s="91" t="s">
        <v>2456</v>
      </c>
      <c r="Z98" s="91" t="s">
        <v>2457</v>
      </c>
      <c r="AA98" s="92"/>
      <c r="AB98" s="93"/>
      <c r="AC98" s="92"/>
      <c r="AD98" s="94"/>
      <c r="AE98" s="92"/>
      <c r="AF98" s="92"/>
      <c r="AG98" s="95"/>
      <c r="AI98" s="96"/>
      <c r="AL98" s="48"/>
      <c r="AN98" s="48"/>
    </row>
    <row r="99" spans="2:42" ht="15.5" x14ac:dyDescent="0.35">
      <c r="B99" s="49">
        <v>40238</v>
      </c>
      <c r="Y99" s="91" t="s">
        <v>2458</v>
      </c>
      <c r="Z99" s="91" t="s">
        <v>2459</v>
      </c>
      <c r="AA99" s="92"/>
      <c r="AB99" s="93"/>
      <c r="AC99" s="92"/>
      <c r="AD99" s="94"/>
      <c r="AE99" s="92"/>
      <c r="AF99" s="92"/>
      <c r="AG99" s="95"/>
      <c r="AI99" s="96"/>
      <c r="AL99" s="48"/>
      <c r="AN99" s="48"/>
    </row>
    <row r="100" spans="2:42" ht="15.5" x14ac:dyDescent="0.35">
      <c r="B100" s="49">
        <v>40269</v>
      </c>
      <c r="Y100" s="91" t="s">
        <v>2460</v>
      </c>
      <c r="Z100" s="91" t="s">
        <v>2461</v>
      </c>
      <c r="AA100" s="92"/>
      <c r="AB100" s="93"/>
      <c r="AC100" s="92"/>
      <c r="AD100" s="94"/>
      <c r="AE100" s="92"/>
      <c r="AF100" s="92"/>
      <c r="AG100" s="95"/>
      <c r="AI100" s="96"/>
      <c r="AL100" s="48"/>
      <c r="AN100" s="48"/>
    </row>
    <row r="101" spans="2:42" x14ac:dyDescent="0.35">
      <c r="B101" s="49">
        <v>40299</v>
      </c>
      <c r="Y101" s="91" t="s">
        <v>2462</v>
      </c>
      <c r="Z101" s="91" t="s">
        <v>2463</v>
      </c>
      <c r="AA101" s="92"/>
      <c r="AB101" s="93"/>
      <c r="AC101" s="92"/>
      <c r="AD101" s="94"/>
      <c r="AE101" s="92"/>
      <c r="AF101" s="92"/>
      <c r="AG101" s="95"/>
      <c r="AI101" s="96"/>
      <c r="AL101" s="48"/>
      <c r="AN101" s="48"/>
    </row>
    <row r="102" spans="2:42" x14ac:dyDescent="0.35">
      <c r="B102" s="49">
        <v>40330</v>
      </c>
      <c r="Y102" s="91" t="s">
        <v>2464</v>
      </c>
      <c r="Z102" s="91" t="s">
        <v>2465</v>
      </c>
      <c r="AA102" s="92"/>
      <c r="AB102" s="93"/>
      <c r="AC102" s="92"/>
      <c r="AD102" s="94"/>
      <c r="AE102" s="92"/>
      <c r="AF102" s="92"/>
      <c r="AG102" s="95"/>
      <c r="AI102" s="96"/>
      <c r="AL102" s="48"/>
      <c r="AN102" s="48"/>
    </row>
    <row r="103" spans="2:42" x14ac:dyDescent="0.35">
      <c r="B103" s="49">
        <v>40360</v>
      </c>
      <c r="Y103" s="91" t="s">
        <v>2466</v>
      </c>
      <c r="Z103" s="91" t="s">
        <v>2467</v>
      </c>
      <c r="AA103" s="92"/>
      <c r="AB103" s="93"/>
      <c r="AC103" s="92"/>
      <c r="AD103" s="94"/>
      <c r="AE103" s="92"/>
      <c r="AF103" s="92"/>
      <c r="AG103" s="95"/>
      <c r="AI103" s="96"/>
      <c r="AL103" s="48"/>
      <c r="AN103" s="48"/>
    </row>
    <row r="104" spans="2:42" x14ac:dyDescent="0.35">
      <c r="B104" s="49">
        <v>40391</v>
      </c>
      <c r="AB104" s="95"/>
      <c r="AD104" s="96"/>
      <c r="AG104" s="95"/>
      <c r="AI104" s="96">
        <f>MIN(AI106:AI465)</f>
        <v>2.8</v>
      </c>
      <c r="AL104" s="48"/>
      <c r="AN104" s="48"/>
    </row>
    <row r="105" spans="2:42" x14ac:dyDescent="0.35">
      <c r="B105" s="49">
        <v>40422</v>
      </c>
      <c r="Y105" s="97" t="s">
        <v>2444</v>
      </c>
      <c r="Z105" s="97" t="s">
        <v>2468</v>
      </c>
      <c r="AA105" s="97" t="s">
        <v>2446</v>
      </c>
      <c r="AB105" s="98" t="s">
        <v>2448</v>
      </c>
      <c r="AC105" s="99" t="s">
        <v>2450</v>
      </c>
      <c r="AD105" s="100" t="s">
        <v>2452</v>
      </c>
      <c r="AE105" s="99" t="s">
        <v>2454</v>
      </c>
      <c r="AF105" s="99" t="s">
        <v>2456</v>
      </c>
      <c r="AG105" s="98" t="s">
        <v>2458</v>
      </c>
      <c r="AH105" s="99" t="s">
        <v>2450</v>
      </c>
      <c r="AI105" s="100" t="s">
        <v>2460</v>
      </c>
      <c r="AJ105" s="99" t="s">
        <v>2454</v>
      </c>
      <c r="AK105" s="99" t="s">
        <v>2456</v>
      </c>
      <c r="AL105" s="101" t="s">
        <v>2462</v>
      </c>
      <c r="AM105" s="99" t="s">
        <v>2450</v>
      </c>
      <c r="AN105" s="101" t="s">
        <v>2464</v>
      </c>
      <c r="AO105" s="99" t="s">
        <v>2454</v>
      </c>
      <c r="AP105" s="99" t="s">
        <v>2466</v>
      </c>
    </row>
    <row r="106" spans="2:42" x14ac:dyDescent="0.35">
      <c r="B106" s="49">
        <v>40452</v>
      </c>
      <c r="Y106" s="51" t="s">
        <v>29</v>
      </c>
      <c r="Z106" s="51" t="s">
        <v>2404</v>
      </c>
      <c r="AA106" s="51" t="s">
        <v>2469</v>
      </c>
      <c r="AB106" s="102">
        <v>30.1</v>
      </c>
      <c r="AC106" s="103">
        <v>31</v>
      </c>
      <c r="AD106" s="55">
        <v>32.4</v>
      </c>
      <c r="AE106" s="103">
        <v>28</v>
      </c>
      <c r="AF106" s="103">
        <v>1</v>
      </c>
      <c r="AG106" s="102">
        <v>13.8</v>
      </c>
      <c r="AH106" s="103">
        <v>31</v>
      </c>
      <c r="AI106" s="55">
        <v>9.5</v>
      </c>
      <c r="AJ106" s="103">
        <v>31</v>
      </c>
      <c r="AK106" s="103">
        <v>1</v>
      </c>
      <c r="AL106" s="52">
        <v>0</v>
      </c>
      <c r="AM106" s="103">
        <v>31</v>
      </c>
      <c r="AN106" s="52">
        <v>0</v>
      </c>
      <c r="AO106" s="103">
        <v>31</v>
      </c>
      <c r="AP106" s="103">
        <v>0</v>
      </c>
    </row>
    <row r="107" spans="2:42" x14ac:dyDescent="0.35">
      <c r="B107" s="49">
        <v>40483</v>
      </c>
      <c r="Y107" s="51" t="s">
        <v>29</v>
      </c>
      <c r="Z107" s="51" t="s">
        <v>2404</v>
      </c>
      <c r="AA107" s="51" t="s">
        <v>2470</v>
      </c>
      <c r="AB107" s="102">
        <v>31.1</v>
      </c>
      <c r="AC107" s="103">
        <v>28</v>
      </c>
      <c r="AD107" s="55">
        <v>35.1</v>
      </c>
      <c r="AE107" s="103">
        <v>23</v>
      </c>
      <c r="AF107" s="103">
        <v>1</v>
      </c>
      <c r="AG107" s="102">
        <v>11.5</v>
      </c>
      <c r="AH107" s="103">
        <v>27</v>
      </c>
      <c r="AI107" s="55">
        <v>6.5</v>
      </c>
      <c r="AJ107" s="103">
        <v>2</v>
      </c>
      <c r="AK107" s="103">
        <v>1</v>
      </c>
      <c r="AL107" s="52">
        <v>0</v>
      </c>
      <c r="AM107" s="103">
        <v>28</v>
      </c>
      <c r="AN107" s="52">
        <v>0</v>
      </c>
      <c r="AO107" s="103">
        <v>28</v>
      </c>
      <c r="AP107" s="103">
        <v>0</v>
      </c>
    </row>
    <row r="108" spans="2:42" x14ac:dyDescent="0.35">
      <c r="B108" s="49">
        <v>40513</v>
      </c>
      <c r="Y108" s="51" t="s">
        <v>29</v>
      </c>
      <c r="Z108" s="51" t="s">
        <v>2404</v>
      </c>
      <c r="AA108" s="51" t="s">
        <v>49</v>
      </c>
      <c r="AB108" s="102">
        <v>35</v>
      </c>
      <c r="AC108" s="103">
        <v>31</v>
      </c>
      <c r="AD108" s="55">
        <v>38</v>
      </c>
      <c r="AE108" s="103">
        <v>17</v>
      </c>
      <c r="AF108" s="103">
        <v>1</v>
      </c>
      <c r="AG108" s="102">
        <v>14.8</v>
      </c>
      <c r="AH108" s="103">
        <v>31</v>
      </c>
      <c r="AI108" s="55">
        <v>9.1999999999999993</v>
      </c>
      <c r="AJ108" s="103">
        <v>9</v>
      </c>
      <c r="AK108" s="103">
        <v>1</v>
      </c>
      <c r="AL108" s="52">
        <v>3.4</v>
      </c>
      <c r="AM108" s="103">
        <v>31</v>
      </c>
      <c r="AN108" s="52">
        <v>3.4</v>
      </c>
      <c r="AO108" s="103">
        <v>2</v>
      </c>
      <c r="AP108" s="103">
        <v>1</v>
      </c>
    </row>
    <row r="109" spans="2:42" x14ac:dyDescent="0.35">
      <c r="B109" s="49">
        <v>40544</v>
      </c>
      <c r="Y109" s="51" t="s">
        <v>29</v>
      </c>
      <c r="Z109" s="51" t="s">
        <v>2404</v>
      </c>
      <c r="AA109" s="51" t="s">
        <v>2471</v>
      </c>
      <c r="AB109" s="102">
        <v>38.5</v>
      </c>
      <c r="AC109" s="103">
        <v>30</v>
      </c>
      <c r="AD109" s="55">
        <v>41.5</v>
      </c>
      <c r="AE109" s="103">
        <v>27</v>
      </c>
      <c r="AF109" s="103">
        <v>1</v>
      </c>
      <c r="AG109" s="102">
        <v>19.2</v>
      </c>
      <c r="AH109" s="103">
        <v>30</v>
      </c>
      <c r="AI109" s="55">
        <v>14.3</v>
      </c>
      <c r="AJ109" s="103">
        <v>6</v>
      </c>
      <c r="AK109" s="103">
        <v>1</v>
      </c>
      <c r="AL109" s="52">
        <v>0</v>
      </c>
      <c r="AM109" s="103">
        <v>30</v>
      </c>
      <c r="AN109" s="52">
        <v>0</v>
      </c>
      <c r="AO109" s="103">
        <v>30</v>
      </c>
      <c r="AP109" s="103">
        <v>0</v>
      </c>
    </row>
    <row r="110" spans="2:42" x14ac:dyDescent="0.35">
      <c r="B110" s="49">
        <v>40575</v>
      </c>
      <c r="Y110" s="51" t="s">
        <v>29</v>
      </c>
      <c r="Z110" s="51" t="s">
        <v>2404</v>
      </c>
      <c r="AA110" s="51" t="s">
        <v>250</v>
      </c>
      <c r="AB110" s="102">
        <v>37.299999999999997</v>
      </c>
      <c r="AC110" s="103">
        <v>31</v>
      </c>
      <c r="AD110" s="55">
        <v>41.4</v>
      </c>
      <c r="AE110" s="103">
        <v>12</v>
      </c>
      <c r="AF110" s="103">
        <v>1</v>
      </c>
      <c r="AG110" s="102">
        <v>22.3</v>
      </c>
      <c r="AH110" s="103">
        <v>31</v>
      </c>
      <c r="AI110" s="55">
        <v>18.5</v>
      </c>
      <c r="AJ110" s="103">
        <v>4</v>
      </c>
      <c r="AK110" s="103">
        <v>1</v>
      </c>
      <c r="AL110" s="52">
        <v>7</v>
      </c>
      <c r="AM110" s="103">
        <v>31</v>
      </c>
      <c r="AN110" s="52">
        <v>6.6</v>
      </c>
      <c r="AO110" s="103">
        <v>31</v>
      </c>
      <c r="AP110" s="103">
        <v>1</v>
      </c>
    </row>
    <row r="111" spans="2:42" x14ac:dyDescent="0.35">
      <c r="B111" s="49">
        <v>40603</v>
      </c>
      <c r="Y111" s="51" t="s">
        <v>29</v>
      </c>
      <c r="Z111" s="51" t="s">
        <v>2404</v>
      </c>
      <c r="AA111" s="51" t="s">
        <v>2472</v>
      </c>
      <c r="AB111" s="102">
        <v>33.6</v>
      </c>
      <c r="AC111" s="103">
        <v>30</v>
      </c>
      <c r="AD111" s="55">
        <v>38.200000000000003</v>
      </c>
      <c r="AE111" s="103">
        <v>3</v>
      </c>
      <c r="AF111" s="103">
        <v>1</v>
      </c>
      <c r="AG111" s="102">
        <v>22.9</v>
      </c>
      <c r="AH111" s="103">
        <v>30</v>
      </c>
      <c r="AI111" s="55">
        <v>17</v>
      </c>
      <c r="AJ111" s="103">
        <v>1</v>
      </c>
      <c r="AK111" s="103">
        <v>1</v>
      </c>
      <c r="AL111" s="52">
        <v>163.6</v>
      </c>
      <c r="AM111" s="103">
        <v>30</v>
      </c>
      <c r="AN111" s="52">
        <v>39.4</v>
      </c>
      <c r="AO111" s="103">
        <v>3</v>
      </c>
      <c r="AP111" s="103">
        <v>9</v>
      </c>
    </row>
    <row r="112" spans="2:42" x14ac:dyDescent="0.35">
      <c r="B112" s="49">
        <v>40634</v>
      </c>
      <c r="Y112" s="51" t="s">
        <v>29</v>
      </c>
      <c r="Z112" s="51" t="s">
        <v>2404</v>
      </c>
      <c r="AA112" s="51" t="s">
        <v>2473</v>
      </c>
      <c r="AB112" s="102">
        <v>29</v>
      </c>
      <c r="AC112" s="103">
        <v>31</v>
      </c>
      <c r="AD112" s="55">
        <v>32.799999999999997</v>
      </c>
      <c r="AE112" s="103">
        <v>26</v>
      </c>
      <c r="AF112" s="103">
        <v>1</v>
      </c>
      <c r="AG112" s="102">
        <v>22.3</v>
      </c>
      <c r="AH112" s="103">
        <v>31</v>
      </c>
      <c r="AI112" s="55">
        <v>21</v>
      </c>
      <c r="AJ112" s="103">
        <v>10</v>
      </c>
      <c r="AK112" s="103">
        <v>1</v>
      </c>
      <c r="AL112" s="52">
        <v>114.8</v>
      </c>
      <c r="AM112" s="103">
        <v>31</v>
      </c>
      <c r="AN112" s="52">
        <v>47.9</v>
      </c>
      <c r="AO112" s="103">
        <v>26</v>
      </c>
      <c r="AP112" s="103">
        <v>9</v>
      </c>
    </row>
    <row r="113" spans="2:42" x14ac:dyDescent="0.35">
      <c r="B113" s="49">
        <v>40664</v>
      </c>
      <c r="Y113" s="51" t="s">
        <v>29</v>
      </c>
      <c r="Z113" s="51" t="s">
        <v>2404</v>
      </c>
      <c r="AA113" s="51" t="s">
        <v>2474</v>
      </c>
      <c r="AB113" s="102">
        <v>27.4</v>
      </c>
      <c r="AC113" s="103">
        <v>31</v>
      </c>
      <c r="AD113" s="55">
        <v>30.8</v>
      </c>
      <c r="AE113" s="103">
        <v>29</v>
      </c>
      <c r="AF113" s="103">
        <v>1</v>
      </c>
      <c r="AG113" s="102">
        <v>21.1</v>
      </c>
      <c r="AH113" s="103">
        <v>31</v>
      </c>
      <c r="AI113" s="55">
        <v>18</v>
      </c>
      <c r="AJ113" s="103">
        <v>25</v>
      </c>
      <c r="AK113" s="103">
        <v>1</v>
      </c>
      <c r="AL113" s="52">
        <v>213.7</v>
      </c>
      <c r="AM113" s="103">
        <v>31</v>
      </c>
      <c r="AN113" s="52">
        <v>60.3</v>
      </c>
      <c r="AO113" s="103">
        <v>30</v>
      </c>
      <c r="AP113" s="103">
        <v>14</v>
      </c>
    </row>
    <row r="114" spans="2:42" x14ac:dyDescent="0.35">
      <c r="B114" s="49">
        <v>40695</v>
      </c>
      <c r="Y114" s="51" t="s">
        <v>29</v>
      </c>
      <c r="Z114" s="51" t="s">
        <v>2404</v>
      </c>
      <c r="AA114" s="51" t="s">
        <v>410</v>
      </c>
      <c r="AB114" s="102">
        <v>29.5</v>
      </c>
      <c r="AC114" s="103">
        <v>30</v>
      </c>
      <c r="AD114" s="55">
        <v>31.7</v>
      </c>
      <c r="AE114" s="103">
        <v>10</v>
      </c>
      <c r="AF114" s="103">
        <v>1</v>
      </c>
      <c r="AG114" s="102">
        <v>21</v>
      </c>
      <c r="AH114" s="103">
        <v>30</v>
      </c>
      <c r="AI114" s="55">
        <v>18.8</v>
      </c>
      <c r="AJ114" s="103">
        <v>7</v>
      </c>
      <c r="AK114" s="103">
        <v>2</v>
      </c>
      <c r="AL114" s="52">
        <v>364.1</v>
      </c>
      <c r="AM114" s="103">
        <v>30</v>
      </c>
      <c r="AN114" s="52">
        <v>83.4</v>
      </c>
      <c r="AO114" s="103">
        <v>15</v>
      </c>
      <c r="AP114" s="103">
        <v>13</v>
      </c>
    </row>
    <row r="115" spans="2:42" x14ac:dyDescent="0.35">
      <c r="B115" s="49">
        <v>40725</v>
      </c>
      <c r="Y115" s="51" t="s">
        <v>29</v>
      </c>
      <c r="Z115" s="51" t="s">
        <v>2404</v>
      </c>
      <c r="AA115" s="51" t="s">
        <v>112</v>
      </c>
      <c r="AB115" s="102">
        <v>31.3</v>
      </c>
      <c r="AC115" s="103">
        <v>31</v>
      </c>
      <c r="AD115" s="55">
        <v>32.9</v>
      </c>
      <c r="AE115" s="103">
        <v>17</v>
      </c>
      <c r="AF115" s="103">
        <v>3</v>
      </c>
      <c r="AG115" s="102">
        <v>20.5</v>
      </c>
      <c r="AH115" s="103">
        <v>31</v>
      </c>
      <c r="AI115" s="55">
        <v>16.8</v>
      </c>
      <c r="AJ115" s="103">
        <v>22</v>
      </c>
      <c r="AK115" s="103">
        <v>1</v>
      </c>
      <c r="AL115" s="52">
        <v>2.1</v>
      </c>
      <c r="AM115" s="103">
        <v>31</v>
      </c>
      <c r="AN115" s="52">
        <v>1.2</v>
      </c>
      <c r="AO115" s="103">
        <v>9</v>
      </c>
      <c r="AP115" s="103">
        <v>0</v>
      </c>
    </row>
    <row r="116" spans="2:42" x14ac:dyDescent="0.35">
      <c r="B116" s="49">
        <v>40756</v>
      </c>
      <c r="Y116" s="51" t="s">
        <v>29</v>
      </c>
      <c r="Z116" s="51" t="s">
        <v>2404</v>
      </c>
      <c r="AA116" s="51" t="s">
        <v>142</v>
      </c>
      <c r="AB116" s="102">
        <v>30.1</v>
      </c>
      <c r="AC116" s="103">
        <v>29</v>
      </c>
      <c r="AD116" s="55">
        <v>32.9</v>
      </c>
      <c r="AE116" s="103">
        <v>1</v>
      </c>
      <c r="AF116" s="103">
        <v>1</v>
      </c>
      <c r="AG116" s="102">
        <v>18.8</v>
      </c>
      <c r="AH116" s="103">
        <v>30</v>
      </c>
      <c r="AI116" s="55">
        <v>13.2</v>
      </c>
      <c r="AJ116" s="103">
        <v>2</v>
      </c>
      <c r="AK116" s="103">
        <v>1</v>
      </c>
      <c r="AL116" s="52">
        <v>79.400000000000006</v>
      </c>
      <c r="AM116" s="103">
        <v>30</v>
      </c>
      <c r="AN116" s="52">
        <v>33.5</v>
      </c>
      <c r="AO116" s="103">
        <v>15</v>
      </c>
      <c r="AP116" s="103">
        <v>6</v>
      </c>
    </row>
    <row r="117" spans="2:42" x14ac:dyDescent="0.35">
      <c r="B117" s="49">
        <v>40787</v>
      </c>
      <c r="Y117" s="51" t="s">
        <v>29</v>
      </c>
      <c r="Z117" s="51" t="s">
        <v>2404</v>
      </c>
      <c r="AA117" s="51" t="s">
        <v>30</v>
      </c>
      <c r="AB117" s="102">
        <v>29.2</v>
      </c>
      <c r="AC117" s="103">
        <v>31</v>
      </c>
      <c r="AD117" s="55">
        <v>30.9</v>
      </c>
      <c r="AE117" s="103">
        <v>23</v>
      </c>
      <c r="AF117" s="103">
        <v>1</v>
      </c>
      <c r="AG117" s="102">
        <v>13.2</v>
      </c>
      <c r="AH117" s="103">
        <v>31</v>
      </c>
      <c r="AI117" s="55">
        <v>10</v>
      </c>
      <c r="AJ117" s="103">
        <v>27</v>
      </c>
      <c r="AK117" s="103">
        <v>2</v>
      </c>
      <c r="AL117" s="52">
        <v>0</v>
      </c>
      <c r="AM117" s="103">
        <v>31</v>
      </c>
      <c r="AN117" s="52">
        <v>0</v>
      </c>
      <c r="AO117" s="103">
        <v>31</v>
      </c>
      <c r="AP117" s="103">
        <v>0</v>
      </c>
    </row>
    <row r="118" spans="2:42" x14ac:dyDescent="0.35">
      <c r="B118" s="49">
        <v>40817</v>
      </c>
      <c r="Y118" s="51" t="s">
        <v>29</v>
      </c>
      <c r="Z118" s="51" t="s">
        <v>2405</v>
      </c>
      <c r="AA118" s="51" t="s">
        <v>2469</v>
      </c>
      <c r="AB118" s="102">
        <v>29.9</v>
      </c>
      <c r="AC118" s="103">
        <v>31</v>
      </c>
      <c r="AD118" s="55">
        <v>31.6</v>
      </c>
      <c r="AE118" s="103">
        <v>26</v>
      </c>
      <c r="AF118" s="103">
        <v>1</v>
      </c>
      <c r="AG118" s="102">
        <v>11.9</v>
      </c>
      <c r="AH118" s="103">
        <v>31</v>
      </c>
      <c r="AI118" s="55">
        <v>8.5</v>
      </c>
      <c r="AJ118" s="103">
        <v>24</v>
      </c>
      <c r="AK118" s="103">
        <v>1</v>
      </c>
      <c r="AL118" s="52">
        <v>0</v>
      </c>
      <c r="AM118" s="103">
        <v>31</v>
      </c>
      <c r="AN118" s="52">
        <v>0</v>
      </c>
      <c r="AO118" s="103">
        <v>31</v>
      </c>
      <c r="AP118" s="103">
        <v>0</v>
      </c>
    </row>
    <row r="119" spans="2:42" x14ac:dyDescent="0.35">
      <c r="B119" s="49">
        <v>40848</v>
      </c>
      <c r="Y119" s="51" t="s">
        <v>29</v>
      </c>
      <c r="Z119" s="51" t="s">
        <v>2405</v>
      </c>
      <c r="AA119" s="51" t="s">
        <v>2470</v>
      </c>
      <c r="AB119" s="102">
        <v>32.799999999999997</v>
      </c>
      <c r="AC119" s="103">
        <v>29</v>
      </c>
      <c r="AD119" s="55">
        <v>35.799999999999997</v>
      </c>
      <c r="AE119" s="103">
        <v>28</v>
      </c>
      <c r="AF119" s="103">
        <v>1</v>
      </c>
      <c r="AG119" s="102">
        <v>12.7</v>
      </c>
      <c r="AH119" s="103">
        <v>29</v>
      </c>
      <c r="AI119" s="55">
        <v>8</v>
      </c>
      <c r="AJ119" s="103">
        <v>6</v>
      </c>
      <c r="AK119" s="103">
        <v>1</v>
      </c>
      <c r="AL119" s="52">
        <v>0</v>
      </c>
      <c r="AM119" s="103">
        <v>29</v>
      </c>
      <c r="AN119" s="52">
        <v>0</v>
      </c>
      <c r="AO119" s="103">
        <v>29</v>
      </c>
      <c r="AP119" s="103">
        <v>0</v>
      </c>
    </row>
    <row r="120" spans="2:42" x14ac:dyDescent="0.35">
      <c r="B120" s="49">
        <v>40878</v>
      </c>
      <c r="Y120" s="51" t="s">
        <v>29</v>
      </c>
      <c r="Z120" s="51" t="s">
        <v>2405</v>
      </c>
      <c r="AA120" s="51" t="s">
        <v>49</v>
      </c>
      <c r="AB120" s="102">
        <v>35.200000000000003</v>
      </c>
      <c r="AC120" s="103">
        <v>31</v>
      </c>
      <c r="AD120" s="55">
        <v>38.4</v>
      </c>
      <c r="AE120" s="103">
        <v>23</v>
      </c>
      <c r="AF120" s="103">
        <v>1</v>
      </c>
      <c r="AG120" s="102">
        <v>15.9</v>
      </c>
      <c r="AH120" s="103">
        <v>31</v>
      </c>
      <c r="AI120" s="55">
        <v>9.6</v>
      </c>
      <c r="AJ120" s="103">
        <v>9</v>
      </c>
      <c r="AK120" s="103">
        <v>1</v>
      </c>
      <c r="AL120" s="52">
        <v>12.2</v>
      </c>
      <c r="AM120" s="103">
        <v>31</v>
      </c>
      <c r="AN120" s="52">
        <v>8.4</v>
      </c>
      <c r="AO120" s="103">
        <v>14</v>
      </c>
      <c r="AP120" s="103">
        <v>2</v>
      </c>
    </row>
    <row r="121" spans="2:42" x14ac:dyDescent="0.35">
      <c r="B121" s="49">
        <v>40603</v>
      </c>
      <c r="Y121" s="51" t="s">
        <v>29</v>
      </c>
      <c r="Z121" s="51" t="s">
        <v>2405</v>
      </c>
      <c r="AA121" s="51" t="s">
        <v>2471</v>
      </c>
      <c r="AB121" s="102">
        <v>38.200000000000003</v>
      </c>
      <c r="AC121" s="103">
        <v>30</v>
      </c>
      <c r="AD121" s="55">
        <v>40</v>
      </c>
      <c r="AE121" s="103">
        <v>29</v>
      </c>
      <c r="AF121" s="103">
        <v>1</v>
      </c>
      <c r="AG121" s="102">
        <v>21.6</v>
      </c>
      <c r="AH121" s="103">
        <v>30</v>
      </c>
      <c r="AI121" s="55">
        <v>17.8</v>
      </c>
      <c r="AJ121" s="103">
        <v>5</v>
      </c>
      <c r="AK121" s="103">
        <v>2</v>
      </c>
      <c r="AL121" s="52">
        <v>32.200000000000003</v>
      </c>
      <c r="AM121" s="103">
        <v>30</v>
      </c>
      <c r="AN121" s="52">
        <v>22.8</v>
      </c>
      <c r="AO121" s="103">
        <v>5</v>
      </c>
      <c r="AP121" s="103">
        <v>2</v>
      </c>
    </row>
    <row r="122" spans="2:42" x14ac:dyDescent="0.35">
      <c r="B122" s="49">
        <v>40634</v>
      </c>
      <c r="Y122" s="51" t="s">
        <v>29</v>
      </c>
      <c r="Z122" s="51" t="s">
        <v>2405</v>
      </c>
      <c r="AA122" s="51" t="s">
        <v>250</v>
      </c>
      <c r="AB122" s="102">
        <v>38</v>
      </c>
      <c r="AC122" s="103">
        <v>31</v>
      </c>
      <c r="AD122" s="55">
        <v>40.700000000000003</v>
      </c>
      <c r="AE122" s="103">
        <v>15</v>
      </c>
      <c r="AF122" s="103">
        <v>1</v>
      </c>
      <c r="AG122" s="102">
        <v>22.2</v>
      </c>
      <c r="AH122" s="103">
        <v>31</v>
      </c>
      <c r="AI122" s="55">
        <v>18.899999999999999</v>
      </c>
      <c r="AJ122" s="103">
        <v>11</v>
      </c>
      <c r="AK122" s="103">
        <v>1</v>
      </c>
      <c r="AL122" s="52">
        <v>32.4</v>
      </c>
      <c r="AM122" s="103">
        <v>31</v>
      </c>
      <c r="AN122" s="52">
        <v>22.2</v>
      </c>
      <c r="AO122" s="103">
        <v>1</v>
      </c>
      <c r="AP122" s="103">
        <v>2</v>
      </c>
    </row>
    <row r="123" spans="2:42" x14ac:dyDescent="0.35">
      <c r="B123" s="49">
        <v>40664</v>
      </c>
      <c r="Y123" s="51" t="s">
        <v>29</v>
      </c>
      <c r="Z123" s="51" t="s">
        <v>2405</v>
      </c>
      <c r="AA123" s="51" t="s">
        <v>2472</v>
      </c>
      <c r="AB123" s="102">
        <v>30.8</v>
      </c>
      <c r="AC123" s="103">
        <v>29</v>
      </c>
      <c r="AD123" s="55">
        <v>37.4</v>
      </c>
      <c r="AE123" s="103">
        <v>1</v>
      </c>
      <c r="AF123" s="103">
        <v>1</v>
      </c>
      <c r="AG123" s="102">
        <v>22.8</v>
      </c>
      <c r="AH123" s="103">
        <v>29</v>
      </c>
      <c r="AI123" s="55">
        <v>20.7</v>
      </c>
      <c r="AJ123" s="103">
        <v>2</v>
      </c>
      <c r="AK123" s="103">
        <v>1</v>
      </c>
      <c r="AL123" s="52">
        <v>259</v>
      </c>
      <c r="AM123" s="103">
        <v>29</v>
      </c>
      <c r="AN123" s="52">
        <v>71.599999999999994</v>
      </c>
      <c r="AO123" s="103">
        <v>7</v>
      </c>
      <c r="AP123" s="103">
        <v>13</v>
      </c>
    </row>
    <row r="124" spans="2:42" x14ac:dyDescent="0.35">
      <c r="B124" s="49">
        <v>40695</v>
      </c>
      <c r="Y124" s="51" t="s">
        <v>29</v>
      </c>
      <c r="Z124" s="51" t="s">
        <v>2405</v>
      </c>
      <c r="AA124" s="51" t="s">
        <v>2473</v>
      </c>
      <c r="AB124" s="102">
        <v>27.8</v>
      </c>
      <c r="AC124" s="103">
        <v>31</v>
      </c>
      <c r="AD124" s="55">
        <v>30.7</v>
      </c>
      <c r="AE124" s="103">
        <v>8</v>
      </c>
      <c r="AF124" s="103">
        <v>1</v>
      </c>
      <c r="AG124" s="102">
        <v>22.2</v>
      </c>
      <c r="AH124" s="103">
        <v>31</v>
      </c>
      <c r="AI124" s="55">
        <v>21.2</v>
      </c>
      <c r="AJ124" s="103">
        <v>13</v>
      </c>
      <c r="AK124" s="103">
        <v>1</v>
      </c>
      <c r="AL124" s="52">
        <v>118.8</v>
      </c>
      <c r="AM124" s="103">
        <v>31</v>
      </c>
      <c r="AN124" s="52">
        <v>35</v>
      </c>
      <c r="AO124" s="103">
        <v>3</v>
      </c>
      <c r="AP124" s="103">
        <v>12</v>
      </c>
    </row>
    <row r="125" spans="2:42" x14ac:dyDescent="0.35">
      <c r="B125" s="49">
        <v>40725</v>
      </c>
      <c r="Y125" s="51" t="s">
        <v>29</v>
      </c>
      <c r="Z125" s="51" t="s">
        <v>2405</v>
      </c>
      <c r="AA125" s="51" t="s">
        <v>2474</v>
      </c>
      <c r="AB125" s="102">
        <v>27.2</v>
      </c>
      <c r="AC125" s="103">
        <v>29</v>
      </c>
      <c r="AD125" s="55">
        <v>31</v>
      </c>
      <c r="AE125" s="103">
        <v>16</v>
      </c>
      <c r="AF125" s="103">
        <v>1</v>
      </c>
      <c r="AG125" s="102">
        <v>21.5</v>
      </c>
      <c r="AH125" s="103">
        <v>29</v>
      </c>
      <c r="AI125" s="55">
        <v>20.2</v>
      </c>
      <c r="AJ125" s="103">
        <v>15</v>
      </c>
      <c r="AK125" s="103">
        <v>1</v>
      </c>
      <c r="AL125" s="52">
        <v>173.3</v>
      </c>
      <c r="AM125" s="103">
        <v>29</v>
      </c>
      <c r="AN125" s="52">
        <v>41.8</v>
      </c>
      <c r="AO125" s="103">
        <v>3</v>
      </c>
      <c r="AP125" s="103">
        <v>16</v>
      </c>
    </row>
    <row r="126" spans="2:42" x14ac:dyDescent="0.35">
      <c r="B126" s="49">
        <v>40756</v>
      </c>
      <c r="Y126" s="51" t="s">
        <v>29</v>
      </c>
      <c r="Z126" s="51" t="s">
        <v>2405</v>
      </c>
      <c r="AA126" s="51" t="s">
        <v>410</v>
      </c>
      <c r="AB126" s="102">
        <v>29.6</v>
      </c>
      <c r="AC126" s="103">
        <v>30</v>
      </c>
      <c r="AD126" s="55">
        <v>34.700000000000003</v>
      </c>
      <c r="AE126" s="103">
        <v>23</v>
      </c>
      <c r="AF126" s="103">
        <v>1</v>
      </c>
      <c r="AG126" s="102">
        <v>20.5</v>
      </c>
      <c r="AH126" s="103">
        <v>30</v>
      </c>
      <c r="AI126" s="55">
        <v>18.3</v>
      </c>
      <c r="AJ126" s="103">
        <v>10</v>
      </c>
      <c r="AK126" s="103">
        <v>1</v>
      </c>
      <c r="AL126" s="52">
        <v>59.7</v>
      </c>
      <c r="AM126" s="103">
        <v>30</v>
      </c>
      <c r="AN126" s="52">
        <v>19.2</v>
      </c>
      <c r="AO126" s="103">
        <v>25</v>
      </c>
      <c r="AP126" s="103">
        <v>5</v>
      </c>
    </row>
    <row r="127" spans="2:42" x14ac:dyDescent="0.35">
      <c r="B127" s="49">
        <v>40787</v>
      </c>
      <c r="Y127" s="51" t="s">
        <v>29</v>
      </c>
      <c r="Z127" s="51" t="s">
        <v>2405</v>
      </c>
      <c r="AA127" s="51" t="s">
        <v>112</v>
      </c>
      <c r="AB127" s="102">
        <v>33.5</v>
      </c>
      <c r="AC127" s="103">
        <v>31</v>
      </c>
      <c r="AD127" s="55">
        <v>35.5</v>
      </c>
      <c r="AE127" s="103">
        <v>14</v>
      </c>
      <c r="AF127" s="103">
        <v>1</v>
      </c>
      <c r="AG127" s="102">
        <v>17.8</v>
      </c>
      <c r="AH127" s="103">
        <v>31</v>
      </c>
      <c r="AI127" s="55">
        <v>10.199999999999999</v>
      </c>
      <c r="AJ127" s="103">
        <v>25</v>
      </c>
      <c r="AK127" s="103">
        <v>1</v>
      </c>
      <c r="AL127" s="52">
        <v>8.9</v>
      </c>
      <c r="AM127" s="103">
        <v>31</v>
      </c>
      <c r="AN127" s="52">
        <v>3.6</v>
      </c>
      <c r="AO127" s="103">
        <v>2</v>
      </c>
      <c r="AP127" s="103">
        <v>2</v>
      </c>
    </row>
    <row r="128" spans="2:42" x14ac:dyDescent="0.35">
      <c r="B128" s="49">
        <v>40817</v>
      </c>
      <c r="Y128" s="51" t="s">
        <v>29</v>
      </c>
      <c r="Z128" s="51" t="s">
        <v>2405</v>
      </c>
      <c r="AA128" s="51" t="s">
        <v>142</v>
      </c>
      <c r="AB128" s="102">
        <v>30.7</v>
      </c>
      <c r="AC128" s="103">
        <v>28</v>
      </c>
      <c r="AD128" s="55">
        <v>33.200000000000003</v>
      </c>
      <c r="AE128" s="103">
        <v>2</v>
      </c>
      <c r="AF128" s="103">
        <v>1</v>
      </c>
      <c r="AG128" s="102">
        <v>16.5</v>
      </c>
      <c r="AH128" s="103">
        <v>28</v>
      </c>
      <c r="AI128" s="55">
        <v>11.1</v>
      </c>
      <c r="AJ128" s="103">
        <v>27</v>
      </c>
      <c r="AK128" s="103">
        <v>2</v>
      </c>
      <c r="AL128" s="52">
        <v>42.4</v>
      </c>
      <c r="AM128" s="103">
        <v>28</v>
      </c>
      <c r="AN128" s="52">
        <v>24</v>
      </c>
      <c r="AO128" s="103">
        <v>23</v>
      </c>
      <c r="AP128" s="103">
        <v>2</v>
      </c>
    </row>
    <row r="129" spans="2:42" x14ac:dyDescent="0.35">
      <c r="B129" s="49">
        <v>40848</v>
      </c>
      <c r="Y129" s="51" t="s">
        <v>29</v>
      </c>
      <c r="Z129" s="51" t="s">
        <v>2405</v>
      </c>
      <c r="AA129" s="51" t="s">
        <v>30</v>
      </c>
      <c r="AB129" s="102">
        <v>28.4</v>
      </c>
      <c r="AC129" s="103">
        <v>31</v>
      </c>
      <c r="AD129" s="55">
        <v>31.1</v>
      </c>
      <c r="AE129" s="103">
        <v>19</v>
      </c>
      <c r="AF129" s="103">
        <v>1</v>
      </c>
      <c r="AG129" s="102">
        <v>11</v>
      </c>
      <c r="AH129" s="103">
        <v>31</v>
      </c>
      <c r="AI129" s="55">
        <v>7.2</v>
      </c>
      <c r="AJ129" s="103">
        <v>17</v>
      </c>
      <c r="AK129" s="103">
        <v>1</v>
      </c>
      <c r="AL129" s="52">
        <v>10.199999999999999</v>
      </c>
      <c r="AM129" s="103">
        <v>31</v>
      </c>
      <c r="AN129" s="52">
        <v>10.199999999999999</v>
      </c>
      <c r="AO129" s="103">
        <v>23</v>
      </c>
      <c r="AP129" s="103">
        <v>1</v>
      </c>
    </row>
    <row r="130" spans="2:42" x14ac:dyDescent="0.35">
      <c r="B130" s="49">
        <v>40878</v>
      </c>
      <c r="Y130" s="51" t="s">
        <v>29</v>
      </c>
      <c r="Z130" s="51" t="s">
        <v>2406</v>
      </c>
      <c r="AA130" s="51" t="s">
        <v>2469</v>
      </c>
      <c r="AB130" s="102">
        <v>28</v>
      </c>
      <c r="AC130" s="103">
        <v>31</v>
      </c>
      <c r="AD130" s="55">
        <v>32.799999999999997</v>
      </c>
      <c r="AE130" s="103">
        <v>31</v>
      </c>
      <c r="AF130" s="103">
        <v>1</v>
      </c>
      <c r="AG130" s="102">
        <v>11.2</v>
      </c>
      <c r="AH130" s="103">
        <v>31</v>
      </c>
      <c r="AI130" s="55">
        <v>5.8</v>
      </c>
      <c r="AJ130" s="103">
        <v>8</v>
      </c>
      <c r="AK130" s="103">
        <v>1</v>
      </c>
      <c r="AL130" s="52">
        <v>4.5999999999999996</v>
      </c>
      <c r="AM130" s="103">
        <v>31</v>
      </c>
      <c r="AN130" s="52">
        <v>4.2</v>
      </c>
      <c r="AO130" s="103">
        <v>18</v>
      </c>
      <c r="AP130" s="103">
        <v>1</v>
      </c>
    </row>
    <row r="131" spans="2:42" x14ac:dyDescent="0.35">
      <c r="B131" s="47">
        <v>39814</v>
      </c>
      <c r="Y131" s="51" t="s">
        <v>29</v>
      </c>
      <c r="Z131" s="51" t="s">
        <v>2406</v>
      </c>
      <c r="AA131" s="51" t="s">
        <v>2470</v>
      </c>
      <c r="AB131" s="102">
        <v>32.9</v>
      </c>
      <c r="AC131" s="103">
        <v>28</v>
      </c>
      <c r="AD131" s="55">
        <v>35.4</v>
      </c>
      <c r="AE131" s="103">
        <v>23</v>
      </c>
      <c r="AF131" s="103">
        <v>1</v>
      </c>
      <c r="AG131" s="102">
        <v>11.5</v>
      </c>
      <c r="AH131" s="103">
        <v>28</v>
      </c>
      <c r="AI131" s="55">
        <v>5.4</v>
      </c>
      <c r="AJ131" s="103">
        <v>9</v>
      </c>
      <c r="AK131" s="103">
        <v>1</v>
      </c>
      <c r="AL131" s="52">
        <v>2.2000000000000002</v>
      </c>
      <c r="AM131" s="103">
        <v>28</v>
      </c>
      <c r="AN131" s="52">
        <v>2.2000000000000002</v>
      </c>
      <c r="AO131" s="103">
        <v>24</v>
      </c>
      <c r="AP131" s="103">
        <v>0</v>
      </c>
    </row>
    <row r="132" spans="2:42" x14ac:dyDescent="0.35">
      <c r="B132" s="47">
        <v>39845</v>
      </c>
      <c r="Y132" s="51" t="s">
        <v>29</v>
      </c>
      <c r="Z132" s="51" t="s">
        <v>2406</v>
      </c>
      <c r="AA132" s="51" t="s">
        <v>49</v>
      </c>
      <c r="AB132" s="102">
        <v>34.700000000000003</v>
      </c>
      <c r="AC132" s="103">
        <v>31</v>
      </c>
      <c r="AD132" s="55">
        <v>37.799999999999997</v>
      </c>
      <c r="AE132" s="103">
        <v>30</v>
      </c>
      <c r="AF132" s="103">
        <v>1</v>
      </c>
      <c r="AG132" s="102">
        <v>15</v>
      </c>
      <c r="AH132" s="103">
        <v>31</v>
      </c>
      <c r="AI132" s="55">
        <v>10.9</v>
      </c>
      <c r="AJ132" s="103">
        <v>23</v>
      </c>
      <c r="AK132" s="103">
        <v>1</v>
      </c>
      <c r="AL132" s="52">
        <v>0</v>
      </c>
      <c r="AM132" s="103">
        <v>31</v>
      </c>
      <c r="AN132" s="52">
        <v>0</v>
      </c>
      <c r="AO132" s="103">
        <v>31</v>
      </c>
      <c r="AP132" s="103">
        <v>0</v>
      </c>
    </row>
    <row r="133" spans="2:42" x14ac:dyDescent="0.35">
      <c r="B133" s="49">
        <v>39873</v>
      </c>
      <c r="Y133" s="51" t="s">
        <v>29</v>
      </c>
      <c r="Z133" s="51" t="s">
        <v>2406</v>
      </c>
      <c r="AA133" s="51" t="s">
        <v>2471</v>
      </c>
      <c r="AB133" s="102">
        <v>37.9</v>
      </c>
      <c r="AC133" s="103">
        <v>30</v>
      </c>
      <c r="AD133" s="55">
        <v>42.1</v>
      </c>
      <c r="AE133" s="103">
        <v>14</v>
      </c>
      <c r="AF133" s="103">
        <v>1</v>
      </c>
      <c r="AG133" s="102">
        <v>19.5</v>
      </c>
      <c r="AH133" s="103">
        <v>30</v>
      </c>
      <c r="AI133" s="55">
        <v>13</v>
      </c>
      <c r="AJ133" s="103">
        <v>5</v>
      </c>
      <c r="AK133" s="103">
        <v>1</v>
      </c>
      <c r="AL133" s="52">
        <v>8.1999999999999993</v>
      </c>
      <c r="AM133" s="103">
        <v>30</v>
      </c>
      <c r="AN133" s="52">
        <v>8.1999999999999993</v>
      </c>
      <c r="AO133" s="103">
        <v>30</v>
      </c>
      <c r="AP133" s="103">
        <v>1</v>
      </c>
    </row>
    <row r="134" spans="2:42" x14ac:dyDescent="0.35">
      <c r="B134" s="49">
        <v>39904</v>
      </c>
      <c r="Y134" s="51" t="s">
        <v>29</v>
      </c>
      <c r="Z134" s="51" t="s">
        <v>2406</v>
      </c>
      <c r="AA134" s="51" t="s">
        <v>250</v>
      </c>
      <c r="AB134" s="102">
        <v>37</v>
      </c>
      <c r="AC134" s="103">
        <v>31</v>
      </c>
      <c r="AD134" s="55">
        <v>39.1</v>
      </c>
      <c r="AE134" s="103">
        <v>27</v>
      </c>
      <c r="AF134" s="103">
        <v>1</v>
      </c>
      <c r="AG134" s="102">
        <v>22.7</v>
      </c>
      <c r="AH134" s="103">
        <v>31</v>
      </c>
      <c r="AI134" s="55">
        <v>19.3</v>
      </c>
      <c r="AJ134" s="103">
        <v>2</v>
      </c>
      <c r="AK134" s="103">
        <v>1</v>
      </c>
      <c r="AL134" s="52">
        <v>36.700000000000003</v>
      </c>
      <c r="AM134" s="103">
        <v>31</v>
      </c>
      <c r="AN134" s="52">
        <v>36.700000000000003</v>
      </c>
      <c r="AO134" s="103">
        <v>2</v>
      </c>
      <c r="AP134" s="103">
        <v>1</v>
      </c>
    </row>
    <row r="135" spans="2:42" x14ac:dyDescent="0.35">
      <c r="B135" s="49">
        <v>39934</v>
      </c>
      <c r="Y135" s="51" t="s">
        <v>29</v>
      </c>
      <c r="Z135" s="51" t="s">
        <v>2406</v>
      </c>
      <c r="AA135" s="51" t="s">
        <v>2472</v>
      </c>
      <c r="AB135" s="102">
        <v>32.9</v>
      </c>
      <c r="AC135" s="103">
        <v>30</v>
      </c>
      <c r="AD135" s="55">
        <v>37.5</v>
      </c>
      <c r="AE135" s="103">
        <v>1</v>
      </c>
      <c r="AF135" s="103">
        <v>1</v>
      </c>
      <c r="AG135" s="102">
        <v>23.4</v>
      </c>
      <c r="AH135" s="103">
        <v>30</v>
      </c>
      <c r="AI135" s="55">
        <v>20.6</v>
      </c>
      <c r="AJ135" s="103">
        <v>20</v>
      </c>
      <c r="AK135" s="103">
        <v>1</v>
      </c>
      <c r="AL135" s="52">
        <v>153.5</v>
      </c>
      <c r="AM135" s="103">
        <v>30</v>
      </c>
      <c r="AN135" s="52">
        <v>51.2</v>
      </c>
      <c r="AO135" s="103">
        <v>5</v>
      </c>
      <c r="AP135" s="103">
        <v>12</v>
      </c>
    </row>
    <row r="136" spans="2:42" x14ac:dyDescent="0.35">
      <c r="B136" s="49">
        <v>39965</v>
      </c>
      <c r="Y136" s="51" t="s">
        <v>29</v>
      </c>
      <c r="Z136" s="51" t="s">
        <v>2406</v>
      </c>
      <c r="AA136" s="51" t="s">
        <v>2473</v>
      </c>
      <c r="AB136" s="102">
        <v>27.6</v>
      </c>
      <c r="AC136" s="103">
        <v>31</v>
      </c>
      <c r="AD136" s="55">
        <v>29.1</v>
      </c>
      <c r="AE136" s="103">
        <v>6</v>
      </c>
      <c r="AF136" s="103">
        <v>2</v>
      </c>
      <c r="AG136" s="102">
        <v>22.1</v>
      </c>
      <c r="AH136" s="103">
        <v>31</v>
      </c>
      <c r="AI136" s="55">
        <v>20.100000000000001</v>
      </c>
      <c r="AJ136" s="103">
        <v>9</v>
      </c>
      <c r="AK136" s="103">
        <v>1</v>
      </c>
      <c r="AL136" s="52">
        <v>282.2</v>
      </c>
      <c r="AM136" s="103">
        <v>31</v>
      </c>
      <c r="AN136" s="52">
        <v>68.2</v>
      </c>
      <c r="AO136" s="103">
        <v>9</v>
      </c>
      <c r="AP136" s="103">
        <v>17</v>
      </c>
    </row>
    <row r="137" spans="2:42" x14ac:dyDescent="0.35">
      <c r="B137" s="49">
        <v>39995</v>
      </c>
      <c r="Y137" s="51" t="s">
        <v>29</v>
      </c>
      <c r="Z137" s="51" t="s">
        <v>2406</v>
      </c>
      <c r="AA137" s="51" t="s">
        <v>2474</v>
      </c>
      <c r="AB137" s="102">
        <v>27.1</v>
      </c>
      <c r="AC137" s="103">
        <v>31</v>
      </c>
      <c r="AD137" s="55">
        <v>30.2</v>
      </c>
      <c r="AE137" s="103">
        <v>31</v>
      </c>
      <c r="AF137" s="103">
        <v>1</v>
      </c>
      <c r="AG137" s="102">
        <v>21.5</v>
      </c>
      <c r="AH137" s="103">
        <v>31</v>
      </c>
      <c r="AI137" s="55">
        <v>20.100000000000001</v>
      </c>
      <c r="AJ137" s="103">
        <v>28</v>
      </c>
      <c r="AK137" s="103">
        <v>1</v>
      </c>
      <c r="AL137" s="52">
        <v>94.6</v>
      </c>
      <c r="AM137" s="103">
        <v>31</v>
      </c>
      <c r="AN137" s="52">
        <v>27.6</v>
      </c>
      <c r="AO137" s="103">
        <v>6</v>
      </c>
      <c r="AP137" s="103">
        <v>8</v>
      </c>
    </row>
    <row r="138" spans="2:42" x14ac:dyDescent="0.35">
      <c r="B138" s="49">
        <v>40026</v>
      </c>
      <c r="Y138" s="51" t="s">
        <v>29</v>
      </c>
      <c r="Z138" s="51" t="s">
        <v>2406</v>
      </c>
      <c r="AA138" s="51" t="s">
        <v>410</v>
      </c>
      <c r="AB138" s="102">
        <v>29.7</v>
      </c>
      <c r="AC138" s="103">
        <v>29</v>
      </c>
      <c r="AD138" s="55">
        <v>32.200000000000003</v>
      </c>
      <c r="AE138" s="103">
        <v>15</v>
      </c>
      <c r="AF138" s="103">
        <v>1</v>
      </c>
      <c r="AG138" s="102">
        <v>21.6</v>
      </c>
      <c r="AH138" s="103">
        <v>29</v>
      </c>
      <c r="AI138" s="55">
        <v>20</v>
      </c>
      <c r="AJ138" s="103">
        <v>1</v>
      </c>
      <c r="AK138" s="103">
        <v>1</v>
      </c>
      <c r="AL138" s="52">
        <v>170.6</v>
      </c>
      <c r="AM138" s="103">
        <v>29</v>
      </c>
      <c r="AN138" s="52">
        <v>36.799999999999997</v>
      </c>
      <c r="AO138" s="103">
        <v>17</v>
      </c>
      <c r="AP138" s="103">
        <v>10</v>
      </c>
    </row>
    <row r="139" spans="2:42" x14ac:dyDescent="0.35">
      <c r="B139" s="49">
        <v>40057</v>
      </c>
      <c r="Y139" s="51" t="s">
        <v>29</v>
      </c>
      <c r="Z139" s="51" t="s">
        <v>2406</v>
      </c>
      <c r="AA139" s="51" t="s">
        <v>112</v>
      </c>
      <c r="AB139" s="102">
        <v>31.6</v>
      </c>
      <c r="AC139" s="103">
        <v>29</v>
      </c>
      <c r="AD139" s="55">
        <v>34.200000000000003</v>
      </c>
      <c r="AE139" s="103">
        <v>19</v>
      </c>
      <c r="AF139" s="103">
        <v>1</v>
      </c>
      <c r="AG139" s="102">
        <v>19.2</v>
      </c>
      <c r="AH139" s="103">
        <v>29</v>
      </c>
      <c r="AI139" s="55">
        <v>13.4</v>
      </c>
      <c r="AJ139" s="103">
        <v>16</v>
      </c>
      <c r="AK139" s="103">
        <v>2</v>
      </c>
      <c r="AL139" s="52">
        <v>39.9</v>
      </c>
      <c r="AM139" s="103">
        <v>29</v>
      </c>
      <c r="AN139" s="52">
        <v>30.9</v>
      </c>
      <c r="AO139" s="103">
        <v>30</v>
      </c>
      <c r="AP139" s="103">
        <v>2</v>
      </c>
    </row>
    <row r="140" spans="2:42" x14ac:dyDescent="0.35">
      <c r="B140" s="49">
        <v>40087</v>
      </c>
      <c r="Y140" s="51" t="s">
        <v>29</v>
      </c>
      <c r="Z140" s="51" t="s">
        <v>2406</v>
      </c>
      <c r="AA140" s="51" t="s">
        <v>142</v>
      </c>
      <c r="AB140" s="102">
        <v>29.6</v>
      </c>
      <c r="AC140" s="103">
        <v>29</v>
      </c>
      <c r="AD140" s="55">
        <v>32.700000000000003</v>
      </c>
      <c r="AE140" s="103">
        <v>10</v>
      </c>
      <c r="AF140" s="103">
        <v>1</v>
      </c>
      <c r="AG140" s="102">
        <v>13.1</v>
      </c>
      <c r="AH140" s="103">
        <v>29</v>
      </c>
      <c r="AI140" s="55">
        <v>6.8</v>
      </c>
      <c r="AJ140" s="103">
        <v>23</v>
      </c>
      <c r="AK140" s="103">
        <v>1</v>
      </c>
      <c r="AL140" s="52">
        <v>0</v>
      </c>
      <c r="AM140" s="103">
        <v>29</v>
      </c>
      <c r="AN140" s="52">
        <v>0</v>
      </c>
      <c r="AO140" s="103">
        <v>30</v>
      </c>
      <c r="AP140" s="103">
        <v>0</v>
      </c>
    </row>
    <row r="141" spans="2:42" x14ac:dyDescent="0.35">
      <c r="B141" s="49">
        <v>40118</v>
      </c>
      <c r="Y141" s="51" t="s">
        <v>29</v>
      </c>
      <c r="Z141" s="51" t="s">
        <v>2406</v>
      </c>
      <c r="AA141" s="51" t="s">
        <v>30</v>
      </c>
      <c r="AB141" s="102">
        <v>28.7</v>
      </c>
      <c r="AC141" s="103">
        <v>31</v>
      </c>
      <c r="AD141" s="55">
        <v>32</v>
      </c>
      <c r="AE141" s="103">
        <v>19</v>
      </c>
      <c r="AF141" s="103">
        <v>1</v>
      </c>
      <c r="AG141" s="102">
        <v>12.4</v>
      </c>
      <c r="AH141" s="103">
        <v>31</v>
      </c>
      <c r="AI141" s="55">
        <v>4.7</v>
      </c>
      <c r="AJ141" s="103">
        <v>11</v>
      </c>
      <c r="AK141" s="103">
        <v>1</v>
      </c>
      <c r="AL141" s="52">
        <v>0</v>
      </c>
      <c r="AM141" s="103">
        <v>31</v>
      </c>
      <c r="AN141" s="52">
        <v>0</v>
      </c>
      <c r="AO141" s="103">
        <v>31</v>
      </c>
      <c r="AP141" s="103">
        <v>0</v>
      </c>
    </row>
    <row r="142" spans="2:42" x14ac:dyDescent="0.35">
      <c r="B142" s="49">
        <v>40148</v>
      </c>
      <c r="Y142" s="51" t="s">
        <v>29</v>
      </c>
      <c r="Z142" s="51" t="s">
        <v>2407</v>
      </c>
      <c r="AA142" s="51" t="s">
        <v>2469</v>
      </c>
      <c r="AB142" s="102">
        <v>29.7</v>
      </c>
      <c r="AC142" s="103">
        <v>31</v>
      </c>
      <c r="AD142" s="55">
        <v>31.7</v>
      </c>
      <c r="AE142" s="103">
        <v>30</v>
      </c>
      <c r="AF142" s="103">
        <v>1</v>
      </c>
      <c r="AG142" s="102">
        <v>12.4</v>
      </c>
      <c r="AH142" s="103">
        <v>31</v>
      </c>
      <c r="AI142" s="55">
        <v>9.6999999999999993</v>
      </c>
      <c r="AJ142" s="103">
        <v>8</v>
      </c>
      <c r="AK142" s="103">
        <v>1</v>
      </c>
      <c r="AL142" s="52">
        <v>0</v>
      </c>
      <c r="AM142" s="103">
        <v>31</v>
      </c>
      <c r="AN142" s="52">
        <v>0</v>
      </c>
      <c r="AO142" s="103">
        <v>31</v>
      </c>
      <c r="AP142" s="103">
        <v>0</v>
      </c>
    </row>
    <row r="143" spans="2:42" x14ac:dyDescent="0.35">
      <c r="B143" s="49">
        <v>40148</v>
      </c>
      <c r="Y143" s="51" t="s">
        <v>29</v>
      </c>
      <c r="Z143" s="51" t="s">
        <v>2407</v>
      </c>
      <c r="AA143" s="51" t="s">
        <v>2470</v>
      </c>
      <c r="AB143" s="102">
        <v>32.1</v>
      </c>
      <c r="AC143" s="103">
        <v>28</v>
      </c>
      <c r="AD143" s="55">
        <v>35.6</v>
      </c>
      <c r="AE143" s="103">
        <v>28</v>
      </c>
      <c r="AF143" s="103">
        <v>1</v>
      </c>
      <c r="AG143" s="102">
        <v>12.8</v>
      </c>
      <c r="AH143" s="103">
        <v>28</v>
      </c>
      <c r="AI143" s="55">
        <v>8.6999999999999993</v>
      </c>
      <c r="AJ143" s="103">
        <v>6</v>
      </c>
      <c r="AK143" s="103">
        <v>1</v>
      </c>
      <c r="AL143" s="52">
        <v>0.6</v>
      </c>
      <c r="AM143" s="103">
        <v>28</v>
      </c>
      <c r="AN143" s="52">
        <v>0.6</v>
      </c>
      <c r="AO143" s="103">
        <v>1</v>
      </c>
      <c r="AP143" s="103">
        <v>0</v>
      </c>
    </row>
    <row r="144" spans="2:42" x14ac:dyDescent="0.35">
      <c r="B144" s="49">
        <v>40179</v>
      </c>
      <c r="Y144" s="51" t="s">
        <v>29</v>
      </c>
      <c r="Z144" s="51" t="s">
        <v>2407</v>
      </c>
      <c r="AA144" s="51" t="s">
        <v>49</v>
      </c>
      <c r="AB144" s="102">
        <v>35</v>
      </c>
      <c r="AC144" s="103">
        <v>31</v>
      </c>
      <c r="AD144" s="55">
        <v>39.5</v>
      </c>
      <c r="AE144" s="103">
        <v>31</v>
      </c>
      <c r="AF144" s="103">
        <v>1</v>
      </c>
      <c r="AG144" s="102">
        <v>14.9</v>
      </c>
      <c r="AH144" s="103">
        <v>31</v>
      </c>
      <c r="AI144" s="55">
        <v>8.8000000000000007</v>
      </c>
      <c r="AJ144" s="103">
        <v>3</v>
      </c>
      <c r="AK144" s="103">
        <v>1</v>
      </c>
      <c r="AL144" s="52">
        <v>0</v>
      </c>
      <c r="AM144" s="103">
        <v>31</v>
      </c>
      <c r="AN144" s="52">
        <v>0</v>
      </c>
      <c r="AO144" s="103">
        <v>31</v>
      </c>
      <c r="AP144" s="103">
        <v>0</v>
      </c>
    </row>
    <row r="145" spans="2:44" x14ac:dyDescent="0.35">
      <c r="B145" s="49">
        <v>40210</v>
      </c>
      <c r="Y145" s="51" t="s">
        <v>29</v>
      </c>
      <c r="Z145" s="51" t="s">
        <v>2407</v>
      </c>
      <c r="AA145" s="51" t="s">
        <v>2471</v>
      </c>
      <c r="AB145" s="102">
        <v>36.799999999999997</v>
      </c>
      <c r="AC145" s="103">
        <v>29</v>
      </c>
      <c r="AD145" s="55">
        <v>40</v>
      </c>
      <c r="AE145" s="103">
        <v>1</v>
      </c>
      <c r="AF145" s="103">
        <v>1</v>
      </c>
      <c r="AG145" s="102">
        <v>18.8</v>
      </c>
      <c r="AH145" s="103">
        <v>29</v>
      </c>
      <c r="AI145" s="55">
        <v>15.6</v>
      </c>
      <c r="AJ145" s="103">
        <v>4</v>
      </c>
      <c r="AK145" s="103">
        <v>1</v>
      </c>
      <c r="AL145" s="52">
        <v>0.2</v>
      </c>
      <c r="AM145" s="103">
        <v>29</v>
      </c>
      <c r="AN145" s="52">
        <v>0.2</v>
      </c>
      <c r="AO145" s="103">
        <v>22</v>
      </c>
      <c r="AP145" s="103">
        <v>0</v>
      </c>
    </row>
    <row r="146" spans="2:44" x14ac:dyDescent="0.35">
      <c r="B146" s="49">
        <v>40238</v>
      </c>
      <c r="Y146" s="51" t="s">
        <v>29</v>
      </c>
      <c r="Z146" s="51" t="s">
        <v>2407</v>
      </c>
      <c r="AA146" s="51" t="s">
        <v>250</v>
      </c>
      <c r="AB146" s="102">
        <v>36.700000000000003</v>
      </c>
      <c r="AC146" s="103">
        <v>31</v>
      </c>
      <c r="AD146" s="55">
        <v>39.6</v>
      </c>
      <c r="AE146" s="103">
        <v>25</v>
      </c>
      <c r="AF146" s="103">
        <v>1</v>
      </c>
      <c r="AG146" s="102">
        <v>22.4</v>
      </c>
      <c r="AH146" s="103">
        <v>31</v>
      </c>
      <c r="AI146" s="55">
        <v>19.7</v>
      </c>
      <c r="AJ146" s="103">
        <v>17</v>
      </c>
      <c r="AK146" s="103">
        <v>1</v>
      </c>
      <c r="AL146" s="52">
        <v>57.8</v>
      </c>
      <c r="AM146" s="103">
        <v>31</v>
      </c>
      <c r="AN146" s="52">
        <v>34.799999999999997</v>
      </c>
      <c r="AO146" s="103">
        <v>17</v>
      </c>
      <c r="AP146" s="103">
        <v>4</v>
      </c>
    </row>
    <row r="147" spans="2:44" x14ac:dyDescent="0.35">
      <c r="B147" s="49">
        <v>40269</v>
      </c>
      <c r="Y147" s="51" t="s">
        <v>29</v>
      </c>
      <c r="Z147" s="51" t="s">
        <v>2407</v>
      </c>
      <c r="AA147" s="51" t="s">
        <v>2472</v>
      </c>
      <c r="AB147" s="102">
        <v>32.5</v>
      </c>
      <c r="AC147" s="103">
        <v>29</v>
      </c>
      <c r="AD147" s="55">
        <v>35.6</v>
      </c>
      <c r="AE147" s="103">
        <v>6</v>
      </c>
      <c r="AF147" s="103">
        <v>1</v>
      </c>
      <c r="AG147" s="102">
        <v>23.2</v>
      </c>
      <c r="AH147" s="103">
        <v>29</v>
      </c>
      <c r="AI147" s="55">
        <v>19.8</v>
      </c>
      <c r="AJ147" s="103">
        <v>20</v>
      </c>
      <c r="AK147" s="103">
        <v>1</v>
      </c>
      <c r="AL147" s="52">
        <v>54.1</v>
      </c>
      <c r="AM147" s="103">
        <v>29</v>
      </c>
      <c r="AN147" s="52">
        <v>39.4</v>
      </c>
      <c r="AO147" s="103">
        <v>20</v>
      </c>
      <c r="AP147" s="103">
        <v>2</v>
      </c>
    </row>
    <row r="148" spans="2:44" x14ac:dyDescent="0.35">
      <c r="B148" s="49">
        <v>40299</v>
      </c>
      <c r="Y148" s="51" t="s">
        <v>29</v>
      </c>
      <c r="Z148" s="51" t="s">
        <v>2407</v>
      </c>
      <c r="AA148" s="51" t="s">
        <v>2473</v>
      </c>
      <c r="AB148" s="102">
        <v>29.8</v>
      </c>
      <c r="AC148" s="103">
        <v>31</v>
      </c>
      <c r="AD148" s="55">
        <v>33.9</v>
      </c>
      <c r="AE148" s="103">
        <v>6</v>
      </c>
      <c r="AF148" s="103">
        <v>1</v>
      </c>
      <c r="AG148" s="102">
        <v>22.5</v>
      </c>
      <c r="AH148" s="103">
        <v>31</v>
      </c>
      <c r="AI148" s="55">
        <v>21.4</v>
      </c>
      <c r="AJ148" s="103">
        <v>1</v>
      </c>
      <c r="AK148" s="103">
        <v>1</v>
      </c>
      <c r="AL148" s="52">
        <v>62</v>
      </c>
      <c r="AM148" s="103">
        <v>31</v>
      </c>
      <c r="AN148" s="52">
        <v>10.7</v>
      </c>
      <c r="AO148" s="103">
        <v>21</v>
      </c>
      <c r="AP148" s="103">
        <v>9</v>
      </c>
    </row>
    <row r="149" spans="2:44" x14ac:dyDescent="0.35">
      <c r="B149" s="49">
        <v>40330</v>
      </c>
      <c r="Y149" s="51" t="s">
        <v>29</v>
      </c>
      <c r="Z149" s="51" t="s">
        <v>2407</v>
      </c>
      <c r="AA149" s="51" t="s">
        <v>2474</v>
      </c>
      <c r="AB149" s="102">
        <v>28.1</v>
      </c>
      <c r="AC149" s="103">
        <v>30</v>
      </c>
      <c r="AD149" s="55">
        <v>31.4</v>
      </c>
      <c r="AE149" s="103">
        <v>30</v>
      </c>
      <c r="AF149" s="103">
        <v>1</v>
      </c>
      <c r="AG149" s="102">
        <v>22</v>
      </c>
      <c r="AH149" s="103">
        <v>30</v>
      </c>
      <c r="AI149" s="55">
        <v>20.7</v>
      </c>
      <c r="AJ149" s="103">
        <v>30</v>
      </c>
      <c r="AK149" s="103">
        <v>1</v>
      </c>
      <c r="AL149" s="52">
        <v>81.5</v>
      </c>
      <c r="AM149" s="103">
        <v>30</v>
      </c>
      <c r="AN149" s="52">
        <v>20.7</v>
      </c>
      <c r="AO149" s="103">
        <v>18</v>
      </c>
      <c r="AP149" s="103">
        <v>12</v>
      </c>
    </row>
    <row r="150" spans="2:44" x14ac:dyDescent="0.35">
      <c r="B150" s="49">
        <v>40360</v>
      </c>
      <c r="Y150" s="51" t="s">
        <v>29</v>
      </c>
      <c r="Z150" s="51" t="s">
        <v>2407</v>
      </c>
      <c r="AA150" s="51" t="s">
        <v>410</v>
      </c>
      <c r="AB150" s="102">
        <v>29.8</v>
      </c>
      <c r="AC150" s="103">
        <v>30</v>
      </c>
      <c r="AD150" s="55">
        <v>32.700000000000003</v>
      </c>
      <c r="AE150" s="103">
        <v>19</v>
      </c>
      <c r="AF150" s="103">
        <v>1</v>
      </c>
      <c r="AG150" s="102">
        <v>20.7</v>
      </c>
      <c r="AH150" s="103">
        <v>30</v>
      </c>
      <c r="AI150" s="55">
        <v>18.3</v>
      </c>
      <c r="AJ150" s="103">
        <v>25</v>
      </c>
      <c r="AK150" s="103">
        <v>1</v>
      </c>
      <c r="AL150" s="52">
        <v>210.9</v>
      </c>
      <c r="AM150" s="103">
        <v>30</v>
      </c>
      <c r="AN150" s="52">
        <v>52.6</v>
      </c>
      <c r="AO150" s="103">
        <v>20</v>
      </c>
      <c r="AP150" s="103">
        <v>9</v>
      </c>
    </row>
    <row r="151" spans="2:44" x14ac:dyDescent="0.35">
      <c r="B151" s="49">
        <v>40391</v>
      </c>
      <c r="Y151" s="51" t="s">
        <v>29</v>
      </c>
      <c r="Z151" s="51" t="s">
        <v>2407</v>
      </c>
      <c r="AA151" s="51" t="s">
        <v>112</v>
      </c>
      <c r="AB151" s="102">
        <v>32.4</v>
      </c>
      <c r="AC151" s="103">
        <v>30</v>
      </c>
      <c r="AD151" s="55">
        <v>34.4</v>
      </c>
      <c r="AE151" s="103">
        <v>16</v>
      </c>
      <c r="AF151" s="103">
        <v>2</v>
      </c>
      <c r="AG151" s="102">
        <v>19.3</v>
      </c>
      <c r="AH151" s="103">
        <v>30</v>
      </c>
      <c r="AI151" s="55">
        <v>15.5</v>
      </c>
      <c r="AJ151" s="103">
        <v>17</v>
      </c>
      <c r="AK151" s="103">
        <v>1</v>
      </c>
      <c r="AL151" s="52">
        <v>52.5</v>
      </c>
      <c r="AM151" s="103">
        <v>30</v>
      </c>
      <c r="AN151" s="52">
        <v>30.6</v>
      </c>
      <c r="AO151" s="103">
        <v>29</v>
      </c>
      <c r="AP151" s="103">
        <v>5</v>
      </c>
    </row>
    <row r="152" spans="2:44" x14ac:dyDescent="0.35">
      <c r="B152" s="49">
        <v>40422</v>
      </c>
      <c r="Y152" s="51" t="s">
        <v>29</v>
      </c>
      <c r="Z152" s="51" t="s">
        <v>2407</v>
      </c>
      <c r="AA152" s="51" t="s">
        <v>142</v>
      </c>
      <c r="AB152" s="102">
        <v>29.3</v>
      </c>
      <c r="AC152" s="103">
        <v>30</v>
      </c>
      <c r="AD152" s="55">
        <v>31.6</v>
      </c>
      <c r="AE152" s="103">
        <v>16</v>
      </c>
      <c r="AF152" s="103">
        <v>1</v>
      </c>
      <c r="AG152" s="102">
        <v>17</v>
      </c>
      <c r="AH152" s="103">
        <v>30</v>
      </c>
      <c r="AI152" s="55">
        <v>12.9</v>
      </c>
      <c r="AJ152" s="103">
        <v>28</v>
      </c>
      <c r="AK152" s="103">
        <v>1</v>
      </c>
      <c r="AL152" s="52">
        <v>32.200000000000003</v>
      </c>
      <c r="AM152" s="103">
        <v>30</v>
      </c>
      <c r="AN152" s="52">
        <v>17</v>
      </c>
      <c r="AO152" s="103">
        <v>7</v>
      </c>
      <c r="AP152" s="103">
        <v>3</v>
      </c>
    </row>
    <row r="153" spans="2:44" x14ac:dyDescent="0.35">
      <c r="B153" s="49">
        <v>40452</v>
      </c>
      <c r="Y153" s="51" t="s">
        <v>29</v>
      </c>
      <c r="Z153" s="51" t="s">
        <v>2407</v>
      </c>
      <c r="AA153" s="51" t="s">
        <v>30</v>
      </c>
      <c r="AB153" s="102">
        <v>29.4</v>
      </c>
      <c r="AC153" s="103">
        <v>30</v>
      </c>
      <c r="AD153" s="55">
        <v>31.4</v>
      </c>
      <c r="AE153" s="103">
        <v>16</v>
      </c>
      <c r="AF153" s="103">
        <v>2</v>
      </c>
      <c r="AG153" s="102">
        <v>11.8</v>
      </c>
      <c r="AH153" s="103">
        <v>30</v>
      </c>
      <c r="AI153" s="55">
        <v>8.4</v>
      </c>
      <c r="AJ153" s="103">
        <v>31</v>
      </c>
      <c r="AK153" s="103">
        <v>1</v>
      </c>
      <c r="AL153" s="52">
        <v>0</v>
      </c>
      <c r="AM153" s="103">
        <v>30</v>
      </c>
      <c r="AN153" s="52">
        <v>0</v>
      </c>
      <c r="AO153" s="103">
        <v>31</v>
      </c>
      <c r="AP153" s="103">
        <v>0</v>
      </c>
    </row>
    <row r="154" spans="2:44" x14ac:dyDescent="0.35">
      <c r="B154" s="49">
        <v>40483</v>
      </c>
      <c r="Y154" s="51" t="s">
        <v>29</v>
      </c>
      <c r="Z154" s="51" t="s">
        <v>2408</v>
      </c>
      <c r="AA154" s="51" t="s">
        <v>2469</v>
      </c>
      <c r="AB154" s="102">
        <v>30.2</v>
      </c>
      <c r="AC154" s="103">
        <v>31</v>
      </c>
      <c r="AD154" s="55">
        <v>32.4</v>
      </c>
      <c r="AE154" s="103">
        <v>9</v>
      </c>
      <c r="AF154" s="103">
        <v>1</v>
      </c>
      <c r="AG154" s="102">
        <v>9.8000000000000007</v>
      </c>
      <c r="AH154" s="103">
        <v>31</v>
      </c>
      <c r="AI154" s="55">
        <v>6.4</v>
      </c>
      <c r="AJ154" s="103">
        <v>7</v>
      </c>
      <c r="AK154" s="103">
        <v>2</v>
      </c>
      <c r="AL154" s="52">
        <v>0</v>
      </c>
      <c r="AM154" s="103">
        <v>31</v>
      </c>
      <c r="AN154" s="52">
        <v>0</v>
      </c>
      <c r="AO154" s="103">
        <v>31</v>
      </c>
      <c r="AP154" s="103">
        <v>0</v>
      </c>
    </row>
    <row r="155" spans="2:44" x14ac:dyDescent="0.35">
      <c r="B155" s="49">
        <v>40513</v>
      </c>
      <c r="Y155" s="51" t="s">
        <v>29</v>
      </c>
      <c r="Z155" s="51" t="s">
        <v>2408</v>
      </c>
      <c r="AA155" s="51" t="s">
        <v>2470</v>
      </c>
      <c r="AB155" s="102">
        <v>30.8</v>
      </c>
      <c r="AC155" s="103">
        <v>28</v>
      </c>
      <c r="AD155" s="55">
        <v>34.4</v>
      </c>
      <c r="AE155" s="103">
        <v>20</v>
      </c>
      <c r="AF155" s="103">
        <v>1</v>
      </c>
      <c r="AG155" s="102">
        <v>10.5</v>
      </c>
      <c r="AH155" s="103">
        <v>27</v>
      </c>
      <c r="AI155" s="55">
        <v>7</v>
      </c>
      <c r="AJ155" s="103">
        <v>4</v>
      </c>
      <c r="AK155" s="103">
        <v>1</v>
      </c>
      <c r="AL155" s="52">
        <v>0</v>
      </c>
      <c r="AM155" s="103">
        <v>28</v>
      </c>
      <c r="AN155" s="52">
        <v>0</v>
      </c>
      <c r="AO155" s="103">
        <v>28</v>
      </c>
      <c r="AP155" s="103">
        <v>0</v>
      </c>
    </row>
    <row r="156" spans="2:44" x14ac:dyDescent="0.35">
      <c r="B156" s="47">
        <v>39814</v>
      </c>
      <c r="Y156" s="51" t="s">
        <v>29</v>
      </c>
      <c r="Z156" s="51" t="s">
        <v>2408</v>
      </c>
      <c r="AA156" s="51" t="s">
        <v>49</v>
      </c>
      <c r="AB156" s="102">
        <v>35.5</v>
      </c>
      <c r="AC156" s="103">
        <v>31</v>
      </c>
      <c r="AD156" s="55">
        <v>38.700000000000003</v>
      </c>
      <c r="AE156" s="103">
        <v>19</v>
      </c>
      <c r="AF156" s="103">
        <v>1</v>
      </c>
      <c r="AG156" s="102">
        <v>14.9</v>
      </c>
      <c r="AH156" s="103">
        <v>31</v>
      </c>
      <c r="AI156" s="55">
        <v>10.7</v>
      </c>
      <c r="AJ156" s="103">
        <v>3</v>
      </c>
      <c r="AK156" s="103">
        <v>1</v>
      </c>
      <c r="AL156" s="52">
        <v>0</v>
      </c>
      <c r="AM156" s="103">
        <v>31</v>
      </c>
      <c r="AN156" s="52">
        <v>0</v>
      </c>
      <c r="AO156" s="103">
        <v>31</v>
      </c>
      <c r="AP156" s="103">
        <v>0</v>
      </c>
    </row>
    <row r="157" spans="2:44" x14ac:dyDescent="0.35">
      <c r="B157" s="47">
        <v>39845</v>
      </c>
      <c r="Y157" s="54" t="s">
        <v>29</v>
      </c>
      <c r="Z157" s="54" t="s">
        <v>2408</v>
      </c>
      <c r="AA157" s="54" t="s">
        <v>2471</v>
      </c>
      <c r="AB157" s="102">
        <v>37.4</v>
      </c>
      <c r="AC157" s="104">
        <v>26</v>
      </c>
      <c r="AD157" s="55">
        <v>42.5</v>
      </c>
      <c r="AE157" s="104">
        <v>29</v>
      </c>
      <c r="AF157" s="104">
        <v>1</v>
      </c>
      <c r="AG157" s="102">
        <v>17.899999999999999</v>
      </c>
      <c r="AH157" s="104">
        <v>26</v>
      </c>
      <c r="AI157" s="55">
        <v>14.8</v>
      </c>
      <c r="AJ157" s="104">
        <v>18</v>
      </c>
      <c r="AK157" s="104">
        <v>4</v>
      </c>
      <c r="AL157" s="55">
        <v>0</v>
      </c>
      <c r="AM157" s="104">
        <v>26</v>
      </c>
      <c r="AN157" s="55">
        <v>0</v>
      </c>
      <c r="AO157" s="104">
        <v>29</v>
      </c>
      <c r="AP157" s="104">
        <v>0</v>
      </c>
      <c r="AQ157" s="105"/>
      <c r="AR157" s="105"/>
    </row>
    <row r="158" spans="2:44" x14ac:dyDescent="0.35">
      <c r="B158" s="49">
        <v>39873</v>
      </c>
      <c r="Y158" s="51" t="s">
        <v>29</v>
      </c>
      <c r="Z158" s="51" t="s">
        <v>2408</v>
      </c>
      <c r="AA158" s="51" t="s">
        <v>250</v>
      </c>
      <c r="AB158" s="102">
        <v>38.299999999999997</v>
      </c>
      <c r="AC158" s="103">
        <v>29</v>
      </c>
      <c r="AD158" s="55">
        <v>40.9</v>
      </c>
      <c r="AE158" s="103">
        <v>5</v>
      </c>
      <c r="AF158" s="103">
        <v>1</v>
      </c>
      <c r="AG158" s="102">
        <v>22.3</v>
      </c>
      <c r="AH158" s="103">
        <v>29</v>
      </c>
      <c r="AI158" s="55">
        <v>18</v>
      </c>
      <c r="AJ158" s="103">
        <v>3</v>
      </c>
      <c r="AK158" s="103">
        <v>1</v>
      </c>
      <c r="AL158" s="52">
        <v>2.1</v>
      </c>
      <c r="AM158" s="103">
        <v>29</v>
      </c>
      <c r="AN158" s="52">
        <v>2.1</v>
      </c>
      <c r="AO158" s="103">
        <v>16</v>
      </c>
      <c r="AP158" s="103">
        <v>0</v>
      </c>
    </row>
    <row r="159" spans="2:44" x14ac:dyDescent="0.35">
      <c r="B159" s="49">
        <v>39904</v>
      </c>
      <c r="Y159" s="51" t="s">
        <v>29</v>
      </c>
      <c r="Z159" s="51" t="s">
        <v>2408</v>
      </c>
      <c r="AA159" s="51" t="s">
        <v>2472</v>
      </c>
      <c r="AB159" s="102">
        <v>33.200000000000003</v>
      </c>
      <c r="AC159" s="103">
        <v>30</v>
      </c>
      <c r="AD159" s="55">
        <v>38.299999999999997</v>
      </c>
      <c r="AE159" s="103">
        <v>16</v>
      </c>
      <c r="AF159" s="103">
        <v>1</v>
      </c>
      <c r="AG159" s="102">
        <v>23.5</v>
      </c>
      <c r="AH159" s="103">
        <v>30</v>
      </c>
      <c r="AI159" s="55">
        <v>22.1</v>
      </c>
      <c r="AJ159" s="103">
        <v>23</v>
      </c>
      <c r="AK159" s="103">
        <v>1</v>
      </c>
      <c r="AL159" s="52">
        <v>55.7</v>
      </c>
      <c r="AM159" s="103">
        <v>30</v>
      </c>
      <c r="AN159" s="52">
        <v>19.5</v>
      </c>
      <c r="AO159" s="103">
        <v>16</v>
      </c>
      <c r="AP159" s="103">
        <v>7</v>
      </c>
    </row>
    <row r="160" spans="2:44" x14ac:dyDescent="0.35">
      <c r="B160" s="49">
        <v>39934</v>
      </c>
      <c r="Y160" s="51" t="s">
        <v>29</v>
      </c>
      <c r="Z160" s="51" t="s">
        <v>2408</v>
      </c>
      <c r="AA160" s="51" t="s">
        <v>2473</v>
      </c>
      <c r="AB160" s="102">
        <v>30.7</v>
      </c>
      <c r="AC160" s="103">
        <v>31</v>
      </c>
      <c r="AD160" s="55">
        <v>33.299999999999997</v>
      </c>
      <c r="AE160" s="103">
        <v>15</v>
      </c>
      <c r="AF160" s="103">
        <v>1</v>
      </c>
      <c r="AG160" s="102">
        <v>22.9</v>
      </c>
      <c r="AH160" s="103">
        <v>30</v>
      </c>
      <c r="AI160" s="55">
        <v>21.9</v>
      </c>
      <c r="AJ160" s="103">
        <v>27</v>
      </c>
      <c r="AK160" s="103">
        <v>1</v>
      </c>
      <c r="AL160" s="52">
        <v>73.400000000000006</v>
      </c>
      <c r="AM160" s="103">
        <v>31</v>
      </c>
      <c r="AN160" s="52">
        <v>20.399999999999999</v>
      </c>
      <c r="AO160" s="103">
        <v>21</v>
      </c>
      <c r="AP160" s="103">
        <v>7</v>
      </c>
    </row>
    <row r="161" spans="2:42" x14ac:dyDescent="0.35">
      <c r="B161" s="49">
        <v>39965</v>
      </c>
      <c r="Y161" s="51" t="s">
        <v>29</v>
      </c>
      <c r="Z161" s="51" t="s">
        <v>2408</v>
      </c>
      <c r="AA161" s="51" t="s">
        <v>2474</v>
      </c>
      <c r="AB161" s="102">
        <v>27.8</v>
      </c>
      <c r="AC161" s="103">
        <v>31</v>
      </c>
      <c r="AD161" s="55">
        <v>30.1</v>
      </c>
      <c r="AE161" s="103">
        <v>3</v>
      </c>
      <c r="AF161" s="103">
        <v>1</v>
      </c>
      <c r="AG161" s="102">
        <v>22.2</v>
      </c>
      <c r="AH161" s="103">
        <v>31</v>
      </c>
      <c r="AI161" s="55">
        <v>21.2</v>
      </c>
      <c r="AJ161" s="103">
        <v>30</v>
      </c>
      <c r="AK161" s="103">
        <v>3</v>
      </c>
      <c r="AL161" s="52">
        <v>298.7</v>
      </c>
      <c r="AM161" s="103">
        <v>31</v>
      </c>
      <c r="AN161" s="52">
        <v>59</v>
      </c>
      <c r="AO161" s="103">
        <v>15</v>
      </c>
      <c r="AP161" s="103">
        <v>12</v>
      </c>
    </row>
    <row r="162" spans="2:42" x14ac:dyDescent="0.35">
      <c r="B162" s="49">
        <v>39995</v>
      </c>
      <c r="Y162" s="51" t="s">
        <v>29</v>
      </c>
      <c r="Z162" s="51" t="s">
        <v>2408</v>
      </c>
      <c r="AA162" s="51" t="s">
        <v>410</v>
      </c>
      <c r="AB162" s="102">
        <v>28.5</v>
      </c>
      <c r="AC162" s="103">
        <v>30</v>
      </c>
      <c r="AD162" s="55">
        <v>31.2</v>
      </c>
      <c r="AE162" s="103">
        <v>13</v>
      </c>
      <c r="AF162" s="103">
        <v>1</v>
      </c>
      <c r="AG162" s="102">
        <v>21.5</v>
      </c>
      <c r="AH162" s="103">
        <v>30</v>
      </c>
      <c r="AI162" s="55">
        <v>19.8</v>
      </c>
      <c r="AJ162" s="103">
        <v>30</v>
      </c>
      <c r="AK162" s="103">
        <v>1</v>
      </c>
      <c r="AL162" s="52">
        <v>324.60000000000002</v>
      </c>
      <c r="AM162" s="103">
        <v>30</v>
      </c>
      <c r="AN162" s="52">
        <v>110.7</v>
      </c>
      <c r="AO162" s="103">
        <v>19</v>
      </c>
      <c r="AP162" s="103">
        <v>12</v>
      </c>
    </row>
    <row r="163" spans="2:42" x14ac:dyDescent="0.35">
      <c r="B163" s="49">
        <v>40026</v>
      </c>
      <c r="Y163" s="51" t="s">
        <v>29</v>
      </c>
      <c r="Z163" s="51" t="s">
        <v>2408</v>
      </c>
      <c r="AA163" s="51" t="s">
        <v>112</v>
      </c>
      <c r="AB163" s="102">
        <v>30</v>
      </c>
      <c r="AC163" s="103">
        <v>31</v>
      </c>
      <c r="AD163" s="55">
        <v>32.4</v>
      </c>
      <c r="AE163" s="103">
        <v>21</v>
      </c>
      <c r="AF163" s="103">
        <v>1</v>
      </c>
      <c r="AG163" s="102">
        <v>18.5</v>
      </c>
      <c r="AH163" s="103">
        <v>31</v>
      </c>
      <c r="AI163" s="55">
        <v>11.4</v>
      </c>
      <c r="AJ163" s="103">
        <v>23</v>
      </c>
      <c r="AK163" s="103">
        <v>1</v>
      </c>
      <c r="AL163" s="52">
        <v>7.1</v>
      </c>
      <c r="AM163" s="103">
        <v>31</v>
      </c>
      <c r="AN163" s="52">
        <v>5.2</v>
      </c>
      <c r="AO163" s="103">
        <v>8</v>
      </c>
      <c r="AP163" s="103">
        <v>1</v>
      </c>
    </row>
    <row r="164" spans="2:42" x14ac:dyDescent="0.35">
      <c r="B164" s="49">
        <v>40057</v>
      </c>
      <c r="Y164" s="51" t="s">
        <v>29</v>
      </c>
      <c r="Z164" s="51" t="s">
        <v>2408</v>
      </c>
      <c r="AA164" s="51" t="s">
        <v>142</v>
      </c>
      <c r="AB164" s="102">
        <v>29.3</v>
      </c>
      <c r="AC164" s="103">
        <v>30</v>
      </c>
      <c r="AD164" s="55">
        <v>32.700000000000003</v>
      </c>
      <c r="AE164" s="103">
        <v>5</v>
      </c>
      <c r="AF164" s="103">
        <v>1</v>
      </c>
      <c r="AG164" s="102">
        <v>11.5</v>
      </c>
      <c r="AH164" s="103">
        <v>30</v>
      </c>
      <c r="AI164" s="55">
        <v>7.1</v>
      </c>
      <c r="AJ164" s="103">
        <v>24</v>
      </c>
      <c r="AK164" s="103">
        <v>1</v>
      </c>
      <c r="AL164" s="52">
        <v>0.3</v>
      </c>
      <c r="AM164" s="103">
        <v>30</v>
      </c>
      <c r="AN164" s="52">
        <v>0.3</v>
      </c>
      <c r="AO164" s="103">
        <v>28</v>
      </c>
      <c r="AP164" s="103">
        <v>0</v>
      </c>
    </row>
    <row r="165" spans="2:42" x14ac:dyDescent="0.35">
      <c r="B165" s="49">
        <v>40087</v>
      </c>
      <c r="Y165" s="51" t="s">
        <v>29</v>
      </c>
      <c r="Z165" s="51" t="s">
        <v>2408</v>
      </c>
      <c r="AA165" s="51" t="s">
        <v>30</v>
      </c>
      <c r="AB165" s="102">
        <v>28</v>
      </c>
      <c r="AC165" s="103">
        <v>31</v>
      </c>
      <c r="AD165" s="55">
        <v>30.4</v>
      </c>
      <c r="AE165" s="103">
        <v>29</v>
      </c>
      <c r="AF165" s="103">
        <v>1</v>
      </c>
      <c r="AG165" s="102">
        <v>12.1</v>
      </c>
      <c r="AH165" s="103">
        <v>31</v>
      </c>
      <c r="AI165" s="55">
        <v>6.8</v>
      </c>
      <c r="AJ165" s="103">
        <v>8</v>
      </c>
      <c r="AK165" s="103">
        <v>1</v>
      </c>
      <c r="AL165" s="52">
        <v>0.2</v>
      </c>
      <c r="AM165" s="103">
        <v>31</v>
      </c>
      <c r="AN165" s="52">
        <v>0.2</v>
      </c>
      <c r="AO165" s="103">
        <v>26</v>
      </c>
      <c r="AP165" s="103">
        <v>0</v>
      </c>
    </row>
    <row r="166" spans="2:42" x14ac:dyDescent="0.35">
      <c r="B166" s="49">
        <v>40118</v>
      </c>
      <c r="Y166" s="51" t="s">
        <v>29</v>
      </c>
      <c r="Z166" s="51" t="s">
        <v>2409</v>
      </c>
      <c r="AA166" s="51" t="s">
        <v>2469</v>
      </c>
      <c r="AB166" s="102">
        <v>29.5</v>
      </c>
      <c r="AC166" s="103">
        <v>31</v>
      </c>
      <c r="AD166" s="55">
        <v>32.200000000000003</v>
      </c>
      <c r="AE166" s="103">
        <v>20</v>
      </c>
      <c r="AF166" s="103">
        <v>1</v>
      </c>
      <c r="AG166" s="102">
        <v>11</v>
      </c>
      <c r="AH166" s="103">
        <v>31</v>
      </c>
      <c r="AI166" s="55">
        <v>5.0999999999999996</v>
      </c>
      <c r="AJ166" s="103">
        <v>21</v>
      </c>
      <c r="AK166" s="103">
        <v>1</v>
      </c>
      <c r="AL166" s="52">
        <v>0</v>
      </c>
      <c r="AM166" s="103">
        <v>31</v>
      </c>
      <c r="AN166" s="52">
        <v>0</v>
      </c>
      <c r="AO166" s="103">
        <v>31</v>
      </c>
      <c r="AP166" s="103">
        <v>0</v>
      </c>
    </row>
    <row r="167" spans="2:42" x14ac:dyDescent="0.35">
      <c r="B167" s="49">
        <v>40148</v>
      </c>
      <c r="Y167" s="51" t="s">
        <v>29</v>
      </c>
      <c r="Z167" s="51" t="s">
        <v>2409</v>
      </c>
      <c r="AA167" s="51" t="s">
        <v>2470</v>
      </c>
      <c r="AB167" s="102">
        <v>30.8</v>
      </c>
      <c r="AC167" s="103">
        <v>28</v>
      </c>
      <c r="AD167" s="55">
        <v>32.9</v>
      </c>
      <c r="AE167" s="103">
        <v>7</v>
      </c>
      <c r="AF167" s="103">
        <v>2</v>
      </c>
      <c r="AG167" s="102">
        <v>13.3</v>
      </c>
      <c r="AH167" s="103">
        <v>29</v>
      </c>
      <c r="AI167" s="55">
        <v>9.3000000000000007</v>
      </c>
      <c r="AJ167" s="103">
        <v>19</v>
      </c>
      <c r="AK167" s="103">
        <v>1</v>
      </c>
      <c r="AL167" s="52">
        <v>30.7</v>
      </c>
      <c r="AM167" s="103">
        <v>29</v>
      </c>
      <c r="AN167" s="52">
        <v>29.5</v>
      </c>
      <c r="AO167" s="103">
        <v>14</v>
      </c>
      <c r="AP167" s="103">
        <v>1</v>
      </c>
    </row>
    <row r="168" spans="2:42" x14ac:dyDescent="0.35">
      <c r="B168" s="49">
        <v>40148</v>
      </c>
      <c r="Y168" s="51" t="s">
        <v>29</v>
      </c>
      <c r="Z168" s="51" t="s">
        <v>2409</v>
      </c>
      <c r="AA168" s="51" t="s">
        <v>49</v>
      </c>
      <c r="AB168" s="102">
        <v>36</v>
      </c>
      <c r="AC168" s="103">
        <v>31</v>
      </c>
      <c r="AD168" s="55">
        <v>40</v>
      </c>
      <c r="AE168" s="103">
        <v>31</v>
      </c>
      <c r="AF168" s="103">
        <v>1</v>
      </c>
      <c r="AG168" s="102">
        <v>16.7</v>
      </c>
      <c r="AH168" s="103">
        <v>31</v>
      </c>
      <c r="AI168" s="55">
        <v>11.5</v>
      </c>
      <c r="AJ168" s="103">
        <v>1</v>
      </c>
      <c r="AK168" s="103">
        <v>1</v>
      </c>
      <c r="AL168" s="52">
        <v>0</v>
      </c>
      <c r="AM168" s="103">
        <v>31</v>
      </c>
      <c r="AN168" s="52">
        <v>0</v>
      </c>
      <c r="AO168" s="103">
        <v>31</v>
      </c>
      <c r="AP168" s="103">
        <v>0</v>
      </c>
    </row>
    <row r="169" spans="2:42" x14ac:dyDescent="0.35">
      <c r="B169" s="49">
        <v>40179</v>
      </c>
      <c r="Y169" s="51" t="s">
        <v>29</v>
      </c>
      <c r="Z169" s="51" t="s">
        <v>2409</v>
      </c>
      <c r="AA169" s="51" t="s">
        <v>2471</v>
      </c>
      <c r="AB169" s="102">
        <v>37.5</v>
      </c>
      <c r="AC169" s="103">
        <v>30</v>
      </c>
      <c r="AD169" s="55">
        <v>40.6</v>
      </c>
      <c r="AE169" s="103">
        <v>19</v>
      </c>
      <c r="AF169" s="103">
        <v>1</v>
      </c>
      <c r="AG169" s="102">
        <v>20.3</v>
      </c>
      <c r="AH169" s="103">
        <v>30</v>
      </c>
      <c r="AI169" s="55">
        <v>15.7</v>
      </c>
      <c r="AJ169" s="103">
        <v>10</v>
      </c>
      <c r="AK169" s="103">
        <v>1</v>
      </c>
      <c r="AL169" s="52">
        <v>5.0999999999999996</v>
      </c>
      <c r="AM169" s="103">
        <v>30</v>
      </c>
      <c r="AN169" s="52">
        <v>5.0999999999999996</v>
      </c>
      <c r="AO169" s="103">
        <v>2</v>
      </c>
      <c r="AP169" s="103">
        <v>1</v>
      </c>
    </row>
    <row r="170" spans="2:42" x14ac:dyDescent="0.35">
      <c r="B170" s="49">
        <v>40210</v>
      </c>
      <c r="Y170" s="51" t="s">
        <v>29</v>
      </c>
      <c r="Z170" s="51" t="s">
        <v>2409</v>
      </c>
      <c r="AA170" s="51" t="s">
        <v>250</v>
      </c>
      <c r="AB170" s="102">
        <v>38.200000000000003</v>
      </c>
      <c r="AC170" s="103">
        <v>31</v>
      </c>
      <c r="AD170" s="55">
        <v>41.3</v>
      </c>
      <c r="AE170" s="103">
        <v>18</v>
      </c>
      <c r="AF170" s="103">
        <v>1</v>
      </c>
      <c r="AG170" s="102">
        <v>22.4</v>
      </c>
      <c r="AH170" s="103">
        <v>31</v>
      </c>
      <c r="AI170" s="55">
        <v>19.8</v>
      </c>
      <c r="AJ170" s="103">
        <v>5</v>
      </c>
      <c r="AK170" s="103">
        <v>2</v>
      </c>
      <c r="AL170" s="52">
        <v>0</v>
      </c>
      <c r="AM170" s="103">
        <v>31</v>
      </c>
      <c r="AN170" s="52">
        <v>0</v>
      </c>
      <c r="AO170" s="103">
        <v>31</v>
      </c>
      <c r="AP170" s="103">
        <v>0</v>
      </c>
    </row>
    <row r="171" spans="2:42" x14ac:dyDescent="0.35">
      <c r="B171" s="49">
        <v>40238</v>
      </c>
      <c r="Y171" s="51" t="s">
        <v>29</v>
      </c>
      <c r="Z171" s="51" t="s">
        <v>2409</v>
      </c>
      <c r="AA171" s="51" t="s">
        <v>2472</v>
      </c>
      <c r="AB171" s="102">
        <v>31.3</v>
      </c>
      <c r="AC171" s="103">
        <v>30</v>
      </c>
      <c r="AD171" s="55">
        <v>37.299999999999997</v>
      </c>
      <c r="AE171" s="103">
        <v>4</v>
      </c>
      <c r="AF171" s="103">
        <v>1</v>
      </c>
      <c r="AG171" s="102">
        <v>22.9</v>
      </c>
      <c r="AH171" s="103">
        <v>30</v>
      </c>
      <c r="AI171" s="55">
        <v>21.3</v>
      </c>
      <c r="AJ171" s="103">
        <v>8</v>
      </c>
      <c r="AK171" s="103">
        <v>1</v>
      </c>
      <c r="AL171" s="52">
        <v>192.7</v>
      </c>
      <c r="AM171" s="103">
        <v>30</v>
      </c>
      <c r="AN171" s="52">
        <v>97.8</v>
      </c>
      <c r="AO171" s="103">
        <v>8</v>
      </c>
      <c r="AP171" s="103">
        <v>10</v>
      </c>
    </row>
    <row r="172" spans="2:42" x14ac:dyDescent="0.35">
      <c r="B172" s="49">
        <v>40269</v>
      </c>
      <c r="Y172" s="51" t="s">
        <v>29</v>
      </c>
      <c r="Z172" s="51" t="s">
        <v>2409</v>
      </c>
      <c r="AA172" s="51" t="s">
        <v>2473</v>
      </c>
      <c r="AB172" s="102">
        <v>27.5</v>
      </c>
      <c r="AC172" s="103">
        <v>31</v>
      </c>
      <c r="AD172" s="55">
        <v>30.5</v>
      </c>
      <c r="AE172" s="103">
        <v>14</v>
      </c>
      <c r="AF172" s="103">
        <v>2</v>
      </c>
      <c r="AG172" s="102">
        <v>21.6</v>
      </c>
      <c r="AH172" s="103">
        <v>31</v>
      </c>
      <c r="AI172" s="55">
        <v>20.5</v>
      </c>
      <c r="AJ172" s="103">
        <v>12</v>
      </c>
      <c r="AK172" s="103">
        <v>1</v>
      </c>
      <c r="AL172" s="52">
        <v>248.9</v>
      </c>
      <c r="AM172" s="103">
        <v>31</v>
      </c>
      <c r="AN172" s="52">
        <v>78.8</v>
      </c>
      <c r="AO172" s="103">
        <v>3</v>
      </c>
      <c r="AP172" s="103">
        <v>13</v>
      </c>
    </row>
    <row r="173" spans="2:42" x14ac:dyDescent="0.35">
      <c r="B173" s="49">
        <v>40299</v>
      </c>
      <c r="Y173" s="51" t="s">
        <v>29</v>
      </c>
      <c r="Z173" s="51" t="s">
        <v>2409</v>
      </c>
      <c r="AA173" s="51" t="s">
        <v>2474</v>
      </c>
      <c r="AB173" s="102">
        <v>26.4</v>
      </c>
      <c r="AC173" s="103">
        <v>31</v>
      </c>
      <c r="AD173" s="55">
        <v>29</v>
      </c>
      <c r="AE173" s="103">
        <v>24</v>
      </c>
      <c r="AF173" s="103">
        <v>1</v>
      </c>
      <c r="AG173" s="102">
        <v>21</v>
      </c>
      <c r="AH173" s="103">
        <v>31</v>
      </c>
      <c r="AI173" s="55">
        <v>20</v>
      </c>
      <c r="AJ173" s="103">
        <v>26</v>
      </c>
      <c r="AK173" s="103">
        <v>2</v>
      </c>
      <c r="AL173" s="52">
        <v>50.2</v>
      </c>
      <c r="AM173" s="103">
        <v>31</v>
      </c>
      <c r="AN173" s="52">
        <v>8.4</v>
      </c>
      <c r="AO173" s="103">
        <v>12</v>
      </c>
      <c r="AP173" s="103">
        <v>5</v>
      </c>
    </row>
    <row r="174" spans="2:42" x14ac:dyDescent="0.35">
      <c r="B174" s="49">
        <v>40330</v>
      </c>
      <c r="Y174" s="51" t="s">
        <v>29</v>
      </c>
      <c r="Z174" s="51" t="s">
        <v>2409</v>
      </c>
      <c r="AA174" s="51" t="s">
        <v>410</v>
      </c>
      <c r="AB174" s="102">
        <v>28.5</v>
      </c>
      <c r="AC174" s="103">
        <v>30</v>
      </c>
      <c r="AD174" s="55">
        <v>32.299999999999997</v>
      </c>
      <c r="AE174" s="103">
        <v>22</v>
      </c>
      <c r="AF174" s="103">
        <v>1</v>
      </c>
      <c r="AG174" s="102">
        <v>20.2</v>
      </c>
      <c r="AH174" s="103">
        <v>30</v>
      </c>
      <c r="AI174" s="55">
        <v>17.7</v>
      </c>
      <c r="AJ174" s="103">
        <v>19</v>
      </c>
      <c r="AK174" s="103">
        <v>1</v>
      </c>
      <c r="AL174" s="52">
        <v>176.9</v>
      </c>
      <c r="AM174" s="103">
        <v>30</v>
      </c>
      <c r="AN174" s="52">
        <v>88.3</v>
      </c>
      <c r="AO174" s="103">
        <v>12</v>
      </c>
      <c r="AP174" s="103">
        <v>7</v>
      </c>
    </row>
    <row r="175" spans="2:42" x14ac:dyDescent="0.35">
      <c r="B175" s="49">
        <v>40360</v>
      </c>
      <c r="Y175" s="51" t="s">
        <v>29</v>
      </c>
      <c r="Z175" s="51" t="s">
        <v>2409</v>
      </c>
      <c r="AA175" s="51" t="s">
        <v>112</v>
      </c>
      <c r="AB175" s="102">
        <v>30.6</v>
      </c>
      <c r="AC175" s="103">
        <v>31</v>
      </c>
      <c r="AD175" s="55">
        <v>32.6</v>
      </c>
      <c r="AE175" s="103">
        <v>4</v>
      </c>
      <c r="AF175" s="103">
        <v>1</v>
      </c>
      <c r="AG175" s="102">
        <v>19</v>
      </c>
      <c r="AH175" s="103">
        <v>31</v>
      </c>
      <c r="AI175" s="55">
        <v>15.1</v>
      </c>
      <c r="AJ175" s="103">
        <v>31</v>
      </c>
      <c r="AK175" s="103">
        <v>2</v>
      </c>
      <c r="AL175" s="52">
        <v>200.4</v>
      </c>
      <c r="AM175" s="103">
        <v>31</v>
      </c>
      <c r="AN175" s="52">
        <v>80.099999999999994</v>
      </c>
      <c r="AO175" s="103">
        <v>8</v>
      </c>
      <c r="AP175" s="103">
        <v>8</v>
      </c>
    </row>
    <row r="176" spans="2:42" x14ac:dyDescent="0.35">
      <c r="B176" s="49">
        <v>40391</v>
      </c>
      <c r="Y176" s="51" t="s">
        <v>29</v>
      </c>
      <c r="Z176" s="51" t="s">
        <v>2409</v>
      </c>
      <c r="AA176" s="51" t="s">
        <v>142</v>
      </c>
      <c r="AB176" s="102">
        <v>29.6</v>
      </c>
      <c r="AC176" s="103">
        <v>30</v>
      </c>
      <c r="AD176" s="55">
        <v>31.4</v>
      </c>
      <c r="AE176" s="103">
        <v>10</v>
      </c>
      <c r="AF176" s="103">
        <v>1</v>
      </c>
      <c r="AG176" s="102">
        <v>11.4</v>
      </c>
      <c r="AH176" s="103">
        <v>30</v>
      </c>
      <c r="AI176" s="55">
        <v>6.2</v>
      </c>
      <c r="AJ176" s="103">
        <v>29</v>
      </c>
      <c r="AK176" s="103">
        <v>1</v>
      </c>
      <c r="AL176" s="52">
        <v>1.4</v>
      </c>
      <c r="AM176" s="103">
        <v>30</v>
      </c>
      <c r="AN176" s="52">
        <v>1.4</v>
      </c>
      <c r="AO176" s="103">
        <v>6</v>
      </c>
      <c r="AP176" s="103">
        <v>0</v>
      </c>
    </row>
    <row r="177" spans="2:42" x14ac:dyDescent="0.35">
      <c r="B177" s="49">
        <v>40422</v>
      </c>
      <c r="Y177" s="51" t="s">
        <v>29</v>
      </c>
      <c r="Z177" s="51" t="s">
        <v>2409</v>
      </c>
      <c r="AA177" s="51" t="s">
        <v>30</v>
      </c>
      <c r="AB177" s="102">
        <v>30.3</v>
      </c>
      <c r="AC177" s="103">
        <v>31</v>
      </c>
      <c r="AD177" s="55">
        <v>32.5</v>
      </c>
      <c r="AE177" s="103">
        <v>18</v>
      </c>
      <c r="AF177" s="103">
        <v>3</v>
      </c>
      <c r="AG177" s="102">
        <v>10.8</v>
      </c>
      <c r="AH177" s="103">
        <v>31</v>
      </c>
      <c r="AI177" s="55">
        <v>7</v>
      </c>
      <c r="AJ177" s="103">
        <v>26</v>
      </c>
      <c r="AK177" s="103">
        <v>1</v>
      </c>
      <c r="AL177" s="52">
        <v>0</v>
      </c>
      <c r="AM177" s="103">
        <v>31</v>
      </c>
      <c r="AN177" s="52">
        <v>0</v>
      </c>
      <c r="AO177" s="103">
        <v>31</v>
      </c>
      <c r="AP177" s="103">
        <v>0</v>
      </c>
    </row>
    <row r="178" spans="2:42" x14ac:dyDescent="0.35">
      <c r="B178" s="49">
        <v>40452</v>
      </c>
      <c r="Y178" s="51" t="s">
        <v>29</v>
      </c>
      <c r="Z178" s="51" t="s">
        <v>2410</v>
      </c>
      <c r="AA178" s="51" t="s">
        <v>2469</v>
      </c>
      <c r="AB178" s="102">
        <v>30.5</v>
      </c>
      <c r="AC178" s="103">
        <v>31</v>
      </c>
      <c r="AD178" s="55">
        <v>32.200000000000003</v>
      </c>
      <c r="AE178" s="103">
        <v>31</v>
      </c>
      <c r="AF178" s="103">
        <v>2</v>
      </c>
      <c r="AG178" s="102">
        <v>11.7</v>
      </c>
      <c r="AH178" s="103">
        <v>31</v>
      </c>
      <c r="AI178" s="55">
        <v>8.1</v>
      </c>
      <c r="AJ178" s="103">
        <v>20</v>
      </c>
      <c r="AK178" s="103">
        <v>1</v>
      </c>
      <c r="AL178" s="52">
        <v>0</v>
      </c>
      <c r="AM178" s="103">
        <v>31</v>
      </c>
      <c r="AN178" s="52">
        <v>0</v>
      </c>
      <c r="AO178" s="103">
        <v>31</v>
      </c>
      <c r="AP178" s="103">
        <v>0</v>
      </c>
    </row>
    <row r="179" spans="2:42" x14ac:dyDescent="0.35">
      <c r="B179" s="49">
        <v>40483</v>
      </c>
      <c r="Y179" s="51" t="s">
        <v>29</v>
      </c>
      <c r="Z179" s="51" t="s">
        <v>2410</v>
      </c>
      <c r="AA179" s="51" t="s">
        <v>2470</v>
      </c>
      <c r="AB179" s="102">
        <v>32.299999999999997</v>
      </c>
      <c r="AC179" s="103">
        <v>28</v>
      </c>
      <c r="AD179" s="55">
        <v>36</v>
      </c>
      <c r="AE179" s="103">
        <v>28</v>
      </c>
      <c r="AF179" s="103">
        <v>1</v>
      </c>
      <c r="AG179" s="102">
        <v>10.9</v>
      </c>
      <c r="AH179" s="103">
        <v>28</v>
      </c>
      <c r="AI179" s="55">
        <v>5.5</v>
      </c>
      <c r="AJ179" s="103">
        <v>15</v>
      </c>
      <c r="AK179" s="103">
        <v>1</v>
      </c>
      <c r="AL179" s="52">
        <v>0</v>
      </c>
      <c r="AM179" s="103">
        <v>28</v>
      </c>
      <c r="AN179" s="52">
        <v>0</v>
      </c>
      <c r="AO179" s="103">
        <v>28</v>
      </c>
      <c r="AP179" s="103">
        <v>0</v>
      </c>
    </row>
    <row r="180" spans="2:42" x14ac:dyDescent="0.35">
      <c r="B180" s="49">
        <v>40513</v>
      </c>
      <c r="Y180" s="51" t="s">
        <v>29</v>
      </c>
      <c r="Z180" s="51" t="s">
        <v>2410</v>
      </c>
      <c r="AA180" s="51" t="s">
        <v>49</v>
      </c>
      <c r="AB180" s="102">
        <v>36.9</v>
      </c>
      <c r="AC180" s="103">
        <v>31</v>
      </c>
      <c r="AD180" s="55">
        <v>38.299999999999997</v>
      </c>
      <c r="AE180" s="103">
        <v>28</v>
      </c>
      <c r="AF180" s="103">
        <v>1</v>
      </c>
      <c r="AG180" s="102">
        <v>16</v>
      </c>
      <c r="AH180" s="103">
        <v>31</v>
      </c>
      <c r="AI180" s="55">
        <v>11.3</v>
      </c>
      <c r="AJ180" s="103">
        <v>2</v>
      </c>
      <c r="AK180" s="103">
        <v>1</v>
      </c>
      <c r="AL180" s="52">
        <v>0</v>
      </c>
      <c r="AM180" s="103">
        <v>31</v>
      </c>
      <c r="AN180" s="52">
        <v>0</v>
      </c>
      <c r="AO180" s="103">
        <v>31</v>
      </c>
      <c r="AP180" s="103">
        <v>0</v>
      </c>
    </row>
    <row r="181" spans="2:42" x14ac:dyDescent="0.35">
      <c r="B181" s="47">
        <v>39814</v>
      </c>
      <c r="Y181" s="51" t="s">
        <v>29</v>
      </c>
      <c r="Z181" s="51" t="s">
        <v>2410</v>
      </c>
      <c r="AA181" s="51" t="s">
        <v>2471</v>
      </c>
      <c r="AB181" s="102">
        <v>36.9</v>
      </c>
      <c r="AC181" s="103">
        <v>30</v>
      </c>
      <c r="AD181" s="55">
        <v>40.5</v>
      </c>
      <c r="AE181" s="103">
        <v>23</v>
      </c>
      <c r="AF181" s="103">
        <v>1</v>
      </c>
      <c r="AG181" s="102">
        <v>18.7</v>
      </c>
      <c r="AH181" s="103">
        <v>30</v>
      </c>
      <c r="AI181" s="55">
        <v>15.6</v>
      </c>
      <c r="AJ181" s="103">
        <v>5</v>
      </c>
      <c r="AK181" s="103">
        <v>1</v>
      </c>
      <c r="AL181" s="52">
        <v>11.4</v>
      </c>
      <c r="AM181" s="103">
        <v>30</v>
      </c>
      <c r="AN181" s="52">
        <v>10</v>
      </c>
      <c r="AO181" s="103">
        <v>2</v>
      </c>
      <c r="AP181" s="103">
        <v>1</v>
      </c>
    </row>
    <row r="182" spans="2:42" x14ac:dyDescent="0.35">
      <c r="B182" s="47">
        <v>39845</v>
      </c>
      <c r="Y182" s="51" t="s">
        <v>29</v>
      </c>
      <c r="Z182" s="51" t="s">
        <v>2410</v>
      </c>
      <c r="AA182" s="51" t="s">
        <v>250</v>
      </c>
      <c r="AB182" s="102">
        <v>37.1</v>
      </c>
      <c r="AC182" s="103">
        <v>31</v>
      </c>
      <c r="AD182" s="55">
        <v>41.9</v>
      </c>
      <c r="AE182" s="103">
        <v>18</v>
      </c>
      <c r="AF182" s="103">
        <v>1</v>
      </c>
      <c r="AG182" s="102">
        <v>22.9</v>
      </c>
      <c r="AH182" s="103">
        <v>31</v>
      </c>
      <c r="AI182" s="55">
        <v>17.399999999999999</v>
      </c>
      <c r="AJ182" s="103">
        <v>2</v>
      </c>
      <c r="AK182" s="103">
        <v>1</v>
      </c>
      <c r="AL182" s="52">
        <v>9</v>
      </c>
      <c r="AM182" s="103">
        <v>31</v>
      </c>
      <c r="AN182" s="52">
        <v>3.2</v>
      </c>
      <c r="AO182" s="103">
        <v>9</v>
      </c>
      <c r="AP182" s="103">
        <v>3</v>
      </c>
    </row>
    <row r="183" spans="2:42" x14ac:dyDescent="0.35">
      <c r="B183" s="49">
        <v>39873</v>
      </c>
      <c r="Y183" s="51" t="s">
        <v>29</v>
      </c>
      <c r="Z183" s="51" t="s">
        <v>2410</v>
      </c>
      <c r="AA183" s="51" t="s">
        <v>2472</v>
      </c>
      <c r="AB183" s="102">
        <v>30.9</v>
      </c>
      <c r="AC183" s="103">
        <v>30</v>
      </c>
      <c r="AD183" s="55">
        <v>34.6</v>
      </c>
      <c r="AE183" s="103">
        <v>6</v>
      </c>
      <c r="AF183" s="103">
        <v>1</v>
      </c>
      <c r="AG183" s="102">
        <v>22.9</v>
      </c>
      <c r="AH183" s="103">
        <v>30</v>
      </c>
      <c r="AI183" s="55">
        <v>21.1</v>
      </c>
      <c r="AJ183" s="103">
        <v>9</v>
      </c>
      <c r="AK183" s="103">
        <v>1</v>
      </c>
      <c r="AL183" s="52">
        <v>87.8</v>
      </c>
      <c r="AM183" s="103">
        <v>30</v>
      </c>
      <c r="AN183" s="52">
        <v>27.4</v>
      </c>
      <c r="AO183" s="103">
        <v>28</v>
      </c>
      <c r="AP183" s="103">
        <v>6</v>
      </c>
    </row>
    <row r="184" spans="2:42" x14ac:dyDescent="0.35">
      <c r="B184" s="49">
        <v>39904</v>
      </c>
      <c r="Y184" s="51" t="s">
        <v>29</v>
      </c>
      <c r="Z184" s="51" t="s">
        <v>2410</v>
      </c>
      <c r="AA184" s="51" t="s">
        <v>2473</v>
      </c>
      <c r="AB184" s="102">
        <v>28.2</v>
      </c>
      <c r="AC184" s="103">
        <v>31</v>
      </c>
      <c r="AD184" s="55">
        <v>31.3</v>
      </c>
      <c r="AE184" s="103">
        <v>29</v>
      </c>
      <c r="AF184" s="103">
        <v>1</v>
      </c>
      <c r="AG184" s="102">
        <v>21.9</v>
      </c>
      <c r="AH184" s="103">
        <v>31</v>
      </c>
      <c r="AI184" s="55">
        <v>20.2</v>
      </c>
      <c r="AJ184" s="103">
        <v>17</v>
      </c>
      <c r="AK184" s="103">
        <v>1</v>
      </c>
      <c r="AL184" s="52">
        <v>125.2</v>
      </c>
      <c r="AM184" s="103">
        <v>31</v>
      </c>
      <c r="AN184" s="52">
        <v>30.6</v>
      </c>
      <c r="AO184" s="103">
        <v>17</v>
      </c>
      <c r="AP184" s="103">
        <v>12</v>
      </c>
    </row>
    <row r="185" spans="2:42" x14ac:dyDescent="0.35">
      <c r="B185" s="49">
        <v>39934</v>
      </c>
      <c r="Y185" s="51" t="s">
        <v>29</v>
      </c>
      <c r="Z185" s="51" t="s">
        <v>2410</v>
      </c>
      <c r="AA185" s="51" t="s">
        <v>2474</v>
      </c>
      <c r="AB185" s="102">
        <v>27.6</v>
      </c>
      <c r="AC185" s="103">
        <v>31</v>
      </c>
      <c r="AD185" s="55">
        <v>29.8</v>
      </c>
      <c r="AE185" s="103">
        <v>30</v>
      </c>
      <c r="AF185" s="103">
        <v>1</v>
      </c>
      <c r="AG185" s="102">
        <v>21.1</v>
      </c>
      <c r="AH185" s="103">
        <v>31</v>
      </c>
      <c r="AI185" s="55">
        <v>19</v>
      </c>
      <c r="AJ185" s="103">
        <v>31</v>
      </c>
      <c r="AK185" s="103">
        <v>1</v>
      </c>
      <c r="AL185" s="52">
        <v>80</v>
      </c>
      <c r="AM185" s="103">
        <v>31</v>
      </c>
      <c r="AN185" s="52">
        <v>37.799999999999997</v>
      </c>
      <c r="AO185" s="103">
        <v>2</v>
      </c>
      <c r="AP185" s="103">
        <v>5</v>
      </c>
    </row>
    <row r="186" spans="2:42" x14ac:dyDescent="0.35">
      <c r="B186" s="49">
        <v>39965</v>
      </c>
      <c r="Y186" s="51" t="s">
        <v>29</v>
      </c>
      <c r="Z186" s="51" t="s">
        <v>2410</v>
      </c>
      <c r="AA186" s="51" t="s">
        <v>410</v>
      </c>
      <c r="AB186" s="102">
        <v>30.5</v>
      </c>
      <c r="AC186" s="103">
        <v>30</v>
      </c>
      <c r="AD186" s="55">
        <v>34.5</v>
      </c>
      <c r="AE186" s="103">
        <v>28</v>
      </c>
      <c r="AF186" s="103">
        <v>1</v>
      </c>
      <c r="AG186" s="102">
        <v>20.5</v>
      </c>
      <c r="AH186" s="103">
        <v>30</v>
      </c>
      <c r="AI186" s="55">
        <v>17.8</v>
      </c>
      <c r="AJ186" s="103">
        <v>20</v>
      </c>
      <c r="AK186" s="103">
        <v>1</v>
      </c>
      <c r="AL186" s="52">
        <v>59.2</v>
      </c>
      <c r="AM186" s="103">
        <v>30</v>
      </c>
      <c r="AN186" s="52">
        <v>31.8</v>
      </c>
      <c r="AO186" s="103">
        <v>28</v>
      </c>
      <c r="AP186" s="103">
        <v>2</v>
      </c>
    </row>
    <row r="187" spans="2:42" x14ac:dyDescent="0.35">
      <c r="B187" s="49">
        <v>39995</v>
      </c>
      <c r="Y187" s="51" t="s">
        <v>29</v>
      </c>
      <c r="Z187" s="51" t="s">
        <v>2410</v>
      </c>
      <c r="AA187" s="51" t="s">
        <v>112</v>
      </c>
      <c r="AB187" s="102">
        <v>30.1</v>
      </c>
      <c r="AC187" s="103">
        <v>31</v>
      </c>
      <c r="AD187" s="55">
        <v>33.4</v>
      </c>
      <c r="AE187" s="103">
        <v>1</v>
      </c>
      <c r="AF187" s="103">
        <v>1</v>
      </c>
      <c r="AG187" s="102">
        <v>17.100000000000001</v>
      </c>
      <c r="AH187" s="103">
        <v>31</v>
      </c>
      <c r="AI187" s="55">
        <v>10.9</v>
      </c>
      <c r="AJ187" s="103">
        <v>31</v>
      </c>
      <c r="AK187" s="103">
        <v>1</v>
      </c>
      <c r="AL187" s="52">
        <v>146.1</v>
      </c>
      <c r="AM187" s="103">
        <v>31</v>
      </c>
      <c r="AN187" s="52">
        <v>64.599999999999994</v>
      </c>
      <c r="AO187" s="103">
        <v>5</v>
      </c>
      <c r="AP187" s="103">
        <v>5</v>
      </c>
    </row>
    <row r="188" spans="2:42" x14ac:dyDescent="0.35">
      <c r="B188" s="49">
        <v>40026</v>
      </c>
      <c r="Y188" s="51" t="s">
        <v>29</v>
      </c>
      <c r="Z188" s="51" t="s">
        <v>2410</v>
      </c>
      <c r="AA188" s="51" t="s">
        <v>142</v>
      </c>
      <c r="AB188" s="102">
        <v>29.9</v>
      </c>
      <c r="AC188" s="103">
        <v>30</v>
      </c>
      <c r="AD188" s="55">
        <v>31.8</v>
      </c>
      <c r="AE188" s="103">
        <v>26</v>
      </c>
      <c r="AF188" s="103">
        <v>1</v>
      </c>
      <c r="AG188" s="102">
        <v>12.6</v>
      </c>
      <c r="AH188" s="103">
        <v>30</v>
      </c>
      <c r="AI188" s="55">
        <v>8.4</v>
      </c>
      <c r="AJ188" s="103">
        <v>20</v>
      </c>
      <c r="AK188" s="103">
        <v>1</v>
      </c>
      <c r="AL188" s="52">
        <v>110.4</v>
      </c>
      <c r="AM188" s="103">
        <v>30</v>
      </c>
      <c r="AN188" s="52">
        <v>108.8</v>
      </c>
      <c r="AO188" s="103">
        <v>10</v>
      </c>
      <c r="AP188" s="103">
        <v>1</v>
      </c>
    </row>
    <row r="189" spans="2:42" x14ac:dyDescent="0.35">
      <c r="B189" s="49">
        <v>40057</v>
      </c>
      <c r="Y189" s="51" t="s">
        <v>29</v>
      </c>
      <c r="Z189" s="51" t="s">
        <v>2410</v>
      </c>
      <c r="AA189" s="51" t="s">
        <v>30</v>
      </c>
      <c r="AB189" s="102">
        <v>29.5</v>
      </c>
      <c r="AC189" s="103">
        <v>31</v>
      </c>
      <c r="AD189" s="55">
        <v>31.9</v>
      </c>
      <c r="AE189" s="103">
        <v>27</v>
      </c>
      <c r="AF189" s="103">
        <v>1</v>
      </c>
      <c r="AG189" s="102">
        <v>12.2</v>
      </c>
      <c r="AH189" s="103">
        <v>31</v>
      </c>
      <c r="AI189" s="55">
        <v>8.1</v>
      </c>
      <c r="AJ189" s="103">
        <v>2</v>
      </c>
      <c r="AK189" s="103">
        <v>1</v>
      </c>
      <c r="AL189" s="52">
        <v>0</v>
      </c>
      <c r="AM189" s="103">
        <v>31</v>
      </c>
      <c r="AN189" s="52">
        <v>0</v>
      </c>
      <c r="AO189" s="103">
        <v>31</v>
      </c>
      <c r="AP189" s="103">
        <v>0</v>
      </c>
    </row>
    <row r="190" spans="2:42" x14ac:dyDescent="0.35">
      <c r="B190" s="49">
        <v>40087</v>
      </c>
      <c r="Y190" s="51" t="s">
        <v>29</v>
      </c>
      <c r="Z190" s="51" t="s">
        <v>2411</v>
      </c>
      <c r="AA190" s="51" t="s">
        <v>2469</v>
      </c>
      <c r="AB190" s="102">
        <v>29.4</v>
      </c>
      <c r="AC190" s="103">
        <v>31</v>
      </c>
      <c r="AD190" s="55">
        <v>31.9</v>
      </c>
      <c r="AE190" s="103">
        <v>25</v>
      </c>
      <c r="AF190" s="103">
        <v>1</v>
      </c>
      <c r="AG190" s="102">
        <v>11.6</v>
      </c>
      <c r="AH190" s="103">
        <v>31</v>
      </c>
      <c r="AI190" s="55">
        <v>5.9</v>
      </c>
      <c r="AJ190" s="103">
        <v>6</v>
      </c>
      <c r="AK190" s="103">
        <v>1</v>
      </c>
      <c r="AL190" s="52">
        <v>0</v>
      </c>
      <c r="AM190" s="103">
        <v>31</v>
      </c>
      <c r="AN190" s="52">
        <v>0</v>
      </c>
      <c r="AO190" s="103">
        <v>31</v>
      </c>
      <c r="AP190" s="103">
        <v>0</v>
      </c>
    </row>
    <row r="191" spans="2:42" x14ac:dyDescent="0.35">
      <c r="B191" s="49">
        <v>40118</v>
      </c>
      <c r="Y191" s="51" t="s">
        <v>29</v>
      </c>
      <c r="Z191" s="51" t="s">
        <v>2411</v>
      </c>
      <c r="AA191" s="51" t="s">
        <v>2470</v>
      </c>
      <c r="AB191" s="102">
        <v>31.4</v>
      </c>
      <c r="AC191" s="103">
        <v>28</v>
      </c>
      <c r="AD191" s="55">
        <v>34.5</v>
      </c>
      <c r="AE191" s="103">
        <v>27</v>
      </c>
      <c r="AF191" s="103">
        <v>1</v>
      </c>
      <c r="AG191" s="102">
        <v>13.4</v>
      </c>
      <c r="AH191" s="103">
        <v>28</v>
      </c>
      <c r="AI191" s="55">
        <v>9.4</v>
      </c>
      <c r="AJ191" s="103">
        <v>1</v>
      </c>
      <c r="AK191" s="103">
        <v>1</v>
      </c>
      <c r="AL191" s="52">
        <v>0</v>
      </c>
      <c r="AM191" s="103">
        <v>28</v>
      </c>
      <c r="AN191" s="52">
        <v>0</v>
      </c>
      <c r="AO191" s="103">
        <v>28</v>
      </c>
      <c r="AP191" s="103">
        <v>0</v>
      </c>
    </row>
    <row r="192" spans="2:42" x14ac:dyDescent="0.35">
      <c r="B192" s="49">
        <v>40148</v>
      </c>
      <c r="Y192" s="51" t="s">
        <v>29</v>
      </c>
      <c r="Z192" s="51" t="s">
        <v>2411</v>
      </c>
      <c r="AA192" s="51" t="s">
        <v>49</v>
      </c>
      <c r="AB192" s="102">
        <v>35.6</v>
      </c>
      <c r="AC192" s="103">
        <v>31</v>
      </c>
      <c r="AD192" s="55">
        <v>39.799999999999997</v>
      </c>
      <c r="AE192" s="103">
        <v>29</v>
      </c>
      <c r="AF192" s="103">
        <v>1</v>
      </c>
      <c r="AG192" s="102">
        <v>16</v>
      </c>
      <c r="AH192" s="103">
        <v>31</v>
      </c>
      <c r="AI192" s="55">
        <v>10.6</v>
      </c>
      <c r="AJ192" s="103">
        <v>2</v>
      </c>
      <c r="AK192" s="103">
        <v>1</v>
      </c>
      <c r="AL192" s="52">
        <v>0.4</v>
      </c>
      <c r="AM192" s="103">
        <v>31</v>
      </c>
      <c r="AN192" s="52">
        <v>0.4</v>
      </c>
      <c r="AO192" s="103">
        <v>30</v>
      </c>
      <c r="AP192" s="103">
        <v>0</v>
      </c>
    </row>
    <row r="193" spans="2:42" x14ac:dyDescent="0.35">
      <c r="B193" s="49">
        <v>40148</v>
      </c>
      <c r="Y193" s="51" t="s">
        <v>29</v>
      </c>
      <c r="Z193" s="51" t="s">
        <v>2411</v>
      </c>
      <c r="AA193" s="51" t="s">
        <v>2471</v>
      </c>
      <c r="AB193" s="102">
        <v>37.700000000000003</v>
      </c>
      <c r="AC193" s="103">
        <v>29</v>
      </c>
      <c r="AD193" s="55">
        <v>40.5</v>
      </c>
      <c r="AE193" s="103">
        <v>23</v>
      </c>
      <c r="AF193" s="103">
        <v>1</v>
      </c>
      <c r="AG193" s="102">
        <v>19.3</v>
      </c>
      <c r="AH193" s="103">
        <v>30</v>
      </c>
      <c r="AI193" s="55">
        <v>12.5</v>
      </c>
      <c r="AJ193" s="103">
        <v>2</v>
      </c>
      <c r="AK193" s="103">
        <v>1</v>
      </c>
      <c r="AL193" s="52">
        <v>0</v>
      </c>
      <c r="AM193" s="103">
        <v>30</v>
      </c>
      <c r="AN193" s="52">
        <v>0</v>
      </c>
      <c r="AO193" s="103">
        <v>30</v>
      </c>
      <c r="AP193" s="103">
        <v>0</v>
      </c>
    </row>
    <row r="194" spans="2:42" x14ac:dyDescent="0.35">
      <c r="B194" s="49">
        <v>40179</v>
      </c>
      <c r="Y194" s="51" t="s">
        <v>29</v>
      </c>
      <c r="Z194" s="51" t="s">
        <v>2411</v>
      </c>
      <c r="AA194" s="51" t="s">
        <v>250</v>
      </c>
      <c r="AB194" s="102">
        <v>36.799999999999997</v>
      </c>
      <c r="AC194" s="103">
        <v>30</v>
      </c>
      <c r="AD194" s="55">
        <v>40.200000000000003</v>
      </c>
      <c r="AE194" s="103">
        <v>2</v>
      </c>
      <c r="AF194" s="103">
        <v>1</v>
      </c>
      <c r="AG194" s="102">
        <v>22.6</v>
      </c>
      <c r="AH194" s="103">
        <v>31</v>
      </c>
      <c r="AI194" s="55">
        <v>17.899999999999999</v>
      </c>
      <c r="AJ194" s="103">
        <v>7</v>
      </c>
      <c r="AK194" s="103">
        <v>1</v>
      </c>
      <c r="AL194" s="52">
        <v>32</v>
      </c>
      <c r="AM194" s="103">
        <v>31</v>
      </c>
      <c r="AN194" s="52">
        <v>30</v>
      </c>
      <c r="AO194" s="103">
        <v>4</v>
      </c>
      <c r="AP194" s="103">
        <v>1</v>
      </c>
    </row>
    <row r="195" spans="2:42" x14ac:dyDescent="0.35">
      <c r="B195" s="49">
        <v>40210</v>
      </c>
      <c r="Y195" s="51" t="s">
        <v>29</v>
      </c>
      <c r="Z195" s="51" t="s">
        <v>2411</v>
      </c>
      <c r="AA195" s="51" t="s">
        <v>2472</v>
      </c>
      <c r="AB195" s="102">
        <v>30.9</v>
      </c>
      <c r="AC195" s="103">
        <v>30</v>
      </c>
      <c r="AD195" s="55">
        <v>36.1</v>
      </c>
      <c r="AE195" s="103">
        <v>2</v>
      </c>
      <c r="AF195" s="103">
        <v>1</v>
      </c>
      <c r="AG195" s="102">
        <v>22.4</v>
      </c>
      <c r="AH195" s="103">
        <v>30</v>
      </c>
      <c r="AI195" s="55">
        <v>20.399999999999999</v>
      </c>
      <c r="AJ195" s="103">
        <v>16</v>
      </c>
      <c r="AK195" s="103">
        <v>1</v>
      </c>
      <c r="AL195" s="52">
        <v>264.10000000000002</v>
      </c>
      <c r="AM195" s="103">
        <v>30</v>
      </c>
      <c r="AN195" s="52">
        <v>46</v>
      </c>
      <c r="AO195" s="103">
        <v>4</v>
      </c>
      <c r="AP195" s="103">
        <v>17</v>
      </c>
    </row>
    <row r="196" spans="2:42" x14ac:dyDescent="0.35">
      <c r="B196" s="49">
        <v>40238</v>
      </c>
      <c r="Y196" s="51" t="s">
        <v>29</v>
      </c>
      <c r="Z196" s="51" t="s">
        <v>2411</v>
      </c>
      <c r="AA196" s="51" t="s">
        <v>2473</v>
      </c>
      <c r="AB196" s="102">
        <v>27.9</v>
      </c>
      <c r="AC196" s="103">
        <v>31</v>
      </c>
      <c r="AD196" s="55">
        <v>31.2</v>
      </c>
      <c r="AE196" s="103">
        <v>4</v>
      </c>
      <c r="AF196" s="103">
        <v>1</v>
      </c>
      <c r="AG196" s="102">
        <v>21.8</v>
      </c>
      <c r="AH196" s="103">
        <v>31</v>
      </c>
      <c r="AI196" s="55">
        <v>20.5</v>
      </c>
      <c r="AJ196" s="103">
        <v>1</v>
      </c>
      <c r="AK196" s="103">
        <v>1</v>
      </c>
      <c r="AL196" s="52">
        <v>63.9</v>
      </c>
      <c r="AM196" s="103">
        <v>31</v>
      </c>
      <c r="AN196" s="52">
        <v>12.6</v>
      </c>
      <c r="AO196" s="103">
        <v>18</v>
      </c>
      <c r="AP196" s="103">
        <v>9</v>
      </c>
    </row>
    <row r="197" spans="2:42" x14ac:dyDescent="0.35">
      <c r="B197" s="49">
        <v>40269</v>
      </c>
      <c r="Y197" s="51" t="s">
        <v>29</v>
      </c>
      <c r="Z197" s="51" t="s">
        <v>2411</v>
      </c>
      <c r="AA197" s="51" t="s">
        <v>2474</v>
      </c>
      <c r="AB197" s="102">
        <v>27.1</v>
      </c>
      <c r="AC197" s="103">
        <v>31</v>
      </c>
      <c r="AD197" s="55">
        <v>28.9</v>
      </c>
      <c r="AE197" s="103">
        <v>31</v>
      </c>
      <c r="AF197" s="103">
        <v>2</v>
      </c>
      <c r="AG197" s="102">
        <v>20.8</v>
      </c>
      <c r="AH197" s="103">
        <v>31</v>
      </c>
      <c r="AI197" s="55">
        <v>18</v>
      </c>
      <c r="AJ197" s="103">
        <v>29</v>
      </c>
      <c r="AK197" s="103">
        <v>1</v>
      </c>
      <c r="AL197" s="52">
        <v>99.9</v>
      </c>
      <c r="AM197" s="103">
        <v>31</v>
      </c>
      <c r="AN197" s="52">
        <v>25.1</v>
      </c>
      <c r="AO197" s="103">
        <v>13</v>
      </c>
      <c r="AP197" s="103">
        <v>8</v>
      </c>
    </row>
    <row r="198" spans="2:42" x14ac:dyDescent="0.35">
      <c r="B198" s="49">
        <v>40299</v>
      </c>
      <c r="Y198" s="51" t="s">
        <v>29</v>
      </c>
      <c r="Z198" s="51" t="s">
        <v>2411</v>
      </c>
      <c r="AA198" s="51" t="s">
        <v>410</v>
      </c>
      <c r="AB198" s="102">
        <v>30.6</v>
      </c>
      <c r="AC198" s="103">
        <v>30</v>
      </c>
      <c r="AD198" s="55">
        <v>33.9</v>
      </c>
      <c r="AE198" s="103">
        <v>30</v>
      </c>
      <c r="AF198" s="103">
        <v>2</v>
      </c>
      <c r="AG198" s="102">
        <v>20.399999999999999</v>
      </c>
      <c r="AH198" s="103">
        <v>30</v>
      </c>
      <c r="AI198" s="55">
        <v>17.600000000000001</v>
      </c>
      <c r="AJ198" s="103">
        <v>1</v>
      </c>
      <c r="AK198" s="103">
        <v>1</v>
      </c>
      <c r="AL198" s="52">
        <v>71.400000000000006</v>
      </c>
      <c r="AM198" s="103">
        <v>30</v>
      </c>
      <c r="AN198" s="52">
        <v>28</v>
      </c>
      <c r="AO198" s="103">
        <v>24</v>
      </c>
      <c r="AP198" s="103">
        <v>4</v>
      </c>
    </row>
    <row r="199" spans="2:42" x14ac:dyDescent="0.35">
      <c r="B199" s="49">
        <v>40330</v>
      </c>
      <c r="Y199" s="51" t="s">
        <v>29</v>
      </c>
      <c r="Z199" s="51" t="s">
        <v>2411</v>
      </c>
      <c r="AA199" s="51" t="s">
        <v>112</v>
      </c>
      <c r="AB199" s="102">
        <v>33.9</v>
      </c>
      <c r="AC199" s="103">
        <v>31</v>
      </c>
      <c r="AD199" s="55">
        <v>36.9</v>
      </c>
      <c r="AE199" s="103">
        <v>15</v>
      </c>
      <c r="AF199" s="103">
        <v>1</v>
      </c>
      <c r="AG199" s="102">
        <v>17.2</v>
      </c>
      <c r="AH199" s="103">
        <v>31</v>
      </c>
      <c r="AI199" s="55">
        <v>11.8</v>
      </c>
      <c r="AJ199" s="103">
        <v>28</v>
      </c>
      <c r="AK199" s="103">
        <v>1</v>
      </c>
      <c r="AL199" s="52">
        <v>0.6</v>
      </c>
      <c r="AM199" s="103">
        <v>31</v>
      </c>
      <c r="AN199" s="52">
        <v>0.5</v>
      </c>
      <c r="AO199" s="103">
        <v>3</v>
      </c>
      <c r="AP199" s="103">
        <v>0</v>
      </c>
    </row>
    <row r="200" spans="2:42" x14ac:dyDescent="0.35">
      <c r="B200" s="49">
        <v>40360</v>
      </c>
      <c r="Y200" s="51" t="s">
        <v>29</v>
      </c>
      <c r="Z200" s="51" t="s">
        <v>2411</v>
      </c>
      <c r="AA200" s="51" t="s">
        <v>142</v>
      </c>
      <c r="AB200" s="102">
        <v>31.6</v>
      </c>
      <c r="AC200" s="103">
        <v>30</v>
      </c>
      <c r="AD200" s="55">
        <v>34.200000000000003</v>
      </c>
      <c r="AE200" s="103">
        <v>11</v>
      </c>
      <c r="AF200" s="103">
        <v>1</v>
      </c>
      <c r="AG200" s="102">
        <v>15.1</v>
      </c>
      <c r="AH200" s="103">
        <v>30</v>
      </c>
      <c r="AI200" s="55">
        <v>9.4</v>
      </c>
      <c r="AJ200" s="103">
        <v>24</v>
      </c>
      <c r="AK200" s="103">
        <v>1</v>
      </c>
      <c r="AL200" s="52">
        <v>2.2999999999999998</v>
      </c>
      <c r="AM200" s="103">
        <v>30</v>
      </c>
      <c r="AN200" s="52">
        <v>1.8</v>
      </c>
      <c r="AO200" s="103">
        <v>6</v>
      </c>
      <c r="AP200" s="103">
        <v>0</v>
      </c>
    </row>
    <row r="201" spans="2:42" x14ac:dyDescent="0.35">
      <c r="B201" s="49">
        <v>40391</v>
      </c>
      <c r="Y201" s="51" t="s">
        <v>29</v>
      </c>
      <c r="Z201" s="51" t="s">
        <v>2411</v>
      </c>
      <c r="AA201" s="51" t="s">
        <v>30</v>
      </c>
      <c r="AB201" s="102">
        <v>29.1</v>
      </c>
      <c r="AC201" s="103">
        <v>31</v>
      </c>
      <c r="AD201" s="55">
        <v>32.1</v>
      </c>
      <c r="AE201" s="103">
        <v>13</v>
      </c>
      <c r="AF201" s="103">
        <v>1</v>
      </c>
      <c r="AG201" s="102">
        <v>11.7</v>
      </c>
      <c r="AH201" s="103">
        <v>31</v>
      </c>
      <c r="AI201" s="55">
        <v>8.9</v>
      </c>
      <c r="AJ201" s="103">
        <v>7</v>
      </c>
      <c r="AK201" s="103">
        <v>1</v>
      </c>
      <c r="AL201" s="52">
        <v>35.5</v>
      </c>
      <c r="AM201" s="103">
        <v>31</v>
      </c>
      <c r="AN201" s="52">
        <v>34.299999999999997</v>
      </c>
      <c r="AO201" s="103">
        <v>28</v>
      </c>
      <c r="AP201" s="103">
        <v>1</v>
      </c>
    </row>
    <row r="202" spans="2:42" x14ac:dyDescent="0.35">
      <c r="B202" s="49">
        <v>40422</v>
      </c>
      <c r="Y202" s="51" t="s">
        <v>29</v>
      </c>
      <c r="Z202" s="51" t="s">
        <v>2412</v>
      </c>
      <c r="AA202" s="51" t="s">
        <v>2469</v>
      </c>
      <c r="AB202" s="102">
        <v>30.1</v>
      </c>
      <c r="AC202" s="103">
        <v>31</v>
      </c>
      <c r="AD202" s="55">
        <v>33.5</v>
      </c>
      <c r="AE202" s="103">
        <v>31</v>
      </c>
      <c r="AF202" s="103">
        <v>1</v>
      </c>
      <c r="AG202" s="102">
        <v>13.1</v>
      </c>
      <c r="AH202" s="103">
        <v>31</v>
      </c>
      <c r="AI202" s="55">
        <v>8.8000000000000007</v>
      </c>
      <c r="AJ202" s="103">
        <v>12</v>
      </c>
      <c r="AK202" s="103">
        <v>1</v>
      </c>
      <c r="AL202" s="52">
        <v>5.2</v>
      </c>
      <c r="AM202" s="103">
        <v>31</v>
      </c>
      <c r="AN202" s="52">
        <v>5.2</v>
      </c>
      <c r="AO202" s="103">
        <v>23</v>
      </c>
      <c r="AP202" s="103">
        <v>1</v>
      </c>
    </row>
    <row r="203" spans="2:42" x14ac:dyDescent="0.35">
      <c r="B203" s="49">
        <v>40452</v>
      </c>
      <c r="Y203" s="51" t="s">
        <v>29</v>
      </c>
      <c r="Z203" s="51" t="s">
        <v>2412</v>
      </c>
      <c r="AA203" s="51" t="s">
        <v>2470</v>
      </c>
      <c r="AB203" s="102">
        <v>31.6</v>
      </c>
      <c r="AC203" s="103">
        <v>28</v>
      </c>
      <c r="AD203" s="55">
        <v>34.1</v>
      </c>
      <c r="AE203" s="103">
        <v>24</v>
      </c>
      <c r="AF203" s="103">
        <v>1</v>
      </c>
      <c r="AG203" s="102">
        <v>12.1</v>
      </c>
      <c r="AH203" s="103">
        <v>28</v>
      </c>
      <c r="AI203" s="55">
        <v>8.6</v>
      </c>
      <c r="AJ203" s="103">
        <v>27</v>
      </c>
      <c r="AK203" s="103">
        <v>1</v>
      </c>
      <c r="AL203" s="52">
        <v>2.5</v>
      </c>
      <c r="AM203" s="103">
        <v>28</v>
      </c>
      <c r="AN203" s="52">
        <v>2.5</v>
      </c>
      <c r="AO203" s="103">
        <v>21</v>
      </c>
      <c r="AP203" s="103">
        <v>1</v>
      </c>
    </row>
    <row r="204" spans="2:42" x14ac:dyDescent="0.35">
      <c r="B204" s="49">
        <v>40483</v>
      </c>
      <c r="Y204" s="51" t="s">
        <v>29</v>
      </c>
      <c r="Z204" s="51" t="s">
        <v>2412</v>
      </c>
      <c r="AA204" s="51" t="s">
        <v>49</v>
      </c>
      <c r="AB204" s="102">
        <v>34.6</v>
      </c>
      <c r="AC204" s="103">
        <v>31</v>
      </c>
      <c r="AD204" s="55">
        <v>39</v>
      </c>
      <c r="AE204" s="103">
        <v>31</v>
      </c>
      <c r="AF204" s="103">
        <v>1</v>
      </c>
      <c r="AG204" s="102">
        <v>16.5</v>
      </c>
      <c r="AH204" s="103">
        <v>31</v>
      </c>
      <c r="AI204" s="55">
        <v>11.1</v>
      </c>
      <c r="AJ204" s="103">
        <v>1</v>
      </c>
      <c r="AK204" s="103">
        <v>1</v>
      </c>
      <c r="AL204" s="52">
        <v>0</v>
      </c>
      <c r="AM204" s="103">
        <v>31</v>
      </c>
      <c r="AN204" s="52">
        <v>0</v>
      </c>
      <c r="AO204" s="103">
        <v>31</v>
      </c>
      <c r="AP204" s="103">
        <v>0</v>
      </c>
    </row>
    <row r="205" spans="2:42" x14ac:dyDescent="0.35">
      <c r="B205" s="49">
        <v>40513</v>
      </c>
      <c r="Y205" s="51" t="s">
        <v>29</v>
      </c>
      <c r="Z205" s="51" t="s">
        <v>2412</v>
      </c>
      <c r="AA205" s="51" t="s">
        <v>2471</v>
      </c>
      <c r="AB205" s="102">
        <v>37.9</v>
      </c>
      <c r="AC205" s="103">
        <v>30</v>
      </c>
      <c r="AD205" s="55">
        <v>41.6</v>
      </c>
      <c r="AE205" s="103">
        <v>22</v>
      </c>
      <c r="AF205" s="103">
        <v>1</v>
      </c>
      <c r="AG205" s="102">
        <v>20.100000000000001</v>
      </c>
      <c r="AH205" s="103">
        <v>30</v>
      </c>
      <c r="AI205" s="55">
        <v>16.399999999999999</v>
      </c>
      <c r="AJ205" s="103">
        <v>26</v>
      </c>
      <c r="AK205" s="103">
        <v>1</v>
      </c>
      <c r="AL205" s="52">
        <v>4</v>
      </c>
      <c r="AM205" s="103">
        <v>30</v>
      </c>
      <c r="AN205" s="52">
        <v>4</v>
      </c>
      <c r="AO205" s="103">
        <v>17</v>
      </c>
      <c r="AP205" s="103">
        <v>1</v>
      </c>
    </row>
    <row r="206" spans="2:42" x14ac:dyDescent="0.35">
      <c r="B206" s="47">
        <v>39814</v>
      </c>
      <c r="Y206" s="51" t="s">
        <v>29</v>
      </c>
      <c r="Z206" s="51" t="s">
        <v>2412</v>
      </c>
      <c r="AA206" s="51" t="s">
        <v>250</v>
      </c>
      <c r="AB206" s="102">
        <v>36.9</v>
      </c>
      <c r="AC206" s="103">
        <v>31</v>
      </c>
      <c r="AD206" s="55">
        <v>40.299999999999997</v>
      </c>
      <c r="AE206" s="103">
        <v>22</v>
      </c>
      <c r="AF206" s="103">
        <v>1</v>
      </c>
      <c r="AG206" s="102">
        <v>21.7</v>
      </c>
      <c r="AH206" s="103">
        <v>31</v>
      </c>
      <c r="AI206" s="55">
        <v>19.2</v>
      </c>
      <c r="AJ206" s="103">
        <v>16</v>
      </c>
      <c r="AK206" s="103">
        <v>1</v>
      </c>
      <c r="AL206" s="52">
        <v>116.8</v>
      </c>
      <c r="AM206" s="103">
        <v>31</v>
      </c>
      <c r="AN206" s="52">
        <v>27.2</v>
      </c>
      <c r="AO206" s="103">
        <v>24</v>
      </c>
      <c r="AP206" s="103">
        <v>7</v>
      </c>
    </row>
    <row r="207" spans="2:42" x14ac:dyDescent="0.35">
      <c r="B207" s="47">
        <v>39845</v>
      </c>
      <c r="Y207" s="51" t="s">
        <v>29</v>
      </c>
      <c r="Z207" s="51" t="s">
        <v>2412</v>
      </c>
      <c r="AA207" s="51" t="s">
        <v>2472</v>
      </c>
      <c r="AB207" s="102">
        <v>33.1</v>
      </c>
      <c r="AC207" s="103">
        <v>30</v>
      </c>
      <c r="AD207" s="55">
        <v>40</v>
      </c>
      <c r="AE207" s="103">
        <v>1</v>
      </c>
      <c r="AF207" s="103">
        <v>1</v>
      </c>
      <c r="AG207" s="102">
        <v>23</v>
      </c>
      <c r="AH207" s="103">
        <v>30</v>
      </c>
      <c r="AI207" s="55">
        <v>20.6</v>
      </c>
      <c r="AJ207" s="103">
        <v>17</v>
      </c>
      <c r="AK207" s="103">
        <v>1</v>
      </c>
      <c r="AL207" s="52">
        <v>72.7</v>
      </c>
      <c r="AM207" s="103">
        <v>30</v>
      </c>
      <c r="AN207" s="52">
        <v>18.600000000000001</v>
      </c>
      <c r="AO207" s="103">
        <v>25</v>
      </c>
      <c r="AP207" s="103">
        <v>7</v>
      </c>
    </row>
    <row r="208" spans="2:42" x14ac:dyDescent="0.35">
      <c r="B208" s="49">
        <v>39873</v>
      </c>
      <c r="Y208" s="51" t="s">
        <v>29</v>
      </c>
      <c r="Z208" s="51" t="s">
        <v>2412</v>
      </c>
      <c r="AA208" s="51" t="s">
        <v>2473</v>
      </c>
      <c r="AB208" s="102">
        <v>29.5</v>
      </c>
      <c r="AC208" s="103">
        <v>31</v>
      </c>
      <c r="AD208" s="55">
        <v>31.3</v>
      </c>
      <c r="AE208" s="103">
        <v>11</v>
      </c>
      <c r="AF208" s="103">
        <v>1</v>
      </c>
      <c r="AG208" s="102">
        <v>22.6</v>
      </c>
      <c r="AH208" s="103">
        <v>31</v>
      </c>
      <c r="AI208" s="55">
        <v>20.7</v>
      </c>
      <c r="AJ208" s="103">
        <v>6</v>
      </c>
      <c r="AK208" s="103">
        <v>1</v>
      </c>
      <c r="AL208" s="52">
        <v>61</v>
      </c>
      <c r="AM208" s="103">
        <v>31</v>
      </c>
      <c r="AN208" s="52">
        <v>21</v>
      </c>
      <c r="AO208" s="103">
        <v>7</v>
      </c>
      <c r="AP208" s="103">
        <v>6</v>
      </c>
    </row>
    <row r="209" spans="2:42" x14ac:dyDescent="0.35">
      <c r="B209" s="49">
        <v>39904</v>
      </c>
      <c r="Y209" s="51" t="s">
        <v>29</v>
      </c>
      <c r="Z209" s="51" t="s">
        <v>2412</v>
      </c>
      <c r="AA209" s="51" t="s">
        <v>2474</v>
      </c>
      <c r="AB209" s="102">
        <v>29.2</v>
      </c>
      <c r="AC209" s="103">
        <v>31</v>
      </c>
      <c r="AD209" s="55">
        <v>31.8</v>
      </c>
      <c r="AE209" s="103">
        <v>4</v>
      </c>
      <c r="AF209" s="103">
        <v>1</v>
      </c>
      <c r="AG209" s="102">
        <v>22.6</v>
      </c>
      <c r="AH209" s="103">
        <v>31</v>
      </c>
      <c r="AI209" s="55">
        <v>20.399999999999999</v>
      </c>
      <c r="AJ209" s="103">
        <v>20</v>
      </c>
      <c r="AK209" s="103">
        <v>1</v>
      </c>
      <c r="AL209" s="52">
        <v>223.6</v>
      </c>
      <c r="AM209" s="103">
        <v>31</v>
      </c>
      <c r="AN209" s="52">
        <v>141.69999999999999</v>
      </c>
      <c r="AO209" s="103">
        <v>17</v>
      </c>
      <c r="AP209" s="103">
        <v>7</v>
      </c>
    </row>
    <row r="210" spans="2:42" x14ac:dyDescent="0.35">
      <c r="B210" s="49">
        <v>39934</v>
      </c>
      <c r="Y210" s="51" t="s">
        <v>29</v>
      </c>
      <c r="Z210" s="51" t="s">
        <v>2412</v>
      </c>
      <c r="AA210" s="51" t="s">
        <v>410</v>
      </c>
      <c r="AB210" s="102">
        <v>30.8</v>
      </c>
      <c r="AC210" s="103">
        <v>30</v>
      </c>
      <c r="AD210" s="55">
        <v>35</v>
      </c>
      <c r="AE210" s="103">
        <v>20</v>
      </c>
      <c r="AF210" s="103">
        <v>1</v>
      </c>
      <c r="AG210" s="102">
        <v>21.4</v>
      </c>
      <c r="AH210" s="103">
        <v>30</v>
      </c>
      <c r="AI210" s="55">
        <v>16.399999999999999</v>
      </c>
      <c r="AJ210" s="103">
        <v>17</v>
      </c>
      <c r="AK210" s="103">
        <v>1</v>
      </c>
      <c r="AL210" s="52">
        <v>23.1</v>
      </c>
      <c r="AM210" s="103">
        <v>30</v>
      </c>
      <c r="AN210" s="52">
        <v>8.5</v>
      </c>
      <c r="AO210" s="103">
        <v>25</v>
      </c>
      <c r="AP210" s="103">
        <v>3</v>
      </c>
    </row>
    <row r="211" spans="2:42" x14ac:dyDescent="0.35">
      <c r="B211" s="49">
        <v>39965</v>
      </c>
      <c r="Y211" s="51" t="s">
        <v>29</v>
      </c>
      <c r="Z211" s="51" t="s">
        <v>2412</v>
      </c>
      <c r="AA211" s="51" t="s">
        <v>112</v>
      </c>
      <c r="AB211" s="102">
        <v>31.2</v>
      </c>
      <c r="AC211" s="103">
        <v>31</v>
      </c>
      <c r="AD211" s="55">
        <v>33.9</v>
      </c>
      <c r="AE211" s="103">
        <v>15</v>
      </c>
      <c r="AF211" s="103">
        <v>1</v>
      </c>
      <c r="AG211" s="102">
        <v>18</v>
      </c>
      <c r="AH211" s="103">
        <v>31</v>
      </c>
      <c r="AI211" s="55">
        <v>11.1</v>
      </c>
      <c r="AJ211" s="103">
        <v>29</v>
      </c>
      <c r="AK211" s="103">
        <v>1</v>
      </c>
      <c r="AL211" s="52">
        <v>166.4</v>
      </c>
      <c r="AM211" s="103">
        <v>31</v>
      </c>
      <c r="AN211" s="52">
        <v>61.1</v>
      </c>
      <c r="AO211" s="103">
        <v>5</v>
      </c>
      <c r="AP211" s="103">
        <v>7</v>
      </c>
    </row>
    <row r="212" spans="2:42" x14ac:dyDescent="0.35">
      <c r="B212" s="49">
        <v>39995</v>
      </c>
      <c r="Y212" s="51" t="s">
        <v>29</v>
      </c>
      <c r="Z212" s="51" t="s">
        <v>2412</v>
      </c>
      <c r="AA212" s="51" t="s">
        <v>142</v>
      </c>
      <c r="AB212" s="102">
        <v>30.7</v>
      </c>
      <c r="AC212" s="103">
        <v>30</v>
      </c>
      <c r="AD212" s="55">
        <v>32.799999999999997</v>
      </c>
      <c r="AE212" s="103">
        <v>8</v>
      </c>
      <c r="AF212" s="103">
        <v>1</v>
      </c>
      <c r="AG212" s="102">
        <v>16</v>
      </c>
      <c r="AH212" s="103">
        <v>30</v>
      </c>
      <c r="AI212" s="55">
        <v>10.8</v>
      </c>
      <c r="AJ212" s="103">
        <v>10</v>
      </c>
      <c r="AK212" s="103">
        <v>1</v>
      </c>
      <c r="AL212" s="52">
        <v>8.3000000000000007</v>
      </c>
      <c r="AM212" s="103">
        <v>30</v>
      </c>
      <c r="AN212" s="52">
        <v>4.4000000000000004</v>
      </c>
      <c r="AO212" s="103">
        <v>5</v>
      </c>
      <c r="AP212" s="103">
        <v>1</v>
      </c>
    </row>
    <row r="213" spans="2:42" x14ac:dyDescent="0.35">
      <c r="B213" s="49">
        <v>40026</v>
      </c>
      <c r="Y213" s="51" t="s">
        <v>29</v>
      </c>
      <c r="Z213" s="51" t="s">
        <v>2412</v>
      </c>
      <c r="AA213" s="51" t="s">
        <v>30</v>
      </c>
      <c r="AB213" s="102">
        <v>28.4</v>
      </c>
      <c r="AC213" s="103">
        <v>31</v>
      </c>
      <c r="AD213" s="55">
        <v>31.9</v>
      </c>
      <c r="AE213" s="103">
        <v>6</v>
      </c>
      <c r="AF213" s="103">
        <v>1</v>
      </c>
      <c r="AG213" s="102">
        <v>12.4</v>
      </c>
      <c r="AH213" s="103">
        <v>31</v>
      </c>
      <c r="AI213" s="55">
        <v>6.8</v>
      </c>
      <c r="AJ213" s="103">
        <v>20</v>
      </c>
      <c r="AK213" s="103">
        <v>1</v>
      </c>
      <c r="AL213" s="52">
        <v>35.299999999999997</v>
      </c>
      <c r="AM213" s="103">
        <v>31</v>
      </c>
      <c r="AN213" s="52">
        <v>19.2</v>
      </c>
      <c r="AO213" s="103">
        <v>11</v>
      </c>
      <c r="AP213" s="103">
        <v>3</v>
      </c>
    </row>
    <row r="214" spans="2:42" x14ac:dyDescent="0.35">
      <c r="B214" s="49">
        <v>40057</v>
      </c>
      <c r="Y214" s="51" t="s">
        <v>29</v>
      </c>
      <c r="Z214" s="51" t="s">
        <v>2413</v>
      </c>
      <c r="AA214" s="51" t="s">
        <v>2469</v>
      </c>
      <c r="AB214" s="102">
        <v>30.1</v>
      </c>
      <c r="AC214" s="103">
        <v>31</v>
      </c>
      <c r="AD214" s="55">
        <v>33.6</v>
      </c>
      <c r="AE214" s="103">
        <v>31</v>
      </c>
      <c r="AF214" s="103">
        <v>1</v>
      </c>
      <c r="AG214" s="102">
        <v>12</v>
      </c>
      <c r="AH214" s="103">
        <v>31</v>
      </c>
      <c r="AI214" s="55">
        <v>10.199999999999999</v>
      </c>
      <c r="AJ214" s="103">
        <v>2</v>
      </c>
      <c r="AK214" s="103">
        <v>1</v>
      </c>
      <c r="AL214" s="52">
        <v>0</v>
      </c>
      <c r="AM214" s="103">
        <v>31</v>
      </c>
      <c r="AN214" s="52">
        <v>0</v>
      </c>
      <c r="AO214" s="103">
        <v>31</v>
      </c>
      <c r="AP214" s="103">
        <v>0</v>
      </c>
    </row>
    <row r="215" spans="2:42" x14ac:dyDescent="0.35">
      <c r="B215" s="49">
        <v>40087</v>
      </c>
      <c r="Y215" s="51" t="s">
        <v>29</v>
      </c>
      <c r="Z215" s="51" t="s">
        <v>2413</v>
      </c>
      <c r="AA215" s="51" t="s">
        <v>2470</v>
      </c>
      <c r="AB215" s="102">
        <v>33.299999999999997</v>
      </c>
      <c r="AC215" s="103">
        <v>29</v>
      </c>
      <c r="AD215" s="55">
        <v>36.4</v>
      </c>
      <c r="AE215" s="103">
        <v>21</v>
      </c>
      <c r="AF215" s="103">
        <v>1</v>
      </c>
      <c r="AG215" s="102">
        <v>12.5</v>
      </c>
      <c r="AH215" s="103">
        <v>29</v>
      </c>
      <c r="AI215" s="55">
        <v>8.1999999999999993</v>
      </c>
      <c r="AJ215" s="103">
        <v>8</v>
      </c>
      <c r="AK215" s="103">
        <v>1</v>
      </c>
      <c r="AL215" s="52">
        <v>0</v>
      </c>
      <c r="AM215" s="103">
        <v>29</v>
      </c>
      <c r="AN215" s="52">
        <v>0</v>
      </c>
      <c r="AO215" s="103">
        <v>29</v>
      </c>
      <c r="AP215" s="103">
        <v>0</v>
      </c>
    </row>
    <row r="216" spans="2:42" x14ac:dyDescent="0.35">
      <c r="B216" s="49">
        <v>40118</v>
      </c>
      <c r="Y216" s="51" t="s">
        <v>29</v>
      </c>
      <c r="Z216" s="51" t="s">
        <v>2413</v>
      </c>
      <c r="AA216" s="51" t="s">
        <v>49</v>
      </c>
      <c r="AB216" s="102">
        <v>35</v>
      </c>
      <c r="AC216" s="103">
        <v>31</v>
      </c>
      <c r="AD216" s="55">
        <v>37.4</v>
      </c>
      <c r="AE216" s="103">
        <v>17</v>
      </c>
      <c r="AF216" s="103">
        <v>1</v>
      </c>
      <c r="AG216" s="102">
        <v>15</v>
      </c>
      <c r="AH216" s="103">
        <v>31</v>
      </c>
      <c r="AI216" s="55">
        <v>10.199999999999999</v>
      </c>
      <c r="AJ216" s="103">
        <v>3</v>
      </c>
      <c r="AK216" s="103">
        <v>1</v>
      </c>
      <c r="AL216" s="52">
        <v>0</v>
      </c>
      <c r="AM216" s="103">
        <v>31</v>
      </c>
      <c r="AN216" s="52">
        <v>0</v>
      </c>
      <c r="AO216" s="103">
        <v>31</v>
      </c>
      <c r="AP216" s="103">
        <v>0</v>
      </c>
    </row>
    <row r="217" spans="2:42" x14ac:dyDescent="0.35">
      <c r="B217" s="49">
        <v>40148</v>
      </c>
      <c r="Y217" s="51" t="s">
        <v>29</v>
      </c>
      <c r="Z217" s="51" t="s">
        <v>2413</v>
      </c>
      <c r="AA217" s="51" t="s">
        <v>2471</v>
      </c>
      <c r="AB217" s="102">
        <v>37.200000000000003</v>
      </c>
      <c r="AC217" s="103">
        <v>30</v>
      </c>
      <c r="AD217" s="55">
        <v>39.9</v>
      </c>
      <c r="AE217" s="103">
        <v>5</v>
      </c>
      <c r="AF217" s="103">
        <v>1</v>
      </c>
      <c r="AG217" s="102">
        <v>20.100000000000001</v>
      </c>
      <c r="AH217" s="103">
        <v>30</v>
      </c>
      <c r="AI217" s="55">
        <v>16.8</v>
      </c>
      <c r="AJ217" s="103">
        <v>1</v>
      </c>
      <c r="AK217" s="103">
        <v>1</v>
      </c>
      <c r="AL217" s="52">
        <v>48</v>
      </c>
      <c r="AM217" s="103">
        <v>30</v>
      </c>
      <c r="AN217" s="52">
        <v>23.2</v>
      </c>
      <c r="AO217" s="103">
        <v>28</v>
      </c>
      <c r="AP217" s="103">
        <v>3</v>
      </c>
    </row>
    <row r="218" spans="2:42" x14ac:dyDescent="0.35">
      <c r="B218" s="49">
        <v>40148</v>
      </c>
      <c r="Y218" s="51" t="s">
        <v>29</v>
      </c>
      <c r="Z218" s="51" t="s">
        <v>2413</v>
      </c>
      <c r="AA218" s="51" t="s">
        <v>250</v>
      </c>
      <c r="AB218" s="102">
        <v>36.4</v>
      </c>
      <c r="AC218" s="103">
        <v>31</v>
      </c>
      <c r="AD218" s="55">
        <v>41.8</v>
      </c>
      <c r="AE218" s="103">
        <v>9</v>
      </c>
      <c r="AF218" s="103">
        <v>1</v>
      </c>
      <c r="AG218" s="102">
        <v>22.4</v>
      </c>
      <c r="AH218" s="103">
        <v>31</v>
      </c>
      <c r="AI218" s="55">
        <v>17.2</v>
      </c>
      <c r="AJ218" s="103">
        <v>14</v>
      </c>
      <c r="AK218" s="103">
        <v>1</v>
      </c>
      <c r="AL218" s="52">
        <v>15.6</v>
      </c>
      <c r="AM218" s="103">
        <v>31</v>
      </c>
      <c r="AN218" s="52">
        <v>15.6</v>
      </c>
      <c r="AO218" s="103">
        <v>4</v>
      </c>
      <c r="AP218" s="103">
        <v>1</v>
      </c>
    </row>
    <row r="219" spans="2:42" x14ac:dyDescent="0.35">
      <c r="B219" s="49">
        <v>40179</v>
      </c>
      <c r="Y219" s="51" t="s">
        <v>29</v>
      </c>
      <c r="Z219" s="51" t="s">
        <v>2413</v>
      </c>
      <c r="AA219" s="51" t="s">
        <v>2472</v>
      </c>
      <c r="AB219" s="102">
        <v>32.6</v>
      </c>
      <c r="AC219" s="103">
        <v>30</v>
      </c>
      <c r="AD219" s="55">
        <v>37.700000000000003</v>
      </c>
      <c r="AE219" s="103">
        <v>8</v>
      </c>
      <c r="AF219" s="103">
        <v>1</v>
      </c>
      <c r="AG219" s="102">
        <v>23.4</v>
      </c>
      <c r="AH219" s="103">
        <v>30</v>
      </c>
      <c r="AI219" s="55">
        <v>21.1</v>
      </c>
      <c r="AJ219" s="103">
        <v>9</v>
      </c>
      <c r="AK219" s="103">
        <v>1</v>
      </c>
      <c r="AL219" s="52">
        <v>67</v>
      </c>
      <c r="AM219" s="103">
        <v>30</v>
      </c>
      <c r="AN219" s="52">
        <v>26.7</v>
      </c>
      <c r="AO219" s="103">
        <v>9</v>
      </c>
      <c r="AP219" s="103">
        <v>6</v>
      </c>
    </row>
    <row r="220" spans="2:42" x14ac:dyDescent="0.35">
      <c r="B220" s="49">
        <v>40210</v>
      </c>
      <c r="Y220" s="51" t="s">
        <v>29</v>
      </c>
      <c r="Z220" s="51" t="s">
        <v>2413</v>
      </c>
      <c r="AA220" s="51" t="s">
        <v>2473</v>
      </c>
      <c r="AB220" s="102">
        <v>28.5</v>
      </c>
      <c r="AC220" s="103">
        <v>31</v>
      </c>
      <c r="AD220" s="55">
        <v>32.9</v>
      </c>
      <c r="AE220" s="103">
        <v>12</v>
      </c>
      <c r="AF220" s="103">
        <v>1</v>
      </c>
      <c r="AG220" s="102">
        <v>22.4</v>
      </c>
      <c r="AH220" s="103">
        <v>31</v>
      </c>
      <c r="AI220" s="55">
        <v>21.3</v>
      </c>
      <c r="AJ220" s="103">
        <v>28</v>
      </c>
      <c r="AK220" s="103">
        <v>1</v>
      </c>
      <c r="AL220" s="52">
        <v>299.89999999999998</v>
      </c>
      <c r="AM220" s="103">
        <v>31</v>
      </c>
      <c r="AN220" s="52">
        <v>41.2</v>
      </c>
      <c r="AO220" s="103">
        <v>26</v>
      </c>
      <c r="AP220" s="103">
        <v>15</v>
      </c>
    </row>
    <row r="221" spans="2:42" x14ac:dyDescent="0.35">
      <c r="B221" s="49">
        <v>40238</v>
      </c>
      <c r="Y221" s="51" t="s">
        <v>29</v>
      </c>
      <c r="Z221" s="51" t="s">
        <v>2413</v>
      </c>
      <c r="AA221" s="51" t="s">
        <v>2474</v>
      </c>
      <c r="AB221" s="102">
        <v>27.8</v>
      </c>
      <c r="AC221" s="103">
        <v>31</v>
      </c>
      <c r="AD221" s="55">
        <v>30.2</v>
      </c>
      <c r="AE221" s="103">
        <v>18</v>
      </c>
      <c r="AF221" s="103">
        <v>1</v>
      </c>
      <c r="AG221" s="102">
        <v>22.2</v>
      </c>
      <c r="AH221" s="103">
        <v>31</v>
      </c>
      <c r="AI221" s="55">
        <v>21.2</v>
      </c>
      <c r="AJ221" s="103">
        <v>19</v>
      </c>
      <c r="AK221" s="103">
        <v>1</v>
      </c>
      <c r="AL221" s="52">
        <v>84.1</v>
      </c>
      <c r="AM221" s="103">
        <v>31</v>
      </c>
      <c r="AN221" s="52">
        <v>40.299999999999997</v>
      </c>
      <c r="AO221" s="103">
        <v>2</v>
      </c>
      <c r="AP221" s="103">
        <v>5</v>
      </c>
    </row>
    <row r="222" spans="2:42" x14ac:dyDescent="0.35">
      <c r="B222" s="49">
        <v>40269</v>
      </c>
      <c r="Y222" s="51" t="s">
        <v>29</v>
      </c>
      <c r="Z222" s="51" t="s">
        <v>2413</v>
      </c>
      <c r="AA222" s="51" t="s">
        <v>410</v>
      </c>
      <c r="AB222" s="102">
        <v>29.3</v>
      </c>
      <c r="AC222" s="103">
        <v>30</v>
      </c>
      <c r="AD222" s="55">
        <v>31.9</v>
      </c>
      <c r="AE222" s="103">
        <v>15</v>
      </c>
      <c r="AF222" s="103">
        <v>1</v>
      </c>
      <c r="AG222" s="102">
        <v>21.9</v>
      </c>
      <c r="AH222" s="103">
        <v>30</v>
      </c>
      <c r="AI222" s="55">
        <v>20.2</v>
      </c>
      <c r="AJ222" s="103">
        <v>30</v>
      </c>
      <c r="AK222" s="103">
        <v>1</v>
      </c>
      <c r="AL222" s="52">
        <v>431.1</v>
      </c>
      <c r="AM222" s="103">
        <v>30</v>
      </c>
      <c r="AN222" s="52">
        <v>63.5</v>
      </c>
      <c r="AO222" s="103">
        <v>11</v>
      </c>
      <c r="AP222" s="103">
        <v>15</v>
      </c>
    </row>
    <row r="223" spans="2:42" x14ac:dyDescent="0.35">
      <c r="B223" s="49">
        <v>40299</v>
      </c>
      <c r="Y223" s="51" t="s">
        <v>29</v>
      </c>
      <c r="Z223" s="51" t="s">
        <v>2413</v>
      </c>
      <c r="AA223" s="51" t="s">
        <v>112</v>
      </c>
      <c r="AB223" s="102">
        <v>31.1</v>
      </c>
      <c r="AC223" s="103">
        <v>31</v>
      </c>
      <c r="AD223" s="55">
        <v>33.299999999999997</v>
      </c>
      <c r="AE223" s="103">
        <v>16</v>
      </c>
      <c r="AF223" s="103">
        <v>1</v>
      </c>
      <c r="AG223" s="102">
        <v>16.5</v>
      </c>
      <c r="AH223" s="103">
        <v>31</v>
      </c>
      <c r="AI223" s="55">
        <v>12.4</v>
      </c>
      <c r="AJ223" s="103">
        <v>9</v>
      </c>
      <c r="AK223" s="103">
        <v>1</v>
      </c>
      <c r="AL223" s="52">
        <v>0.3</v>
      </c>
      <c r="AM223" s="103">
        <v>31</v>
      </c>
      <c r="AN223" s="52">
        <v>0.3</v>
      </c>
      <c r="AO223" s="103">
        <v>4</v>
      </c>
      <c r="AP223" s="103">
        <v>0</v>
      </c>
    </row>
    <row r="224" spans="2:42" x14ac:dyDescent="0.35">
      <c r="B224" s="49">
        <v>40330</v>
      </c>
      <c r="Y224" s="51" t="s">
        <v>29</v>
      </c>
      <c r="Z224" s="51" t="s">
        <v>2413</v>
      </c>
      <c r="AA224" s="51" t="s">
        <v>142</v>
      </c>
      <c r="AB224" s="102">
        <v>30.3</v>
      </c>
      <c r="AC224" s="103">
        <v>30</v>
      </c>
      <c r="AD224" s="55">
        <v>31.8</v>
      </c>
      <c r="AE224" s="103">
        <v>3</v>
      </c>
      <c r="AF224" s="103">
        <v>1</v>
      </c>
      <c r="AG224" s="102">
        <v>12.3</v>
      </c>
      <c r="AH224" s="103">
        <v>30</v>
      </c>
      <c r="AI224" s="55">
        <v>8.1999999999999993</v>
      </c>
      <c r="AJ224" s="103">
        <v>30</v>
      </c>
      <c r="AK224" s="103">
        <v>1</v>
      </c>
      <c r="AL224" s="52">
        <v>0</v>
      </c>
      <c r="AM224" s="103">
        <v>30</v>
      </c>
      <c r="AN224" s="52">
        <v>0</v>
      </c>
      <c r="AO224" s="103">
        <v>30</v>
      </c>
      <c r="AP224" s="103">
        <v>0</v>
      </c>
    </row>
    <row r="225" spans="2:42" x14ac:dyDescent="0.35">
      <c r="B225" s="49">
        <v>40360</v>
      </c>
      <c r="Y225" s="51" t="s">
        <v>29</v>
      </c>
      <c r="Z225" s="51" t="s">
        <v>2413</v>
      </c>
      <c r="AA225" s="51" t="s">
        <v>30</v>
      </c>
      <c r="AB225" s="102">
        <v>28.4</v>
      </c>
      <c r="AC225" s="103">
        <v>31</v>
      </c>
      <c r="AD225" s="55">
        <v>31.6</v>
      </c>
      <c r="AE225" s="103">
        <v>25</v>
      </c>
      <c r="AF225" s="103">
        <v>1</v>
      </c>
      <c r="AG225" s="102">
        <v>11.1</v>
      </c>
      <c r="AH225" s="103">
        <v>31</v>
      </c>
      <c r="AI225" s="55">
        <v>7.1</v>
      </c>
      <c r="AJ225" s="103">
        <v>1</v>
      </c>
      <c r="AK225" s="103">
        <v>1</v>
      </c>
      <c r="AL225" s="52">
        <v>0</v>
      </c>
      <c r="AM225" s="103">
        <v>31</v>
      </c>
      <c r="AN225" s="52">
        <v>0</v>
      </c>
      <c r="AO225" s="103">
        <v>31</v>
      </c>
      <c r="AP225" s="103">
        <v>0</v>
      </c>
    </row>
    <row r="226" spans="2:42" x14ac:dyDescent="0.35">
      <c r="B226" s="49">
        <v>40391</v>
      </c>
      <c r="Y226" s="51" t="s">
        <v>29</v>
      </c>
      <c r="Z226" s="51" t="s">
        <v>2414</v>
      </c>
      <c r="AA226" s="51" t="s">
        <v>2469</v>
      </c>
      <c r="AB226" s="102">
        <v>30.2</v>
      </c>
      <c r="AC226" s="103">
        <v>31</v>
      </c>
      <c r="AD226" s="55">
        <v>32.700000000000003</v>
      </c>
      <c r="AE226" s="103">
        <v>26</v>
      </c>
      <c r="AF226" s="103">
        <v>2</v>
      </c>
      <c r="AG226" s="102">
        <v>10.8</v>
      </c>
      <c r="AH226" s="103">
        <v>31</v>
      </c>
      <c r="AI226" s="55">
        <v>8.5</v>
      </c>
      <c r="AJ226" s="103">
        <v>4</v>
      </c>
      <c r="AK226" s="103">
        <v>1</v>
      </c>
      <c r="AL226" s="52">
        <v>0</v>
      </c>
      <c r="AM226" s="103">
        <v>31</v>
      </c>
      <c r="AN226" s="52">
        <v>0</v>
      </c>
      <c r="AO226" s="103">
        <v>31</v>
      </c>
      <c r="AP226" s="103">
        <v>0</v>
      </c>
    </row>
    <row r="227" spans="2:42" x14ac:dyDescent="0.35">
      <c r="B227" s="49">
        <v>40422</v>
      </c>
      <c r="Y227" s="51" t="s">
        <v>29</v>
      </c>
      <c r="Z227" s="51" t="s">
        <v>2414</v>
      </c>
      <c r="AA227" s="51" t="s">
        <v>2470</v>
      </c>
      <c r="AB227" s="102">
        <v>32.5</v>
      </c>
      <c r="AC227" s="103">
        <v>28</v>
      </c>
      <c r="AD227" s="55">
        <v>35</v>
      </c>
      <c r="AE227" s="103">
        <v>18</v>
      </c>
      <c r="AF227" s="103">
        <v>1</v>
      </c>
      <c r="AG227" s="102">
        <v>9.9</v>
      </c>
      <c r="AH227" s="103">
        <v>28</v>
      </c>
      <c r="AI227" s="55">
        <v>6.6</v>
      </c>
      <c r="AJ227" s="103">
        <v>19</v>
      </c>
      <c r="AK227" s="103">
        <v>1</v>
      </c>
      <c r="AL227" s="52">
        <v>0</v>
      </c>
      <c r="AM227" s="103">
        <v>28</v>
      </c>
      <c r="AN227" s="52">
        <v>0</v>
      </c>
      <c r="AO227" s="103">
        <v>28</v>
      </c>
      <c r="AP227" s="103">
        <v>0</v>
      </c>
    </row>
    <row r="228" spans="2:42" x14ac:dyDescent="0.35">
      <c r="B228" s="49">
        <v>40452</v>
      </c>
      <c r="Y228" s="51" t="s">
        <v>29</v>
      </c>
      <c r="Z228" s="51" t="s">
        <v>2414</v>
      </c>
      <c r="AA228" s="51" t="s">
        <v>49</v>
      </c>
      <c r="AB228" s="102">
        <v>34.6</v>
      </c>
      <c r="AC228" s="103">
        <v>31</v>
      </c>
      <c r="AD228" s="55">
        <v>38.700000000000003</v>
      </c>
      <c r="AE228" s="103">
        <v>11</v>
      </c>
      <c r="AF228" s="103">
        <v>1</v>
      </c>
      <c r="AG228" s="102">
        <v>16</v>
      </c>
      <c r="AH228" s="103">
        <v>31</v>
      </c>
      <c r="AI228" s="55">
        <v>12.2</v>
      </c>
      <c r="AJ228" s="103">
        <v>3</v>
      </c>
      <c r="AK228" s="103">
        <v>1</v>
      </c>
      <c r="AL228" s="52">
        <v>7.7</v>
      </c>
      <c r="AM228" s="103">
        <v>31</v>
      </c>
      <c r="AN228" s="52">
        <v>7.5</v>
      </c>
      <c r="AO228" s="103">
        <v>26</v>
      </c>
      <c r="AP228" s="103">
        <v>1</v>
      </c>
    </row>
    <row r="229" spans="2:42" x14ac:dyDescent="0.35">
      <c r="B229" s="49">
        <v>40483</v>
      </c>
      <c r="Y229" s="51" t="s">
        <v>29</v>
      </c>
      <c r="Z229" s="51" t="s">
        <v>2414</v>
      </c>
      <c r="AA229" s="51" t="s">
        <v>2471</v>
      </c>
      <c r="AB229" s="102">
        <v>37.5</v>
      </c>
      <c r="AC229" s="103">
        <v>30</v>
      </c>
      <c r="AD229" s="55">
        <v>39.5</v>
      </c>
      <c r="AE229" s="103">
        <v>16</v>
      </c>
      <c r="AF229" s="103">
        <v>2</v>
      </c>
      <c r="AG229" s="102">
        <v>18.899999999999999</v>
      </c>
      <c r="AH229" s="103">
        <v>30</v>
      </c>
      <c r="AI229" s="55">
        <v>14.5</v>
      </c>
      <c r="AJ229" s="103">
        <v>6</v>
      </c>
      <c r="AK229" s="103">
        <v>2</v>
      </c>
      <c r="AL229" s="52">
        <v>24.7</v>
      </c>
      <c r="AM229" s="103">
        <v>30</v>
      </c>
      <c r="AN229" s="52">
        <v>20.6</v>
      </c>
      <c r="AO229" s="103">
        <v>21</v>
      </c>
      <c r="AP229" s="103">
        <v>2</v>
      </c>
    </row>
    <row r="230" spans="2:42" x14ac:dyDescent="0.35">
      <c r="B230" s="49">
        <v>40513</v>
      </c>
      <c r="Y230" s="51" t="s">
        <v>29</v>
      </c>
      <c r="Z230" s="51" t="s">
        <v>2414</v>
      </c>
      <c r="AA230" s="51" t="s">
        <v>250</v>
      </c>
      <c r="AB230" s="102">
        <v>36.6</v>
      </c>
      <c r="AC230" s="103">
        <v>31</v>
      </c>
      <c r="AD230" s="55">
        <v>41.3</v>
      </c>
      <c r="AE230" s="103">
        <v>12</v>
      </c>
      <c r="AF230" s="103">
        <v>1</v>
      </c>
      <c r="AG230" s="102">
        <v>22.4</v>
      </c>
      <c r="AH230" s="103">
        <v>31</v>
      </c>
      <c r="AI230" s="55">
        <v>18.3</v>
      </c>
      <c r="AJ230" s="103">
        <v>10</v>
      </c>
      <c r="AK230" s="103">
        <v>1</v>
      </c>
      <c r="AL230" s="52">
        <v>27</v>
      </c>
      <c r="AM230" s="103">
        <v>31</v>
      </c>
      <c r="AN230" s="52">
        <v>15.8</v>
      </c>
      <c r="AO230" s="103">
        <v>31</v>
      </c>
      <c r="AP230" s="103">
        <v>2</v>
      </c>
    </row>
    <row r="231" spans="2:42" x14ac:dyDescent="0.35">
      <c r="B231" s="47" t="s">
        <v>2475</v>
      </c>
      <c r="Y231" s="51" t="s">
        <v>29</v>
      </c>
      <c r="Z231" s="51" t="s">
        <v>2414</v>
      </c>
      <c r="AA231" s="51" t="s">
        <v>2472</v>
      </c>
      <c r="AB231" s="102">
        <v>30.2</v>
      </c>
      <c r="AC231" s="103">
        <v>30</v>
      </c>
      <c r="AD231" s="55">
        <v>35.1</v>
      </c>
      <c r="AE231" s="103">
        <v>2</v>
      </c>
      <c r="AF231" s="103">
        <v>1</v>
      </c>
      <c r="AG231" s="102">
        <v>22.2</v>
      </c>
      <c r="AH231" s="103">
        <v>30</v>
      </c>
      <c r="AI231" s="55">
        <v>20.399999999999999</v>
      </c>
      <c r="AJ231" s="103">
        <v>1</v>
      </c>
      <c r="AK231" s="103">
        <v>1</v>
      </c>
      <c r="AL231" s="52">
        <v>170.1</v>
      </c>
      <c r="AM231" s="103">
        <v>30</v>
      </c>
      <c r="AN231" s="52">
        <v>31.8</v>
      </c>
      <c r="AO231" s="103">
        <v>1</v>
      </c>
      <c r="AP231" s="103">
        <v>13</v>
      </c>
    </row>
    <row r="232" spans="2:42" x14ac:dyDescent="0.35">
      <c r="B232" s="47">
        <v>39845</v>
      </c>
      <c r="Y232" s="51" t="s">
        <v>29</v>
      </c>
      <c r="Z232" s="51" t="s">
        <v>2414</v>
      </c>
      <c r="AA232" s="51" t="s">
        <v>2473</v>
      </c>
      <c r="AB232" s="102">
        <v>28.7</v>
      </c>
      <c r="AC232" s="103">
        <v>31</v>
      </c>
      <c r="AD232" s="55">
        <v>31.6</v>
      </c>
      <c r="AE232" s="103">
        <v>10</v>
      </c>
      <c r="AF232" s="103">
        <v>1</v>
      </c>
      <c r="AG232" s="102">
        <v>22.1</v>
      </c>
      <c r="AH232" s="103">
        <v>31</v>
      </c>
      <c r="AI232" s="55">
        <v>21.1</v>
      </c>
      <c r="AJ232" s="103">
        <v>29</v>
      </c>
      <c r="AK232" s="103">
        <v>1</v>
      </c>
      <c r="AL232" s="52">
        <v>187.7</v>
      </c>
      <c r="AM232" s="103">
        <v>31</v>
      </c>
      <c r="AN232" s="52">
        <v>86.9</v>
      </c>
      <c r="AO232" s="103">
        <v>24</v>
      </c>
      <c r="AP232" s="103">
        <v>10</v>
      </c>
    </row>
    <row r="233" spans="2:42" x14ac:dyDescent="0.35">
      <c r="B233" s="49">
        <v>39873</v>
      </c>
      <c r="Y233" s="51" t="s">
        <v>29</v>
      </c>
      <c r="Z233" s="51" t="s">
        <v>2414</v>
      </c>
      <c r="AA233" s="51" t="s">
        <v>2474</v>
      </c>
      <c r="AB233" s="102">
        <v>26.8</v>
      </c>
      <c r="AC233" s="103">
        <v>31</v>
      </c>
      <c r="AD233" s="55">
        <v>28.3</v>
      </c>
      <c r="AE233" s="103">
        <v>7</v>
      </c>
      <c r="AF233" s="103">
        <v>1</v>
      </c>
      <c r="AG233" s="102">
        <v>21.3</v>
      </c>
      <c r="AH233" s="103">
        <v>31</v>
      </c>
      <c r="AI233" s="55">
        <v>19.899999999999999</v>
      </c>
      <c r="AJ233" s="103">
        <v>15</v>
      </c>
      <c r="AK233" s="103">
        <v>1</v>
      </c>
      <c r="AL233" s="52">
        <v>74.900000000000006</v>
      </c>
      <c r="AM233" s="103">
        <v>31</v>
      </c>
      <c r="AN233" s="52">
        <v>20.6</v>
      </c>
      <c r="AO233" s="103">
        <v>20</v>
      </c>
      <c r="AP233" s="103">
        <v>8</v>
      </c>
    </row>
    <row r="234" spans="2:42" x14ac:dyDescent="0.35">
      <c r="B234" s="49">
        <v>39904</v>
      </c>
      <c r="Y234" s="51" t="s">
        <v>29</v>
      </c>
      <c r="Z234" s="51" t="s">
        <v>2414</v>
      </c>
      <c r="AA234" s="51" t="s">
        <v>410</v>
      </c>
      <c r="AB234" s="102">
        <v>29.3</v>
      </c>
      <c r="AC234" s="103">
        <v>30</v>
      </c>
      <c r="AD234" s="55">
        <v>31.6</v>
      </c>
      <c r="AE234" s="103">
        <v>26</v>
      </c>
      <c r="AF234" s="103">
        <v>3</v>
      </c>
      <c r="AG234" s="102">
        <v>20.7</v>
      </c>
      <c r="AH234" s="103">
        <v>30</v>
      </c>
      <c r="AI234" s="55">
        <v>17.2</v>
      </c>
      <c r="AJ234" s="103">
        <v>2</v>
      </c>
      <c r="AK234" s="103">
        <v>1</v>
      </c>
      <c r="AL234" s="52">
        <v>154.80000000000001</v>
      </c>
      <c r="AM234" s="103">
        <v>30</v>
      </c>
      <c r="AN234" s="52">
        <v>43</v>
      </c>
      <c r="AO234" s="103">
        <v>26</v>
      </c>
      <c r="AP234" s="103">
        <v>11</v>
      </c>
    </row>
    <row r="235" spans="2:42" x14ac:dyDescent="0.35">
      <c r="B235" s="49">
        <v>39934</v>
      </c>
      <c r="Y235" s="51" t="s">
        <v>29</v>
      </c>
      <c r="Z235" s="51" t="s">
        <v>2414</v>
      </c>
      <c r="AA235" s="51" t="s">
        <v>112</v>
      </c>
      <c r="AB235" s="102">
        <v>32.4</v>
      </c>
      <c r="AC235" s="103">
        <v>31</v>
      </c>
      <c r="AD235" s="55">
        <v>35</v>
      </c>
      <c r="AE235" s="103">
        <v>17</v>
      </c>
      <c r="AF235" s="103">
        <v>1</v>
      </c>
      <c r="AG235" s="102">
        <v>17.399999999999999</v>
      </c>
      <c r="AH235" s="103">
        <v>31</v>
      </c>
      <c r="AI235" s="55">
        <v>12.5</v>
      </c>
      <c r="AJ235" s="103">
        <v>23</v>
      </c>
      <c r="AK235" s="103">
        <v>1</v>
      </c>
      <c r="AL235" s="52">
        <v>21.5</v>
      </c>
      <c r="AM235" s="103">
        <v>31</v>
      </c>
      <c r="AN235" s="52">
        <v>12.5</v>
      </c>
      <c r="AO235" s="103">
        <v>1</v>
      </c>
      <c r="AP235" s="103">
        <v>3</v>
      </c>
    </row>
    <row r="236" spans="2:42" x14ac:dyDescent="0.35">
      <c r="B236" s="49">
        <v>39965</v>
      </c>
      <c r="Y236" s="51" t="s">
        <v>29</v>
      </c>
      <c r="Z236" s="51" t="s">
        <v>2414</v>
      </c>
      <c r="AA236" s="51" t="s">
        <v>142</v>
      </c>
      <c r="AB236" s="102">
        <v>31.3</v>
      </c>
      <c r="AC236" s="103">
        <v>30</v>
      </c>
      <c r="AD236" s="55">
        <v>32.700000000000003</v>
      </c>
      <c r="AE236" s="103">
        <v>18</v>
      </c>
      <c r="AF236" s="103">
        <v>1</v>
      </c>
      <c r="AG236" s="102">
        <v>14.5</v>
      </c>
      <c r="AH236" s="103">
        <v>29</v>
      </c>
      <c r="AI236" s="55">
        <v>11.7</v>
      </c>
      <c r="AJ236" s="103">
        <v>27</v>
      </c>
      <c r="AK236" s="103">
        <v>1</v>
      </c>
      <c r="AL236" s="52">
        <v>0</v>
      </c>
      <c r="AM236" s="103">
        <v>30</v>
      </c>
      <c r="AN236" s="52">
        <v>0</v>
      </c>
      <c r="AO236" s="103">
        <v>30</v>
      </c>
      <c r="AP236" s="103">
        <v>0</v>
      </c>
    </row>
    <row r="237" spans="2:42" x14ac:dyDescent="0.35">
      <c r="B237" s="49">
        <v>39995</v>
      </c>
      <c r="Y237" s="51" t="s">
        <v>29</v>
      </c>
      <c r="Z237" s="51" t="s">
        <v>2414</v>
      </c>
      <c r="AA237" s="51" t="s">
        <v>30</v>
      </c>
      <c r="AB237" s="102">
        <v>28.2</v>
      </c>
      <c r="AC237" s="103">
        <v>31</v>
      </c>
      <c r="AD237" s="55">
        <v>30.2</v>
      </c>
      <c r="AE237" s="103">
        <v>30</v>
      </c>
      <c r="AF237" s="103">
        <v>1</v>
      </c>
      <c r="AG237" s="102">
        <v>11.4</v>
      </c>
      <c r="AH237" s="103">
        <v>31</v>
      </c>
      <c r="AI237" s="55">
        <v>7.1</v>
      </c>
      <c r="AJ237" s="103">
        <v>18</v>
      </c>
      <c r="AK237" s="103">
        <v>1</v>
      </c>
      <c r="AL237" s="52">
        <v>0.2</v>
      </c>
      <c r="AM237" s="103">
        <v>31</v>
      </c>
      <c r="AN237" s="52">
        <v>0.2</v>
      </c>
      <c r="AO237" s="103">
        <v>31</v>
      </c>
      <c r="AP237" s="103">
        <v>0</v>
      </c>
    </row>
    <row r="238" spans="2:42" x14ac:dyDescent="0.35">
      <c r="B238" s="49">
        <v>40026</v>
      </c>
      <c r="Y238" s="51" t="s">
        <v>29</v>
      </c>
      <c r="Z238" s="51" t="s">
        <v>2415</v>
      </c>
      <c r="AA238" s="51" t="s">
        <v>2469</v>
      </c>
      <c r="AB238" s="102">
        <v>31.1</v>
      </c>
      <c r="AC238" s="103">
        <v>31</v>
      </c>
      <c r="AD238" s="55">
        <v>34</v>
      </c>
      <c r="AE238" s="103">
        <v>31</v>
      </c>
      <c r="AF238" s="103">
        <v>1</v>
      </c>
      <c r="AG238" s="102">
        <v>10.6</v>
      </c>
      <c r="AH238" s="103">
        <v>31</v>
      </c>
      <c r="AI238" s="55">
        <v>8</v>
      </c>
      <c r="AJ238" s="103">
        <v>21</v>
      </c>
      <c r="AK238" s="103">
        <v>1</v>
      </c>
      <c r="AL238" s="52">
        <v>0</v>
      </c>
      <c r="AM238" s="103">
        <v>31</v>
      </c>
      <c r="AN238" s="52">
        <v>0</v>
      </c>
      <c r="AO238" s="103">
        <v>31</v>
      </c>
      <c r="AP238" s="103">
        <v>0</v>
      </c>
    </row>
    <row r="239" spans="2:42" x14ac:dyDescent="0.35">
      <c r="B239" s="49">
        <v>40057</v>
      </c>
      <c r="Y239" s="51" t="s">
        <v>29</v>
      </c>
      <c r="Z239" s="51" t="s">
        <v>2415</v>
      </c>
      <c r="AA239" s="51" t="s">
        <v>2470</v>
      </c>
      <c r="AB239" s="102">
        <v>31.8</v>
      </c>
      <c r="AC239" s="103">
        <v>28</v>
      </c>
      <c r="AD239" s="55">
        <v>34.200000000000003</v>
      </c>
      <c r="AE239" s="103">
        <v>5</v>
      </c>
      <c r="AF239" s="103">
        <v>1</v>
      </c>
      <c r="AG239" s="102">
        <v>11.7</v>
      </c>
      <c r="AH239" s="103">
        <v>28</v>
      </c>
      <c r="AI239" s="55">
        <v>6.7</v>
      </c>
      <c r="AJ239" s="103">
        <v>19</v>
      </c>
      <c r="AK239" s="103">
        <v>1</v>
      </c>
      <c r="AL239" s="52">
        <v>0</v>
      </c>
      <c r="AM239" s="103">
        <v>28</v>
      </c>
      <c r="AN239" s="52">
        <v>0</v>
      </c>
      <c r="AO239" s="103">
        <v>28</v>
      </c>
      <c r="AP239" s="103">
        <v>0</v>
      </c>
    </row>
    <row r="240" spans="2:42" x14ac:dyDescent="0.35">
      <c r="B240" s="49">
        <v>40087</v>
      </c>
      <c r="Y240" s="51" t="s">
        <v>29</v>
      </c>
      <c r="Z240" s="51" t="s">
        <v>2415</v>
      </c>
      <c r="AA240" s="51" t="s">
        <v>49</v>
      </c>
      <c r="AB240" s="102">
        <v>33.4</v>
      </c>
      <c r="AC240" s="103">
        <v>31</v>
      </c>
      <c r="AD240" s="55">
        <v>37</v>
      </c>
      <c r="AE240" s="103">
        <v>22</v>
      </c>
      <c r="AF240" s="103">
        <v>1</v>
      </c>
      <c r="AG240" s="102">
        <v>14.9</v>
      </c>
      <c r="AH240" s="103">
        <v>31</v>
      </c>
      <c r="AI240" s="55">
        <v>8.6</v>
      </c>
      <c r="AJ240" s="103">
        <v>3</v>
      </c>
      <c r="AK240" s="103">
        <v>1</v>
      </c>
      <c r="AL240" s="52">
        <v>0</v>
      </c>
      <c r="AM240" s="103">
        <v>31</v>
      </c>
      <c r="AN240" s="52">
        <v>0</v>
      </c>
      <c r="AO240" s="103">
        <v>31</v>
      </c>
      <c r="AP240" s="103">
        <v>0</v>
      </c>
    </row>
    <row r="241" spans="2:44" x14ac:dyDescent="0.35">
      <c r="B241" s="49">
        <v>40118</v>
      </c>
      <c r="Y241" s="51" t="s">
        <v>29</v>
      </c>
      <c r="Z241" s="51" t="s">
        <v>2415</v>
      </c>
      <c r="AA241" s="51" t="s">
        <v>2471</v>
      </c>
      <c r="AB241" s="102">
        <v>38.1</v>
      </c>
      <c r="AC241" s="103">
        <v>30</v>
      </c>
      <c r="AD241" s="55">
        <v>41.3</v>
      </c>
      <c r="AE241" s="103">
        <v>26</v>
      </c>
      <c r="AF241" s="103">
        <v>1</v>
      </c>
      <c r="AG241" s="102">
        <v>18.2</v>
      </c>
      <c r="AH241" s="103">
        <v>30</v>
      </c>
      <c r="AI241" s="55">
        <v>13.5</v>
      </c>
      <c r="AJ241" s="103">
        <v>4</v>
      </c>
      <c r="AK241" s="103">
        <v>1</v>
      </c>
      <c r="AL241" s="52">
        <v>0</v>
      </c>
      <c r="AM241" s="103">
        <v>30</v>
      </c>
      <c r="AN241" s="52">
        <v>0</v>
      </c>
      <c r="AO241" s="103">
        <v>30</v>
      </c>
      <c r="AP241" s="103">
        <v>0</v>
      </c>
    </row>
    <row r="242" spans="2:44" x14ac:dyDescent="0.35">
      <c r="B242" s="49">
        <v>40148</v>
      </c>
      <c r="Y242" s="51" t="s">
        <v>29</v>
      </c>
      <c r="Z242" s="51" t="s">
        <v>2415</v>
      </c>
      <c r="AA242" s="51" t="s">
        <v>250</v>
      </c>
      <c r="AB242" s="102">
        <v>35.5</v>
      </c>
      <c r="AC242" s="103">
        <v>31</v>
      </c>
      <c r="AD242" s="55">
        <v>40</v>
      </c>
      <c r="AE242" s="103">
        <v>6</v>
      </c>
      <c r="AF242" s="103">
        <v>1</v>
      </c>
      <c r="AG242" s="102">
        <v>23</v>
      </c>
      <c r="AH242" s="103">
        <v>31</v>
      </c>
      <c r="AI242" s="55">
        <v>17.8</v>
      </c>
      <c r="AJ242" s="103">
        <v>2</v>
      </c>
      <c r="AK242" s="103">
        <v>1</v>
      </c>
      <c r="AL242" s="52">
        <v>81.2</v>
      </c>
      <c r="AM242" s="103">
        <v>31</v>
      </c>
      <c r="AN242" s="52">
        <v>17.100000000000001</v>
      </c>
      <c r="AO242" s="103">
        <v>23</v>
      </c>
      <c r="AP242" s="103">
        <v>7</v>
      </c>
    </row>
    <row r="243" spans="2:44" x14ac:dyDescent="0.35">
      <c r="B243" s="49">
        <v>40148</v>
      </c>
      <c r="Y243" s="51" t="s">
        <v>29</v>
      </c>
      <c r="Z243" s="51" t="s">
        <v>2415</v>
      </c>
      <c r="AA243" s="51" t="s">
        <v>2472</v>
      </c>
      <c r="AB243" s="102">
        <v>30</v>
      </c>
      <c r="AC243" s="103">
        <v>30</v>
      </c>
      <c r="AD243" s="55">
        <v>33.6</v>
      </c>
      <c r="AE243" s="103">
        <v>9</v>
      </c>
      <c r="AF243" s="103">
        <v>1</v>
      </c>
      <c r="AG243" s="102">
        <v>22.9</v>
      </c>
      <c r="AH243" s="103">
        <v>30</v>
      </c>
      <c r="AI243" s="55">
        <v>21.1</v>
      </c>
      <c r="AJ243" s="103">
        <v>2</v>
      </c>
      <c r="AK243" s="103">
        <v>1</v>
      </c>
      <c r="AL243" s="52">
        <v>173.8</v>
      </c>
      <c r="AM243" s="103">
        <v>30</v>
      </c>
      <c r="AN243" s="52">
        <v>68.900000000000006</v>
      </c>
      <c r="AO243" s="103">
        <v>11</v>
      </c>
      <c r="AP243" s="103">
        <v>10</v>
      </c>
    </row>
    <row r="244" spans="2:44" x14ac:dyDescent="0.35">
      <c r="B244" s="49">
        <v>40179</v>
      </c>
      <c r="Y244" s="51" t="s">
        <v>29</v>
      </c>
      <c r="Z244" s="51" t="s">
        <v>2415</v>
      </c>
      <c r="AA244" s="51" t="s">
        <v>2473</v>
      </c>
      <c r="AB244" s="102">
        <v>27.1</v>
      </c>
      <c r="AC244" s="103">
        <v>31</v>
      </c>
      <c r="AD244" s="55">
        <v>30.2</v>
      </c>
      <c r="AE244" s="103">
        <v>8</v>
      </c>
      <c r="AF244" s="103">
        <v>1</v>
      </c>
      <c r="AG244" s="102">
        <v>21.9</v>
      </c>
      <c r="AH244" s="103">
        <v>31</v>
      </c>
      <c r="AI244" s="55">
        <v>20</v>
      </c>
      <c r="AJ244" s="103">
        <v>24</v>
      </c>
      <c r="AK244" s="103">
        <v>1</v>
      </c>
      <c r="AL244" s="52">
        <v>248.6</v>
      </c>
      <c r="AM244" s="103">
        <v>31</v>
      </c>
      <c r="AN244" s="52">
        <v>53.3</v>
      </c>
      <c r="AO244" s="103">
        <v>24</v>
      </c>
      <c r="AP244" s="103">
        <v>15</v>
      </c>
    </row>
    <row r="245" spans="2:44" x14ac:dyDescent="0.35">
      <c r="B245" s="49">
        <v>40210</v>
      </c>
      <c r="Y245" s="51" t="s">
        <v>29</v>
      </c>
      <c r="Z245" s="51" t="s">
        <v>2415</v>
      </c>
      <c r="AA245" s="51" t="s">
        <v>2474</v>
      </c>
      <c r="AB245" s="102">
        <v>26.7</v>
      </c>
      <c r="AC245" s="103">
        <v>31</v>
      </c>
      <c r="AD245" s="55">
        <v>28.7</v>
      </c>
      <c r="AE245" s="103">
        <v>11</v>
      </c>
      <c r="AF245" s="103">
        <v>1</v>
      </c>
      <c r="AG245" s="102">
        <v>21.5</v>
      </c>
      <c r="AH245" s="103">
        <v>31</v>
      </c>
      <c r="AI245" s="55">
        <v>20.8</v>
      </c>
      <c r="AJ245" s="103">
        <v>28</v>
      </c>
      <c r="AK245" s="103">
        <v>2</v>
      </c>
      <c r="AL245" s="52">
        <v>197.6</v>
      </c>
      <c r="AM245" s="103">
        <v>31</v>
      </c>
      <c r="AN245" s="52">
        <v>50.8</v>
      </c>
      <c r="AO245" s="103">
        <v>17</v>
      </c>
      <c r="AP245" s="103">
        <v>14</v>
      </c>
    </row>
    <row r="246" spans="2:44" x14ac:dyDescent="0.35">
      <c r="B246" s="49">
        <v>40238</v>
      </c>
      <c r="Y246" s="51" t="s">
        <v>29</v>
      </c>
      <c r="Z246" s="51" t="s">
        <v>2415</v>
      </c>
      <c r="AA246" s="51" t="s">
        <v>410</v>
      </c>
      <c r="AB246" s="102">
        <v>28.4</v>
      </c>
      <c r="AC246" s="103">
        <v>30</v>
      </c>
      <c r="AD246" s="55">
        <v>31</v>
      </c>
      <c r="AE246" s="103">
        <v>24</v>
      </c>
      <c r="AF246" s="103">
        <v>1</v>
      </c>
      <c r="AG246" s="102">
        <v>20.399999999999999</v>
      </c>
      <c r="AH246" s="103">
        <v>30</v>
      </c>
      <c r="AI246" s="55">
        <v>17.600000000000001</v>
      </c>
      <c r="AJ246" s="103">
        <v>18</v>
      </c>
      <c r="AK246" s="103">
        <v>1</v>
      </c>
      <c r="AL246" s="52">
        <v>37.9</v>
      </c>
      <c r="AM246" s="103">
        <v>30</v>
      </c>
      <c r="AN246" s="52">
        <v>10.9</v>
      </c>
      <c r="AO246" s="103">
        <v>6</v>
      </c>
      <c r="AP246" s="103">
        <v>3</v>
      </c>
    </row>
    <row r="247" spans="2:44" x14ac:dyDescent="0.35">
      <c r="B247" s="49">
        <v>40269</v>
      </c>
      <c r="Y247" s="51" t="s">
        <v>29</v>
      </c>
      <c r="Z247" s="51" t="s">
        <v>2415</v>
      </c>
      <c r="AA247" s="51" t="s">
        <v>112</v>
      </c>
      <c r="AB247" s="102">
        <v>29.9</v>
      </c>
      <c r="AC247" s="103">
        <v>31</v>
      </c>
      <c r="AD247" s="55">
        <v>32</v>
      </c>
      <c r="AE247" s="103">
        <v>25</v>
      </c>
      <c r="AF247" s="103">
        <v>1</v>
      </c>
      <c r="AG247" s="102">
        <v>19.2</v>
      </c>
      <c r="AH247" s="103">
        <v>31</v>
      </c>
      <c r="AI247" s="55">
        <v>13.5</v>
      </c>
      <c r="AJ247" s="103">
        <v>18</v>
      </c>
      <c r="AK247" s="103">
        <v>1</v>
      </c>
      <c r="AL247" s="52">
        <v>125.4</v>
      </c>
      <c r="AM247" s="103">
        <v>31</v>
      </c>
      <c r="AN247" s="52">
        <v>51.7</v>
      </c>
      <c r="AO247" s="103">
        <v>9</v>
      </c>
      <c r="AP247" s="103">
        <v>5</v>
      </c>
    </row>
    <row r="248" spans="2:44" x14ac:dyDescent="0.35">
      <c r="B248" s="49">
        <v>40299</v>
      </c>
      <c r="Y248" s="51" t="s">
        <v>29</v>
      </c>
      <c r="Z248" s="51" t="s">
        <v>2415</v>
      </c>
      <c r="AA248" s="51" t="s">
        <v>142</v>
      </c>
      <c r="AB248" s="102">
        <v>29.6</v>
      </c>
      <c r="AC248" s="103">
        <v>30</v>
      </c>
      <c r="AD248" s="55">
        <v>31.2</v>
      </c>
      <c r="AE248" s="103">
        <v>30</v>
      </c>
      <c r="AF248" s="103">
        <v>1</v>
      </c>
      <c r="AG248" s="102">
        <v>16.7</v>
      </c>
      <c r="AH248" s="103">
        <v>30</v>
      </c>
      <c r="AI248" s="55">
        <v>11</v>
      </c>
      <c r="AJ248" s="103">
        <v>13</v>
      </c>
      <c r="AK248" s="103">
        <v>1</v>
      </c>
      <c r="AL248" s="52">
        <v>37.9</v>
      </c>
      <c r="AM248" s="103">
        <v>30</v>
      </c>
      <c r="AN248" s="52">
        <v>25.7</v>
      </c>
      <c r="AO248" s="103">
        <v>1</v>
      </c>
      <c r="AP248" s="103">
        <v>2</v>
      </c>
    </row>
    <row r="249" spans="2:44" x14ac:dyDescent="0.35">
      <c r="B249" s="49">
        <v>40330</v>
      </c>
      <c r="Y249" s="51" t="s">
        <v>29</v>
      </c>
      <c r="Z249" s="51" t="s">
        <v>2415</v>
      </c>
      <c r="AA249" s="51" t="s">
        <v>30</v>
      </c>
      <c r="AB249" s="102">
        <v>28.8</v>
      </c>
      <c r="AC249" s="103">
        <v>31</v>
      </c>
      <c r="AD249" s="55">
        <v>32</v>
      </c>
      <c r="AE249" s="103">
        <v>3</v>
      </c>
      <c r="AF249" s="103">
        <v>1</v>
      </c>
      <c r="AG249" s="102">
        <v>13</v>
      </c>
      <c r="AH249" s="103">
        <v>31</v>
      </c>
      <c r="AI249" s="55">
        <v>8.5</v>
      </c>
      <c r="AJ249" s="103">
        <v>28</v>
      </c>
      <c r="AK249" s="103">
        <v>1</v>
      </c>
      <c r="AL249" s="52">
        <v>0</v>
      </c>
      <c r="AM249" s="103">
        <v>31</v>
      </c>
      <c r="AN249" s="52">
        <v>0</v>
      </c>
      <c r="AO249" s="103">
        <v>31</v>
      </c>
      <c r="AP249" s="103">
        <v>0</v>
      </c>
    </row>
    <row r="250" spans="2:44" x14ac:dyDescent="0.35">
      <c r="B250" s="49">
        <v>40360</v>
      </c>
      <c r="Y250" s="54" t="s">
        <v>29</v>
      </c>
      <c r="Z250" s="54" t="s">
        <v>2417</v>
      </c>
      <c r="AA250" s="54" t="s">
        <v>2469</v>
      </c>
      <c r="AB250" s="102">
        <v>30</v>
      </c>
      <c r="AC250" s="104">
        <v>31</v>
      </c>
      <c r="AD250" s="55">
        <v>33.4</v>
      </c>
      <c r="AE250" s="104">
        <v>25</v>
      </c>
      <c r="AF250" s="104">
        <v>1</v>
      </c>
      <c r="AG250" s="102">
        <v>10.4</v>
      </c>
      <c r="AH250" s="104">
        <v>31</v>
      </c>
      <c r="AI250" s="55">
        <v>2.8</v>
      </c>
      <c r="AJ250" s="104">
        <v>2</v>
      </c>
      <c r="AK250" s="104">
        <v>1</v>
      </c>
      <c r="AL250" s="55">
        <v>0</v>
      </c>
      <c r="AM250" s="104">
        <v>31</v>
      </c>
      <c r="AN250" s="55">
        <v>0</v>
      </c>
      <c r="AO250" s="104">
        <v>31</v>
      </c>
      <c r="AP250" s="104">
        <v>0</v>
      </c>
      <c r="AQ250" s="105"/>
      <c r="AR250" s="105"/>
    </row>
    <row r="251" spans="2:44" x14ac:dyDescent="0.35">
      <c r="B251" s="49">
        <v>40391</v>
      </c>
      <c r="Y251" s="51" t="s">
        <v>29</v>
      </c>
      <c r="Z251" s="51" t="s">
        <v>2417</v>
      </c>
      <c r="AA251" s="51" t="s">
        <v>2470</v>
      </c>
      <c r="AB251" s="102">
        <v>32.799999999999997</v>
      </c>
      <c r="AC251" s="103">
        <v>28</v>
      </c>
      <c r="AD251" s="55">
        <v>35.700000000000003</v>
      </c>
      <c r="AE251" s="103">
        <v>24</v>
      </c>
      <c r="AF251" s="103">
        <v>1</v>
      </c>
      <c r="AG251" s="102">
        <v>12</v>
      </c>
      <c r="AH251" s="103">
        <v>28</v>
      </c>
      <c r="AI251" s="55">
        <v>6.3</v>
      </c>
      <c r="AJ251" s="103">
        <v>3</v>
      </c>
      <c r="AK251" s="103">
        <v>1</v>
      </c>
      <c r="AL251" s="52">
        <v>0</v>
      </c>
      <c r="AM251" s="103">
        <v>28</v>
      </c>
      <c r="AN251" s="52">
        <v>0</v>
      </c>
      <c r="AO251" s="103">
        <v>28</v>
      </c>
      <c r="AP251" s="103">
        <v>0</v>
      </c>
    </row>
    <row r="252" spans="2:44" x14ac:dyDescent="0.35">
      <c r="B252" s="49">
        <v>40422</v>
      </c>
      <c r="Y252" s="51" t="s">
        <v>29</v>
      </c>
      <c r="Z252" s="51" t="s">
        <v>2417</v>
      </c>
      <c r="AA252" s="51" t="s">
        <v>49</v>
      </c>
      <c r="AB252" s="102">
        <v>36.1</v>
      </c>
      <c r="AC252" s="103">
        <v>31</v>
      </c>
      <c r="AD252" s="55">
        <v>39.6</v>
      </c>
      <c r="AE252" s="103">
        <v>30</v>
      </c>
      <c r="AF252" s="103">
        <v>1</v>
      </c>
      <c r="AG252" s="102">
        <v>15.6</v>
      </c>
      <c r="AH252" s="103">
        <v>31</v>
      </c>
      <c r="AI252" s="55">
        <v>11.4</v>
      </c>
      <c r="AJ252" s="103">
        <v>5</v>
      </c>
      <c r="AK252" s="103">
        <v>1</v>
      </c>
      <c r="AL252" s="52">
        <v>0.8</v>
      </c>
      <c r="AM252" s="103">
        <v>31</v>
      </c>
      <c r="AN252" s="52">
        <v>0.8</v>
      </c>
      <c r="AO252" s="103">
        <v>31</v>
      </c>
      <c r="AP252" s="103">
        <v>0</v>
      </c>
    </row>
    <row r="253" spans="2:44" x14ac:dyDescent="0.35">
      <c r="B253" s="49">
        <v>40452</v>
      </c>
      <c r="Y253" s="51" t="s">
        <v>29</v>
      </c>
      <c r="Z253" s="51" t="s">
        <v>2417</v>
      </c>
      <c r="AA253" s="51" t="s">
        <v>2471</v>
      </c>
      <c r="AB253" s="102">
        <v>36.9</v>
      </c>
      <c r="AC253" s="103">
        <v>30</v>
      </c>
      <c r="AD253" s="55">
        <v>40.200000000000003</v>
      </c>
      <c r="AE253" s="103">
        <v>19</v>
      </c>
      <c r="AF253" s="103">
        <v>1</v>
      </c>
      <c r="AG253" s="102">
        <v>19.600000000000001</v>
      </c>
      <c r="AH253" s="103">
        <v>30</v>
      </c>
      <c r="AI253" s="55">
        <v>15.7</v>
      </c>
      <c r="AJ253" s="103">
        <v>22</v>
      </c>
      <c r="AK253" s="103">
        <v>1</v>
      </c>
      <c r="AL253" s="52">
        <v>30.5</v>
      </c>
      <c r="AM253" s="103">
        <v>30</v>
      </c>
      <c r="AN253" s="52">
        <v>19.899999999999999</v>
      </c>
      <c r="AO253" s="103">
        <v>7</v>
      </c>
      <c r="AP253" s="103">
        <v>3</v>
      </c>
    </row>
    <row r="254" spans="2:44" x14ac:dyDescent="0.35">
      <c r="B254" s="49">
        <v>40483</v>
      </c>
      <c r="Y254" s="51" t="s">
        <v>29</v>
      </c>
      <c r="Z254" s="51" t="s">
        <v>2417</v>
      </c>
      <c r="AA254" s="51" t="s">
        <v>250</v>
      </c>
      <c r="AB254" s="102">
        <v>37.799999999999997</v>
      </c>
      <c r="AC254" s="103">
        <v>31</v>
      </c>
      <c r="AD254" s="55">
        <v>41.5</v>
      </c>
      <c r="AE254" s="103">
        <v>27</v>
      </c>
      <c r="AF254" s="103">
        <v>1</v>
      </c>
      <c r="AG254" s="102">
        <v>22.6</v>
      </c>
      <c r="AH254" s="103">
        <v>31</v>
      </c>
      <c r="AI254" s="55">
        <v>18.5</v>
      </c>
      <c r="AJ254" s="103">
        <v>13</v>
      </c>
      <c r="AK254" s="103">
        <v>1</v>
      </c>
      <c r="AL254" s="52">
        <v>45.6</v>
      </c>
      <c r="AM254" s="103">
        <v>31</v>
      </c>
      <c r="AN254" s="52">
        <v>32.9</v>
      </c>
      <c r="AO254" s="103">
        <v>13</v>
      </c>
      <c r="AP254" s="103">
        <v>4</v>
      </c>
    </row>
    <row r="255" spans="2:44" x14ac:dyDescent="0.35">
      <c r="B255" s="49">
        <v>40513</v>
      </c>
      <c r="Y255" s="51" t="s">
        <v>29</v>
      </c>
      <c r="Z255" s="51" t="s">
        <v>2417</v>
      </c>
      <c r="AA255" s="51" t="s">
        <v>2472</v>
      </c>
      <c r="AB255" s="102">
        <v>31</v>
      </c>
      <c r="AC255" s="103">
        <v>30</v>
      </c>
      <c r="AD255" s="55">
        <v>41.2</v>
      </c>
      <c r="AE255" s="103">
        <v>2</v>
      </c>
      <c r="AF255" s="103">
        <v>1</v>
      </c>
      <c r="AG255" s="102">
        <v>23</v>
      </c>
      <c r="AH255" s="103">
        <v>30</v>
      </c>
      <c r="AI255" s="55">
        <v>19.8</v>
      </c>
      <c r="AJ255" s="103">
        <v>3</v>
      </c>
      <c r="AK255" s="103">
        <v>1</v>
      </c>
      <c r="AL255" s="52">
        <v>529.5</v>
      </c>
      <c r="AM255" s="103">
        <v>30</v>
      </c>
      <c r="AN255" s="52">
        <v>123.3</v>
      </c>
      <c r="AO255" s="103">
        <v>8</v>
      </c>
      <c r="AP255" s="103">
        <v>11</v>
      </c>
    </row>
    <row r="256" spans="2:44" x14ac:dyDescent="0.35">
      <c r="Y256" s="51" t="s">
        <v>29</v>
      </c>
      <c r="Z256" s="51" t="s">
        <v>2417</v>
      </c>
      <c r="AA256" s="51" t="s">
        <v>2473</v>
      </c>
      <c r="AB256" s="102">
        <v>26.9</v>
      </c>
      <c r="AC256" s="103">
        <v>31</v>
      </c>
      <c r="AD256" s="55">
        <v>29.4</v>
      </c>
      <c r="AE256" s="103">
        <v>2</v>
      </c>
      <c r="AF256" s="103">
        <v>1</v>
      </c>
      <c r="AG256" s="102">
        <v>22.2</v>
      </c>
      <c r="AH256" s="103">
        <v>31</v>
      </c>
      <c r="AI256" s="55">
        <v>21.5</v>
      </c>
      <c r="AJ256" s="103">
        <v>3</v>
      </c>
      <c r="AK256" s="103">
        <v>1</v>
      </c>
      <c r="AL256" s="52">
        <v>192.8</v>
      </c>
      <c r="AM256" s="103">
        <v>31</v>
      </c>
      <c r="AN256" s="52">
        <v>42.7</v>
      </c>
      <c r="AO256" s="103">
        <v>28</v>
      </c>
      <c r="AP256" s="103">
        <v>15</v>
      </c>
    </row>
    <row r="257" spans="25:42" x14ac:dyDescent="0.35">
      <c r="Y257" s="51" t="s">
        <v>29</v>
      </c>
      <c r="Z257" s="51" t="s">
        <v>2417</v>
      </c>
      <c r="AA257" s="51" t="s">
        <v>2474</v>
      </c>
      <c r="AB257" s="102">
        <v>26.7</v>
      </c>
      <c r="AC257" s="103">
        <v>31</v>
      </c>
      <c r="AD257" s="55">
        <v>27.8</v>
      </c>
      <c r="AE257" s="103">
        <v>31</v>
      </c>
      <c r="AF257" s="103">
        <v>4</v>
      </c>
      <c r="AG257" s="102">
        <v>21.3</v>
      </c>
      <c r="AH257" s="103">
        <v>31</v>
      </c>
      <c r="AI257" s="55">
        <v>20</v>
      </c>
      <c r="AJ257" s="103">
        <v>29</v>
      </c>
      <c r="AK257" s="103">
        <v>1</v>
      </c>
      <c r="AL257" s="52">
        <v>80.599999999999994</v>
      </c>
      <c r="AM257" s="103">
        <v>31</v>
      </c>
      <c r="AN257" s="52">
        <v>24</v>
      </c>
      <c r="AO257" s="103">
        <v>14</v>
      </c>
      <c r="AP257" s="103">
        <v>8</v>
      </c>
    </row>
    <row r="258" spans="25:42" x14ac:dyDescent="0.35">
      <c r="Y258" s="51" t="s">
        <v>29</v>
      </c>
      <c r="Z258" s="51" t="s">
        <v>2417</v>
      </c>
      <c r="AA258" s="51" t="s">
        <v>410</v>
      </c>
      <c r="AB258" s="102">
        <v>29.6</v>
      </c>
      <c r="AC258" s="103">
        <v>30</v>
      </c>
      <c r="AD258" s="55">
        <v>33</v>
      </c>
      <c r="AE258" s="103">
        <v>15</v>
      </c>
      <c r="AF258" s="103">
        <v>1</v>
      </c>
      <c r="AG258" s="102">
        <v>21.1</v>
      </c>
      <c r="AH258" s="103">
        <v>30</v>
      </c>
      <c r="AI258" s="55">
        <v>17.8</v>
      </c>
      <c r="AJ258" s="103">
        <v>11</v>
      </c>
      <c r="AK258" s="103">
        <v>1</v>
      </c>
      <c r="AL258" s="52">
        <v>121</v>
      </c>
      <c r="AM258" s="103">
        <v>30</v>
      </c>
      <c r="AN258" s="52">
        <v>46</v>
      </c>
      <c r="AO258" s="103">
        <v>21</v>
      </c>
      <c r="AP258" s="103">
        <v>5</v>
      </c>
    </row>
    <row r="259" spans="25:42" x14ac:dyDescent="0.35">
      <c r="Y259" s="51" t="s">
        <v>29</v>
      </c>
      <c r="Z259" s="51" t="s">
        <v>2417</v>
      </c>
      <c r="AA259" s="51" t="s">
        <v>112</v>
      </c>
      <c r="AB259" s="102">
        <v>32.799999999999997</v>
      </c>
      <c r="AC259" s="103">
        <v>31</v>
      </c>
      <c r="AD259" s="55">
        <v>34.4</v>
      </c>
      <c r="AE259" s="103">
        <v>10</v>
      </c>
      <c r="AF259" s="103">
        <v>1</v>
      </c>
      <c r="AG259" s="102">
        <v>17.2</v>
      </c>
      <c r="AH259" s="103">
        <v>31</v>
      </c>
      <c r="AI259" s="55">
        <v>10.6</v>
      </c>
      <c r="AJ259" s="103">
        <v>31</v>
      </c>
      <c r="AK259" s="103">
        <v>1</v>
      </c>
      <c r="AL259" s="52">
        <v>0</v>
      </c>
      <c r="AM259" s="103">
        <v>31</v>
      </c>
      <c r="AN259" s="52">
        <v>0</v>
      </c>
      <c r="AO259" s="103">
        <v>31</v>
      </c>
      <c r="AP259" s="103">
        <v>0</v>
      </c>
    </row>
    <row r="260" spans="25:42" x14ac:dyDescent="0.35">
      <c r="Y260" s="51" t="s">
        <v>29</v>
      </c>
      <c r="Z260" s="51" t="s">
        <v>2417</v>
      </c>
      <c r="AA260" s="51" t="s">
        <v>142</v>
      </c>
      <c r="AB260" s="102">
        <v>30.5</v>
      </c>
      <c r="AC260" s="103">
        <v>30</v>
      </c>
      <c r="AD260" s="55">
        <v>32.1</v>
      </c>
      <c r="AE260" s="103">
        <v>1</v>
      </c>
      <c r="AF260" s="103">
        <v>1</v>
      </c>
      <c r="AG260" s="102">
        <v>15.5</v>
      </c>
      <c r="AH260" s="103">
        <v>30</v>
      </c>
      <c r="AI260" s="55">
        <v>10</v>
      </c>
      <c r="AJ260" s="103">
        <v>1</v>
      </c>
      <c r="AK260" s="103">
        <v>1</v>
      </c>
      <c r="AL260" s="52">
        <v>12.3</v>
      </c>
      <c r="AM260" s="103">
        <v>30</v>
      </c>
      <c r="AN260" s="52">
        <v>5.6</v>
      </c>
      <c r="AO260" s="103">
        <v>18</v>
      </c>
      <c r="AP260" s="103">
        <v>2</v>
      </c>
    </row>
    <row r="261" spans="25:42" x14ac:dyDescent="0.35">
      <c r="Y261" s="51" t="s">
        <v>29</v>
      </c>
      <c r="Z261" s="51" t="s">
        <v>2417</v>
      </c>
      <c r="AA261" s="51" t="s">
        <v>30</v>
      </c>
      <c r="AB261" s="102">
        <v>28.5</v>
      </c>
      <c r="AC261" s="103">
        <v>31</v>
      </c>
      <c r="AD261" s="55">
        <v>31.1</v>
      </c>
      <c r="AE261" s="103">
        <v>23</v>
      </c>
      <c r="AF261" s="103">
        <v>1</v>
      </c>
      <c r="AG261" s="102">
        <v>10</v>
      </c>
      <c r="AH261" s="103">
        <v>31</v>
      </c>
      <c r="AI261" s="55">
        <v>7.2</v>
      </c>
      <c r="AJ261" s="103">
        <v>27</v>
      </c>
      <c r="AK261" s="103">
        <v>1</v>
      </c>
      <c r="AL261" s="52">
        <v>0.2</v>
      </c>
      <c r="AM261" s="103">
        <v>31</v>
      </c>
      <c r="AN261" s="52">
        <v>0.2</v>
      </c>
      <c r="AO261" s="103">
        <v>25</v>
      </c>
      <c r="AP261" s="103">
        <v>0</v>
      </c>
    </row>
    <row r="262" spans="25:42" x14ac:dyDescent="0.35">
      <c r="Y262" s="51" t="s">
        <v>29</v>
      </c>
      <c r="Z262" s="51" t="s">
        <v>2418</v>
      </c>
      <c r="AA262" s="51" t="s">
        <v>2469</v>
      </c>
      <c r="AB262" s="102">
        <v>29.9</v>
      </c>
      <c r="AC262" s="103">
        <v>31</v>
      </c>
      <c r="AD262" s="55">
        <v>32.4</v>
      </c>
      <c r="AE262" s="103">
        <v>22</v>
      </c>
      <c r="AF262" s="103">
        <v>1</v>
      </c>
      <c r="AG262" s="102">
        <v>9.6</v>
      </c>
      <c r="AH262" s="103">
        <v>31</v>
      </c>
      <c r="AI262" s="55">
        <v>5.0999999999999996</v>
      </c>
      <c r="AJ262" s="103">
        <v>7</v>
      </c>
      <c r="AK262" s="103">
        <v>1</v>
      </c>
      <c r="AL262" s="52">
        <v>0</v>
      </c>
      <c r="AM262" s="103">
        <v>31</v>
      </c>
      <c r="AN262" s="52">
        <v>0</v>
      </c>
      <c r="AO262" s="103">
        <v>31</v>
      </c>
      <c r="AP262" s="103">
        <v>0</v>
      </c>
    </row>
    <row r="263" spans="25:42" x14ac:dyDescent="0.35">
      <c r="Y263" s="51" t="s">
        <v>29</v>
      </c>
      <c r="Z263" s="51" t="s">
        <v>2418</v>
      </c>
      <c r="AA263" s="51" t="s">
        <v>2470</v>
      </c>
      <c r="AB263" s="102">
        <v>30.7</v>
      </c>
      <c r="AC263" s="103">
        <v>29</v>
      </c>
      <c r="AD263" s="55">
        <v>33.1</v>
      </c>
      <c r="AE263" s="103">
        <v>28</v>
      </c>
      <c r="AF263" s="103">
        <v>1</v>
      </c>
      <c r="AG263" s="102">
        <v>10.6</v>
      </c>
      <c r="AH263" s="103">
        <v>29</v>
      </c>
      <c r="AI263" s="55">
        <v>7.3</v>
      </c>
      <c r="AJ263" s="103">
        <v>16</v>
      </c>
      <c r="AK263" s="103">
        <v>1</v>
      </c>
      <c r="AL263" s="52">
        <v>0</v>
      </c>
      <c r="AM263" s="103">
        <v>29</v>
      </c>
      <c r="AN263" s="52">
        <v>0</v>
      </c>
      <c r="AO263" s="103">
        <v>29</v>
      </c>
      <c r="AP263" s="103">
        <v>0</v>
      </c>
    </row>
    <row r="264" spans="25:42" x14ac:dyDescent="0.35">
      <c r="Y264" s="51" t="s">
        <v>29</v>
      </c>
      <c r="Z264" s="51" t="s">
        <v>2418</v>
      </c>
      <c r="AA264" s="51" t="s">
        <v>49</v>
      </c>
      <c r="AB264" s="102">
        <v>36.6</v>
      </c>
      <c r="AC264" s="103">
        <v>31</v>
      </c>
      <c r="AD264" s="55">
        <v>39.1</v>
      </c>
      <c r="AE264" s="103">
        <v>28</v>
      </c>
      <c r="AF264" s="103">
        <v>1</v>
      </c>
      <c r="AG264" s="102">
        <v>14.8</v>
      </c>
      <c r="AH264" s="103">
        <v>31</v>
      </c>
      <c r="AI264" s="55">
        <v>10.199999999999999</v>
      </c>
      <c r="AJ264" s="103">
        <v>8</v>
      </c>
      <c r="AK264" s="103">
        <v>1</v>
      </c>
      <c r="AL264" s="52">
        <v>0</v>
      </c>
      <c r="AM264" s="103">
        <v>31</v>
      </c>
      <c r="AN264" s="52">
        <v>0</v>
      </c>
      <c r="AO264" s="103">
        <v>31</v>
      </c>
      <c r="AP264" s="103">
        <v>0</v>
      </c>
    </row>
    <row r="265" spans="25:42" x14ac:dyDescent="0.35">
      <c r="Y265" s="51" t="s">
        <v>29</v>
      </c>
      <c r="Z265" s="51" t="s">
        <v>2418</v>
      </c>
      <c r="AA265" s="51" t="s">
        <v>2471</v>
      </c>
      <c r="AB265" s="102">
        <v>37.6</v>
      </c>
      <c r="AC265" s="103">
        <v>30</v>
      </c>
      <c r="AD265" s="55">
        <v>40</v>
      </c>
      <c r="AE265" s="103">
        <v>30</v>
      </c>
      <c r="AF265" s="103">
        <v>1</v>
      </c>
      <c r="AG265" s="102">
        <v>18.8</v>
      </c>
      <c r="AH265" s="103">
        <v>30</v>
      </c>
      <c r="AI265" s="55">
        <v>15.4</v>
      </c>
      <c r="AJ265" s="103">
        <v>4</v>
      </c>
      <c r="AK265" s="103">
        <v>1</v>
      </c>
      <c r="AL265" s="52">
        <v>3.4</v>
      </c>
      <c r="AM265" s="103">
        <v>30</v>
      </c>
      <c r="AN265" s="52">
        <v>3.4</v>
      </c>
      <c r="AO265" s="103">
        <v>27</v>
      </c>
      <c r="AP265" s="103">
        <v>1</v>
      </c>
    </row>
    <row r="266" spans="25:42" x14ac:dyDescent="0.35">
      <c r="Y266" s="51" t="s">
        <v>29</v>
      </c>
      <c r="Z266" s="51" t="s">
        <v>2418</v>
      </c>
      <c r="AA266" s="51" t="s">
        <v>250</v>
      </c>
      <c r="AB266" s="102">
        <v>37.6</v>
      </c>
      <c r="AC266" s="103">
        <v>31</v>
      </c>
      <c r="AD266" s="55">
        <v>40.4</v>
      </c>
      <c r="AE266" s="103">
        <v>14</v>
      </c>
      <c r="AF266" s="103">
        <v>1</v>
      </c>
      <c r="AG266" s="102">
        <v>22.6</v>
      </c>
      <c r="AH266" s="103">
        <v>31</v>
      </c>
      <c r="AI266" s="55">
        <v>16.8</v>
      </c>
      <c r="AJ266" s="103">
        <v>5</v>
      </c>
      <c r="AK266" s="103">
        <v>1</v>
      </c>
      <c r="AL266" s="52">
        <v>0.9</v>
      </c>
      <c r="AM266" s="103">
        <v>31</v>
      </c>
      <c r="AN266" s="52">
        <v>0.7</v>
      </c>
      <c r="AO266" s="103">
        <v>14</v>
      </c>
      <c r="AP266" s="103">
        <v>0</v>
      </c>
    </row>
    <row r="267" spans="25:42" x14ac:dyDescent="0.35">
      <c r="Y267" s="51" t="s">
        <v>29</v>
      </c>
      <c r="Z267" s="51" t="s">
        <v>2418</v>
      </c>
      <c r="AA267" s="51" t="s">
        <v>2472</v>
      </c>
      <c r="AB267" s="102">
        <v>33.6</v>
      </c>
      <c r="AC267" s="103">
        <v>30</v>
      </c>
      <c r="AD267" s="55">
        <v>39.299999999999997</v>
      </c>
      <c r="AE267" s="103">
        <v>5</v>
      </c>
      <c r="AF267" s="103">
        <v>1</v>
      </c>
      <c r="AG267" s="102">
        <v>23</v>
      </c>
      <c r="AH267" s="103">
        <v>30</v>
      </c>
      <c r="AI267" s="55">
        <v>19.600000000000001</v>
      </c>
      <c r="AJ267" s="103">
        <v>15</v>
      </c>
      <c r="AK267" s="103">
        <v>1</v>
      </c>
      <c r="AL267" s="52">
        <v>85.8</v>
      </c>
      <c r="AM267" s="103">
        <v>30</v>
      </c>
      <c r="AN267" s="52">
        <v>18.5</v>
      </c>
      <c r="AO267" s="103">
        <v>20</v>
      </c>
      <c r="AP267" s="103">
        <v>8</v>
      </c>
    </row>
    <row r="268" spans="25:42" x14ac:dyDescent="0.35">
      <c r="Y268" s="51" t="s">
        <v>29</v>
      </c>
      <c r="Z268" s="51" t="s">
        <v>2418</v>
      </c>
      <c r="AA268" s="51" t="s">
        <v>2473</v>
      </c>
      <c r="AB268" s="102">
        <v>29.7</v>
      </c>
      <c r="AC268" s="103">
        <v>31</v>
      </c>
      <c r="AD268" s="55">
        <v>33</v>
      </c>
      <c r="AE268" s="103">
        <v>6</v>
      </c>
      <c r="AF268" s="103">
        <v>1</v>
      </c>
      <c r="AG268" s="102">
        <v>22.4</v>
      </c>
      <c r="AH268" s="103">
        <v>31</v>
      </c>
      <c r="AI268" s="55">
        <v>20.399999999999999</v>
      </c>
      <c r="AJ268" s="103">
        <v>17</v>
      </c>
      <c r="AK268" s="103">
        <v>1</v>
      </c>
      <c r="AL268" s="52">
        <v>133.4</v>
      </c>
      <c r="AM268" s="103">
        <v>31</v>
      </c>
      <c r="AN268" s="52">
        <v>30.4</v>
      </c>
      <c r="AO268" s="103">
        <v>13</v>
      </c>
      <c r="AP268" s="103">
        <v>13</v>
      </c>
    </row>
    <row r="269" spans="25:42" x14ac:dyDescent="0.35">
      <c r="Y269" s="51" t="s">
        <v>29</v>
      </c>
      <c r="Z269" s="51" t="s">
        <v>2418</v>
      </c>
      <c r="AA269" s="51" t="s">
        <v>2474</v>
      </c>
      <c r="AB269" s="102">
        <v>27.2</v>
      </c>
      <c r="AC269" s="103">
        <v>31</v>
      </c>
      <c r="AD269" s="55">
        <v>30.2</v>
      </c>
      <c r="AE269" s="103">
        <v>8</v>
      </c>
      <c r="AF269" s="103">
        <v>2</v>
      </c>
      <c r="AG269" s="102">
        <v>21.5</v>
      </c>
      <c r="AH269" s="103">
        <v>31</v>
      </c>
      <c r="AI269" s="55">
        <v>20.3</v>
      </c>
      <c r="AJ269" s="103">
        <v>24</v>
      </c>
      <c r="AK269" s="103">
        <v>1</v>
      </c>
      <c r="AL269" s="52">
        <v>191.8</v>
      </c>
      <c r="AM269" s="103">
        <v>31</v>
      </c>
      <c r="AN269" s="52">
        <v>42.7</v>
      </c>
      <c r="AO269" s="103">
        <v>13</v>
      </c>
      <c r="AP269" s="103">
        <v>14</v>
      </c>
    </row>
    <row r="270" spans="25:42" x14ac:dyDescent="0.35">
      <c r="Y270" s="51" t="s">
        <v>29</v>
      </c>
      <c r="Z270" s="51" t="s">
        <v>2418</v>
      </c>
      <c r="AA270" s="51" t="s">
        <v>410</v>
      </c>
      <c r="AB270" s="102">
        <v>29.5</v>
      </c>
      <c r="AC270" s="103">
        <v>30</v>
      </c>
      <c r="AD270" s="55">
        <v>33.5</v>
      </c>
      <c r="AE270" s="103">
        <v>29</v>
      </c>
      <c r="AF270" s="103">
        <v>2</v>
      </c>
      <c r="AG270" s="102">
        <v>19.899999999999999</v>
      </c>
      <c r="AH270" s="103">
        <v>30</v>
      </c>
      <c r="AI270" s="55">
        <v>16.899999999999999</v>
      </c>
      <c r="AJ270" s="103">
        <v>18</v>
      </c>
      <c r="AK270" s="103">
        <v>1</v>
      </c>
      <c r="AL270" s="52">
        <v>184.2</v>
      </c>
      <c r="AM270" s="103">
        <v>30</v>
      </c>
      <c r="AN270" s="52">
        <v>50.7</v>
      </c>
      <c r="AO270" s="103">
        <v>30</v>
      </c>
      <c r="AP270" s="103">
        <v>9</v>
      </c>
    </row>
    <row r="271" spans="25:42" x14ac:dyDescent="0.35">
      <c r="Y271" s="51" t="s">
        <v>29</v>
      </c>
      <c r="Z271" s="51" t="s">
        <v>2418</v>
      </c>
      <c r="AA271" s="51" t="s">
        <v>112</v>
      </c>
      <c r="AB271" s="102">
        <v>30.7</v>
      </c>
      <c r="AC271" s="103">
        <v>31</v>
      </c>
      <c r="AD271" s="55">
        <v>33</v>
      </c>
      <c r="AE271" s="103">
        <v>6</v>
      </c>
      <c r="AF271" s="103">
        <v>1</v>
      </c>
      <c r="AG271" s="102">
        <v>18.7</v>
      </c>
      <c r="AH271" s="103">
        <v>31</v>
      </c>
      <c r="AI271" s="55">
        <v>12.5</v>
      </c>
      <c r="AJ271" s="103">
        <v>31</v>
      </c>
      <c r="AK271" s="103">
        <v>1</v>
      </c>
      <c r="AL271" s="52">
        <v>39.5</v>
      </c>
      <c r="AM271" s="103">
        <v>31</v>
      </c>
      <c r="AN271" s="52">
        <v>21.1</v>
      </c>
      <c r="AO271" s="103">
        <v>11</v>
      </c>
      <c r="AP271" s="103">
        <v>3</v>
      </c>
    </row>
    <row r="272" spans="25:42" x14ac:dyDescent="0.35">
      <c r="Y272" s="51" t="s">
        <v>29</v>
      </c>
      <c r="Z272" s="51" t="s">
        <v>2418</v>
      </c>
      <c r="AA272" s="51" t="s">
        <v>142</v>
      </c>
      <c r="AB272" s="102">
        <v>30.6</v>
      </c>
      <c r="AC272" s="103">
        <v>30</v>
      </c>
      <c r="AD272" s="55">
        <v>32.6</v>
      </c>
      <c r="AE272" s="103">
        <v>25</v>
      </c>
      <c r="AF272" s="103">
        <v>1</v>
      </c>
      <c r="AG272" s="102">
        <v>15.2</v>
      </c>
      <c r="AH272" s="103">
        <v>30</v>
      </c>
      <c r="AI272" s="55">
        <v>10.4</v>
      </c>
      <c r="AJ272" s="103">
        <v>30</v>
      </c>
      <c r="AK272" s="103">
        <v>1</v>
      </c>
      <c r="AL272" s="52">
        <v>1.7</v>
      </c>
      <c r="AM272" s="103">
        <v>30</v>
      </c>
      <c r="AN272" s="52">
        <v>1.7</v>
      </c>
      <c r="AO272" s="103">
        <v>21</v>
      </c>
      <c r="AP272" s="103">
        <v>0</v>
      </c>
    </row>
    <row r="273" spans="25:42" x14ac:dyDescent="0.35">
      <c r="Y273" s="51" t="s">
        <v>29</v>
      </c>
      <c r="Z273" s="51" t="s">
        <v>2418</v>
      </c>
      <c r="AA273" s="51" t="s">
        <v>30</v>
      </c>
      <c r="AB273" s="102">
        <v>28.7</v>
      </c>
      <c r="AC273" s="103">
        <v>31</v>
      </c>
      <c r="AD273" s="55">
        <v>30.8</v>
      </c>
      <c r="AE273" s="103">
        <v>4</v>
      </c>
      <c r="AF273" s="103">
        <v>1</v>
      </c>
      <c r="AG273" s="102">
        <v>9.9</v>
      </c>
      <c r="AH273" s="103">
        <v>31</v>
      </c>
      <c r="AI273" s="55">
        <v>6.6</v>
      </c>
      <c r="AJ273" s="103">
        <v>27</v>
      </c>
      <c r="AK273" s="103">
        <v>2</v>
      </c>
      <c r="AL273" s="52">
        <v>0</v>
      </c>
      <c r="AM273" s="103">
        <v>31</v>
      </c>
      <c r="AN273" s="52">
        <v>0</v>
      </c>
      <c r="AO273" s="103">
        <v>31</v>
      </c>
      <c r="AP273" s="103">
        <v>0</v>
      </c>
    </row>
    <row r="274" spans="25:42" x14ac:dyDescent="0.35">
      <c r="Y274" s="51" t="s">
        <v>29</v>
      </c>
      <c r="Z274" s="51" t="s">
        <v>2419</v>
      </c>
      <c r="AA274" s="51" t="s">
        <v>2469</v>
      </c>
      <c r="AB274" s="102">
        <v>30.9</v>
      </c>
      <c r="AC274" s="103">
        <v>31</v>
      </c>
      <c r="AD274" s="55">
        <v>32.6</v>
      </c>
      <c r="AE274" s="103">
        <v>28</v>
      </c>
      <c r="AF274" s="103">
        <v>2</v>
      </c>
      <c r="AG274" s="102">
        <v>10.3</v>
      </c>
      <c r="AH274" s="103">
        <v>31</v>
      </c>
      <c r="AI274" s="55">
        <v>8.6</v>
      </c>
      <c r="AJ274" s="103">
        <v>21</v>
      </c>
      <c r="AK274" s="103">
        <v>1</v>
      </c>
      <c r="AL274" s="52">
        <v>0</v>
      </c>
      <c r="AM274" s="103">
        <v>31</v>
      </c>
      <c r="AN274" s="52">
        <v>0</v>
      </c>
      <c r="AO274" s="103">
        <v>31</v>
      </c>
      <c r="AP274" s="103">
        <v>0</v>
      </c>
    </row>
    <row r="275" spans="25:42" x14ac:dyDescent="0.35">
      <c r="Y275" s="51" t="s">
        <v>29</v>
      </c>
      <c r="Z275" s="51" t="s">
        <v>2419</v>
      </c>
      <c r="AA275" s="51" t="s">
        <v>2470</v>
      </c>
      <c r="AB275" s="102">
        <v>31.7</v>
      </c>
      <c r="AC275" s="103">
        <v>28</v>
      </c>
      <c r="AD275" s="55">
        <v>34.6</v>
      </c>
      <c r="AE275" s="103">
        <v>16</v>
      </c>
      <c r="AF275" s="103">
        <v>1</v>
      </c>
      <c r="AG275" s="102">
        <v>9.9</v>
      </c>
      <c r="AH275" s="103">
        <v>28</v>
      </c>
      <c r="AI275" s="55">
        <v>4.5</v>
      </c>
      <c r="AJ275" s="103">
        <v>21</v>
      </c>
      <c r="AK275" s="103">
        <v>1</v>
      </c>
      <c r="AL275" s="52">
        <v>0</v>
      </c>
      <c r="AM275" s="103">
        <v>28</v>
      </c>
      <c r="AN275" s="52">
        <v>0</v>
      </c>
      <c r="AO275" s="103">
        <v>28</v>
      </c>
      <c r="AP275" s="103">
        <v>0</v>
      </c>
    </row>
    <row r="276" spans="25:42" x14ac:dyDescent="0.35">
      <c r="Y276" s="51" t="s">
        <v>29</v>
      </c>
      <c r="Z276" s="51" t="s">
        <v>2419</v>
      </c>
      <c r="AA276" s="51" t="s">
        <v>49</v>
      </c>
      <c r="AB276" s="102">
        <v>34.299999999999997</v>
      </c>
      <c r="AC276" s="103">
        <v>31</v>
      </c>
      <c r="AD276" s="55">
        <v>37.200000000000003</v>
      </c>
      <c r="AE276" s="103">
        <v>19</v>
      </c>
      <c r="AF276" s="103">
        <v>1</v>
      </c>
      <c r="AG276" s="102">
        <v>14.9</v>
      </c>
      <c r="AH276" s="103">
        <v>31</v>
      </c>
      <c r="AI276" s="55">
        <v>10.6</v>
      </c>
      <c r="AJ276" s="103">
        <v>2</v>
      </c>
      <c r="AK276" s="103">
        <v>1</v>
      </c>
      <c r="AL276" s="52">
        <v>1.5</v>
      </c>
      <c r="AM276" s="103">
        <v>31</v>
      </c>
      <c r="AN276" s="52">
        <v>1.5</v>
      </c>
      <c r="AO276" s="103">
        <v>10</v>
      </c>
      <c r="AP276" s="103">
        <v>0</v>
      </c>
    </row>
    <row r="277" spans="25:42" x14ac:dyDescent="0.35">
      <c r="Y277" s="51" t="s">
        <v>29</v>
      </c>
      <c r="Z277" s="51" t="s">
        <v>2419</v>
      </c>
      <c r="AA277" s="51" t="s">
        <v>2471</v>
      </c>
      <c r="AB277" s="102">
        <v>37.700000000000003</v>
      </c>
      <c r="AC277" s="103">
        <v>30</v>
      </c>
      <c r="AD277" s="55">
        <v>41.3</v>
      </c>
      <c r="AE277" s="103">
        <v>24</v>
      </c>
      <c r="AF277" s="103">
        <v>1</v>
      </c>
      <c r="AG277" s="102">
        <v>18.3</v>
      </c>
      <c r="AH277" s="103">
        <v>30</v>
      </c>
      <c r="AI277" s="55">
        <v>14.2</v>
      </c>
      <c r="AJ277" s="103">
        <v>1</v>
      </c>
      <c r="AK277" s="103">
        <v>1</v>
      </c>
      <c r="AL277" s="52">
        <v>0.6</v>
      </c>
      <c r="AM277" s="103">
        <v>30</v>
      </c>
      <c r="AN277" s="52">
        <v>0.6</v>
      </c>
      <c r="AO277" s="103">
        <v>25</v>
      </c>
      <c r="AP277" s="103">
        <v>0</v>
      </c>
    </row>
    <row r="278" spans="25:42" x14ac:dyDescent="0.35">
      <c r="Y278" s="51" t="s">
        <v>29</v>
      </c>
      <c r="Z278" s="51" t="s">
        <v>2419</v>
      </c>
      <c r="AA278" s="51" t="s">
        <v>250</v>
      </c>
      <c r="AB278" s="102">
        <v>37.799999999999997</v>
      </c>
      <c r="AC278" s="103">
        <v>31</v>
      </c>
      <c r="AD278" s="55">
        <v>41.6</v>
      </c>
      <c r="AE278" s="103">
        <v>7</v>
      </c>
      <c r="AF278" s="103">
        <v>1</v>
      </c>
      <c r="AG278" s="102">
        <v>22.3</v>
      </c>
      <c r="AH278" s="103">
        <v>31</v>
      </c>
      <c r="AI278" s="55">
        <v>17.8</v>
      </c>
      <c r="AJ278" s="103">
        <v>1</v>
      </c>
      <c r="AK278" s="103">
        <v>1</v>
      </c>
      <c r="AL278" s="52">
        <v>1.3</v>
      </c>
      <c r="AM278" s="103">
        <v>31</v>
      </c>
      <c r="AN278" s="52">
        <v>1.3</v>
      </c>
      <c r="AO278" s="103">
        <v>23</v>
      </c>
      <c r="AP278" s="103">
        <v>0</v>
      </c>
    </row>
    <row r="279" spans="25:42" x14ac:dyDescent="0.35">
      <c r="Y279" s="51" t="s">
        <v>29</v>
      </c>
      <c r="Z279" s="51" t="s">
        <v>2419</v>
      </c>
      <c r="AA279" s="51" t="s">
        <v>2472</v>
      </c>
      <c r="AB279" s="102">
        <v>32.799999999999997</v>
      </c>
      <c r="AC279" s="103">
        <v>30</v>
      </c>
      <c r="AD279" s="55">
        <v>40.9</v>
      </c>
      <c r="AE279" s="103">
        <v>7</v>
      </c>
      <c r="AF279" s="103">
        <v>1</v>
      </c>
      <c r="AG279" s="102">
        <v>23.1</v>
      </c>
      <c r="AH279" s="103">
        <v>30</v>
      </c>
      <c r="AI279" s="55">
        <v>20.2</v>
      </c>
      <c r="AJ279" s="103">
        <v>19</v>
      </c>
      <c r="AK279" s="103">
        <v>1</v>
      </c>
      <c r="AL279" s="52">
        <v>140.30000000000001</v>
      </c>
      <c r="AM279" s="103">
        <v>30</v>
      </c>
      <c r="AN279" s="52">
        <v>46.8</v>
      </c>
      <c r="AO279" s="103">
        <v>19</v>
      </c>
      <c r="AP279" s="103">
        <v>11</v>
      </c>
    </row>
    <row r="280" spans="25:42" x14ac:dyDescent="0.35">
      <c r="Y280" s="51" t="s">
        <v>29</v>
      </c>
      <c r="Z280" s="51" t="s">
        <v>2419</v>
      </c>
      <c r="AA280" s="51" t="s">
        <v>2473</v>
      </c>
      <c r="AB280" s="102">
        <v>27.9</v>
      </c>
      <c r="AC280" s="103">
        <v>31</v>
      </c>
      <c r="AD280" s="55">
        <v>32.200000000000003</v>
      </c>
      <c r="AE280" s="103">
        <v>2</v>
      </c>
      <c r="AF280" s="103">
        <v>2</v>
      </c>
      <c r="AG280" s="102">
        <v>22.3</v>
      </c>
      <c r="AH280" s="103">
        <v>31</v>
      </c>
      <c r="AI280" s="55">
        <v>21</v>
      </c>
      <c r="AJ280" s="103">
        <v>30</v>
      </c>
      <c r="AK280" s="103">
        <v>1</v>
      </c>
      <c r="AL280" s="52">
        <v>172.9</v>
      </c>
      <c r="AM280" s="103">
        <v>31</v>
      </c>
      <c r="AN280" s="52">
        <v>33.799999999999997</v>
      </c>
      <c r="AO280" s="103">
        <v>4</v>
      </c>
      <c r="AP280" s="103">
        <v>13</v>
      </c>
    </row>
    <row r="281" spans="25:42" x14ac:dyDescent="0.35">
      <c r="Y281" s="51" t="s">
        <v>29</v>
      </c>
      <c r="Z281" s="51" t="s">
        <v>2419</v>
      </c>
      <c r="AA281" s="51" t="s">
        <v>2474</v>
      </c>
      <c r="AB281" s="102">
        <v>27.7</v>
      </c>
      <c r="AC281" s="103">
        <v>31</v>
      </c>
      <c r="AD281" s="55">
        <v>30.1</v>
      </c>
      <c r="AE281" s="103">
        <v>29</v>
      </c>
      <c r="AF281" s="103">
        <v>1</v>
      </c>
      <c r="AG281" s="102">
        <v>21.4</v>
      </c>
      <c r="AH281" s="103">
        <v>31</v>
      </c>
      <c r="AI281" s="55">
        <v>19</v>
      </c>
      <c r="AJ281" s="103">
        <v>27</v>
      </c>
      <c r="AK281" s="103">
        <v>1</v>
      </c>
      <c r="AL281" s="52">
        <v>57.6</v>
      </c>
      <c r="AM281" s="103">
        <v>31</v>
      </c>
      <c r="AN281" s="52">
        <v>12.1</v>
      </c>
      <c r="AO281" s="103">
        <v>12</v>
      </c>
      <c r="AP281" s="103">
        <v>5</v>
      </c>
    </row>
    <row r="282" spans="25:42" x14ac:dyDescent="0.35">
      <c r="Y282" s="51" t="s">
        <v>29</v>
      </c>
      <c r="Z282" s="51" t="s">
        <v>2419</v>
      </c>
      <c r="AA282" s="51" t="s">
        <v>410</v>
      </c>
      <c r="AB282" s="102">
        <v>28.5</v>
      </c>
      <c r="AC282" s="103">
        <v>30</v>
      </c>
      <c r="AD282" s="55">
        <v>32</v>
      </c>
      <c r="AE282" s="103">
        <v>24</v>
      </c>
      <c r="AF282" s="103">
        <v>1</v>
      </c>
      <c r="AG282" s="102">
        <v>20.9</v>
      </c>
      <c r="AH282" s="103">
        <v>30</v>
      </c>
      <c r="AI282" s="55">
        <v>19.2</v>
      </c>
      <c r="AJ282" s="103">
        <v>15</v>
      </c>
      <c r="AK282" s="103">
        <v>1</v>
      </c>
      <c r="AL282" s="52">
        <v>57.5</v>
      </c>
      <c r="AM282" s="103">
        <v>30</v>
      </c>
      <c r="AN282" s="52">
        <v>14.6</v>
      </c>
      <c r="AO282" s="103">
        <v>25</v>
      </c>
      <c r="AP282" s="103">
        <v>7</v>
      </c>
    </row>
    <row r="283" spans="25:42" x14ac:dyDescent="0.35">
      <c r="Y283" s="51" t="s">
        <v>29</v>
      </c>
      <c r="Z283" s="51" t="s">
        <v>2419</v>
      </c>
      <c r="AA283" s="51" t="s">
        <v>112</v>
      </c>
      <c r="AB283" s="102">
        <v>30.6</v>
      </c>
      <c r="AC283" s="103">
        <v>31</v>
      </c>
      <c r="AD283" s="55">
        <v>33.700000000000003</v>
      </c>
      <c r="AE283" s="103">
        <v>8</v>
      </c>
      <c r="AF283" s="103">
        <v>1</v>
      </c>
      <c r="AG283" s="102">
        <v>20</v>
      </c>
      <c r="AH283" s="103">
        <v>31</v>
      </c>
      <c r="AI283" s="55">
        <v>13.4</v>
      </c>
      <c r="AJ283" s="103">
        <v>31</v>
      </c>
      <c r="AK283" s="103">
        <v>1</v>
      </c>
      <c r="AL283" s="52">
        <v>268.60000000000002</v>
      </c>
      <c r="AM283" s="103">
        <v>31</v>
      </c>
      <c r="AN283" s="52">
        <v>49.7</v>
      </c>
      <c r="AO283" s="103">
        <v>25</v>
      </c>
      <c r="AP283" s="103">
        <v>13</v>
      </c>
    </row>
    <row r="284" spans="25:42" x14ac:dyDescent="0.35">
      <c r="Y284" s="51" t="s">
        <v>29</v>
      </c>
      <c r="Z284" s="51" t="s">
        <v>2419</v>
      </c>
      <c r="AA284" s="51" t="s">
        <v>142</v>
      </c>
      <c r="AB284" s="102">
        <v>29.5</v>
      </c>
      <c r="AC284" s="103">
        <v>30</v>
      </c>
      <c r="AD284" s="55">
        <v>31</v>
      </c>
      <c r="AE284" s="103">
        <v>14</v>
      </c>
      <c r="AF284" s="103">
        <v>1</v>
      </c>
      <c r="AG284" s="102">
        <v>15.3</v>
      </c>
      <c r="AH284" s="103">
        <v>30</v>
      </c>
      <c r="AI284" s="55">
        <v>8</v>
      </c>
      <c r="AJ284" s="103">
        <v>27</v>
      </c>
      <c r="AK284" s="103">
        <v>1</v>
      </c>
      <c r="AL284" s="52">
        <v>5.8</v>
      </c>
      <c r="AM284" s="103">
        <v>30</v>
      </c>
      <c r="AN284" s="52">
        <v>1.8</v>
      </c>
      <c r="AO284" s="103">
        <v>16</v>
      </c>
      <c r="AP284" s="103">
        <v>0</v>
      </c>
    </row>
    <row r="285" spans="25:42" x14ac:dyDescent="0.35">
      <c r="Y285" s="51" t="s">
        <v>29</v>
      </c>
      <c r="Z285" s="51" t="s">
        <v>2419</v>
      </c>
      <c r="AA285" s="51" t="s">
        <v>30</v>
      </c>
      <c r="AB285" s="102">
        <v>26.7</v>
      </c>
      <c r="AC285" s="103">
        <v>31</v>
      </c>
      <c r="AD285" s="55">
        <v>29.2</v>
      </c>
      <c r="AE285" s="103">
        <v>12</v>
      </c>
      <c r="AF285" s="103">
        <v>1</v>
      </c>
      <c r="AG285" s="102">
        <v>10.8</v>
      </c>
      <c r="AH285" s="103">
        <v>31</v>
      </c>
      <c r="AI285" s="55">
        <v>7.2</v>
      </c>
      <c r="AJ285" s="103">
        <v>23</v>
      </c>
      <c r="AK285" s="103">
        <v>1</v>
      </c>
      <c r="AL285" s="52">
        <v>37</v>
      </c>
      <c r="AM285" s="103">
        <v>31</v>
      </c>
      <c r="AN285" s="52">
        <v>33.5</v>
      </c>
      <c r="AO285" s="103">
        <v>6</v>
      </c>
      <c r="AP285" s="103">
        <v>2</v>
      </c>
    </row>
    <row r="286" spans="25:42" x14ac:dyDescent="0.35">
      <c r="Y286" s="51" t="s">
        <v>29</v>
      </c>
      <c r="Z286" s="51" t="s">
        <v>2420</v>
      </c>
      <c r="AA286" s="51" t="s">
        <v>2469</v>
      </c>
      <c r="AB286" s="102">
        <v>29.1</v>
      </c>
      <c r="AC286" s="103">
        <v>31</v>
      </c>
      <c r="AD286" s="55">
        <v>31.8</v>
      </c>
      <c r="AE286" s="103">
        <v>30</v>
      </c>
      <c r="AF286" s="103">
        <v>1</v>
      </c>
      <c r="AG286" s="102">
        <v>11.6</v>
      </c>
      <c r="AH286" s="103">
        <v>31</v>
      </c>
      <c r="AI286" s="55">
        <v>4.4000000000000004</v>
      </c>
      <c r="AJ286" s="103">
        <v>16</v>
      </c>
      <c r="AK286" s="103">
        <v>1</v>
      </c>
      <c r="AL286" s="52">
        <v>0.6</v>
      </c>
      <c r="AM286" s="103">
        <v>31</v>
      </c>
      <c r="AN286" s="52">
        <v>0.6</v>
      </c>
      <c r="AO286" s="103">
        <v>12</v>
      </c>
      <c r="AP286" s="103">
        <v>0</v>
      </c>
    </row>
    <row r="287" spans="25:42" x14ac:dyDescent="0.35">
      <c r="Y287" s="51" t="s">
        <v>29</v>
      </c>
      <c r="Z287" s="51" t="s">
        <v>2420</v>
      </c>
      <c r="AA287" s="51" t="s">
        <v>2470</v>
      </c>
      <c r="AB287" s="102">
        <v>30.7</v>
      </c>
      <c r="AC287" s="103">
        <v>28</v>
      </c>
      <c r="AD287" s="55">
        <v>34.200000000000003</v>
      </c>
      <c r="AE287" s="103">
        <v>28</v>
      </c>
      <c r="AF287" s="103">
        <v>1</v>
      </c>
      <c r="AG287" s="102">
        <v>11.6</v>
      </c>
      <c r="AH287" s="103">
        <v>28</v>
      </c>
      <c r="AI287" s="55">
        <v>7.6</v>
      </c>
      <c r="AJ287" s="103">
        <v>1</v>
      </c>
      <c r="AK287" s="103">
        <v>1</v>
      </c>
      <c r="AL287" s="52">
        <v>0</v>
      </c>
      <c r="AM287" s="103">
        <v>28</v>
      </c>
      <c r="AN287" s="52">
        <v>0</v>
      </c>
      <c r="AO287" s="103">
        <v>28</v>
      </c>
      <c r="AP287" s="103">
        <v>0</v>
      </c>
    </row>
    <row r="288" spans="25:42" x14ac:dyDescent="0.35">
      <c r="Y288" s="51" t="s">
        <v>29</v>
      </c>
      <c r="Z288" s="51" t="s">
        <v>2420</v>
      </c>
      <c r="AA288" s="51" t="s">
        <v>49</v>
      </c>
      <c r="AB288" s="102">
        <v>37</v>
      </c>
      <c r="AC288" s="103">
        <v>31</v>
      </c>
      <c r="AD288" s="55">
        <v>39.4</v>
      </c>
      <c r="AE288" s="103">
        <v>31</v>
      </c>
      <c r="AF288" s="103">
        <v>1</v>
      </c>
      <c r="AG288" s="102">
        <v>16.2</v>
      </c>
      <c r="AH288" s="103">
        <v>31</v>
      </c>
      <c r="AI288" s="55">
        <v>11.4</v>
      </c>
      <c r="AJ288" s="103">
        <v>1</v>
      </c>
      <c r="AK288" s="103">
        <v>1</v>
      </c>
      <c r="AL288" s="52">
        <v>0</v>
      </c>
      <c r="AM288" s="103">
        <v>31</v>
      </c>
      <c r="AN288" s="52">
        <v>0</v>
      </c>
      <c r="AO288" s="103">
        <v>31</v>
      </c>
      <c r="AP288" s="103">
        <v>0</v>
      </c>
    </row>
    <row r="289" spans="25:42" x14ac:dyDescent="0.35">
      <c r="Y289" s="51" t="s">
        <v>29</v>
      </c>
      <c r="Z289" s="51" t="s">
        <v>2420</v>
      </c>
      <c r="AA289" s="51" t="s">
        <v>2471</v>
      </c>
      <c r="AB289" s="102">
        <v>36.200000000000003</v>
      </c>
      <c r="AC289" s="103">
        <v>30</v>
      </c>
      <c r="AD289" s="55">
        <v>38.799999999999997</v>
      </c>
      <c r="AE289" s="103">
        <v>28</v>
      </c>
      <c r="AF289" s="103">
        <v>1</v>
      </c>
      <c r="AG289" s="102">
        <v>18.8</v>
      </c>
      <c r="AH289" s="103">
        <v>30</v>
      </c>
      <c r="AI289" s="55">
        <v>15.4</v>
      </c>
      <c r="AJ289" s="103">
        <v>4</v>
      </c>
      <c r="AK289" s="103">
        <v>1</v>
      </c>
      <c r="AL289" s="52">
        <v>13.6</v>
      </c>
      <c r="AM289" s="103">
        <v>30</v>
      </c>
      <c r="AN289" s="52">
        <v>7.2</v>
      </c>
      <c r="AO289" s="103">
        <v>9</v>
      </c>
      <c r="AP289" s="103">
        <v>2</v>
      </c>
    </row>
    <row r="290" spans="25:42" x14ac:dyDescent="0.35">
      <c r="Y290" s="51" t="s">
        <v>29</v>
      </c>
      <c r="Z290" s="51" t="s">
        <v>2420</v>
      </c>
      <c r="AA290" s="51" t="s">
        <v>250</v>
      </c>
      <c r="AB290" s="102">
        <v>37.200000000000003</v>
      </c>
      <c r="AC290" s="103">
        <v>31</v>
      </c>
      <c r="AD290" s="55">
        <v>40.6</v>
      </c>
      <c r="AE290" s="103">
        <v>15</v>
      </c>
      <c r="AF290" s="103">
        <v>1</v>
      </c>
      <c r="AG290" s="102">
        <v>21.8</v>
      </c>
      <c r="AH290" s="103">
        <v>31</v>
      </c>
      <c r="AI290" s="55">
        <v>17.3</v>
      </c>
      <c r="AJ290" s="103">
        <v>2</v>
      </c>
      <c r="AK290" s="103">
        <v>1</v>
      </c>
      <c r="AL290" s="52">
        <v>50.5</v>
      </c>
      <c r="AM290" s="103">
        <v>31</v>
      </c>
      <c r="AN290" s="52">
        <v>27.1</v>
      </c>
      <c r="AO290" s="103">
        <v>2</v>
      </c>
      <c r="AP290" s="103">
        <v>3</v>
      </c>
    </row>
    <row r="291" spans="25:42" x14ac:dyDescent="0.35">
      <c r="Y291" s="51" t="s">
        <v>29</v>
      </c>
      <c r="Z291" s="51" t="s">
        <v>2420</v>
      </c>
      <c r="AA291" s="51" t="s">
        <v>2472</v>
      </c>
      <c r="AB291" s="102">
        <v>29.6</v>
      </c>
      <c r="AC291" s="103">
        <v>30</v>
      </c>
      <c r="AD291" s="55">
        <v>38.200000000000003</v>
      </c>
      <c r="AE291" s="103">
        <v>1</v>
      </c>
      <c r="AF291" s="103">
        <v>1</v>
      </c>
      <c r="AG291" s="102">
        <v>22.6</v>
      </c>
      <c r="AH291" s="103">
        <v>30</v>
      </c>
      <c r="AI291" s="55">
        <v>20.9</v>
      </c>
      <c r="AJ291" s="103">
        <v>7</v>
      </c>
      <c r="AK291" s="103">
        <v>1</v>
      </c>
      <c r="AL291" s="52">
        <v>313.3</v>
      </c>
      <c r="AM291" s="103">
        <v>30</v>
      </c>
      <c r="AN291" s="52">
        <v>76.099999999999994</v>
      </c>
      <c r="AO291" s="103">
        <v>16</v>
      </c>
      <c r="AP291" s="103">
        <v>15</v>
      </c>
    </row>
    <row r="292" spans="25:42" x14ac:dyDescent="0.35">
      <c r="Y292" s="51" t="s">
        <v>29</v>
      </c>
      <c r="Z292" s="51" t="s">
        <v>2420</v>
      </c>
      <c r="AA292" s="51" t="s">
        <v>2473</v>
      </c>
      <c r="AB292" s="102">
        <v>26.5</v>
      </c>
      <c r="AC292" s="103">
        <v>31</v>
      </c>
      <c r="AD292" s="55">
        <v>28.4</v>
      </c>
      <c r="AE292" s="103">
        <v>3</v>
      </c>
      <c r="AF292" s="103">
        <v>1</v>
      </c>
      <c r="AG292" s="102">
        <v>21.9</v>
      </c>
      <c r="AH292" s="103">
        <v>31</v>
      </c>
      <c r="AI292" s="55">
        <v>20.2</v>
      </c>
      <c r="AJ292" s="103">
        <v>5</v>
      </c>
      <c r="AK292" s="103">
        <v>1</v>
      </c>
      <c r="AL292" s="52">
        <v>302.7</v>
      </c>
      <c r="AM292" s="103">
        <v>31</v>
      </c>
      <c r="AN292" s="52">
        <v>52.3</v>
      </c>
      <c r="AO292" s="103">
        <v>14</v>
      </c>
      <c r="AP292" s="103">
        <v>22</v>
      </c>
    </row>
    <row r="293" spans="25:42" x14ac:dyDescent="0.35">
      <c r="Y293" s="51" t="s">
        <v>29</v>
      </c>
      <c r="Z293" s="51" t="s">
        <v>2420</v>
      </c>
      <c r="AA293" s="51" t="s">
        <v>2474</v>
      </c>
      <c r="AB293" s="102">
        <v>27.1</v>
      </c>
      <c r="AC293" s="103">
        <v>31</v>
      </c>
      <c r="AD293" s="55">
        <v>28.6</v>
      </c>
      <c r="AE293" s="103">
        <v>7</v>
      </c>
      <c r="AF293" s="103">
        <v>1</v>
      </c>
      <c r="AG293" s="102">
        <v>21.7</v>
      </c>
      <c r="AH293" s="103">
        <v>31</v>
      </c>
      <c r="AI293" s="55">
        <v>20.9</v>
      </c>
      <c r="AJ293" s="103">
        <v>31</v>
      </c>
      <c r="AK293" s="103">
        <v>1</v>
      </c>
      <c r="AL293" s="52">
        <v>93.1</v>
      </c>
      <c r="AM293" s="103">
        <v>31</v>
      </c>
      <c r="AN293" s="52">
        <v>23.9</v>
      </c>
      <c r="AO293" s="103">
        <v>27</v>
      </c>
      <c r="AP293" s="103">
        <v>8</v>
      </c>
    </row>
    <row r="294" spans="25:42" x14ac:dyDescent="0.35">
      <c r="Y294" s="51" t="s">
        <v>29</v>
      </c>
      <c r="Z294" s="51" t="s">
        <v>2420</v>
      </c>
      <c r="AA294" s="51" t="s">
        <v>410</v>
      </c>
      <c r="AB294" s="102">
        <v>28.7</v>
      </c>
      <c r="AC294" s="103">
        <v>30</v>
      </c>
      <c r="AD294" s="55">
        <v>33.5</v>
      </c>
      <c r="AE294" s="103">
        <v>25</v>
      </c>
      <c r="AF294" s="103">
        <v>1</v>
      </c>
      <c r="AG294" s="102">
        <v>19.7</v>
      </c>
      <c r="AH294" s="103">
        <v>30</v>
      </c>
      <c r="AI294" s="55">
        <v>13.2</v>
      </c>
      <c r="AJ294" s="103">
        <v>21</v>
      </c>
      <c r="AK294" s="103">
        <v>1</v>
      </c>
      <c r="AL294" s="52">
        <v>63.9</v>
      </c>
      <c r="AM294" s="103">
        <v>30</v>
      </c>
      <c r="AN294" s="52">
        <v>24.1</v>
      </c>
      <c r="AO294" s="103">
        <v>2</v>
      </c>
      <c r="AP294" s="103">
        <v>7</v>
      </c>
    </row>
    <row r="295" spans="25:42" x14ac:dyDescent="0.35">
      <c r="Y295" s="51" t="s">
        <v>29</v>
      </c>
      <c r="Z295" s="51" t="s">
        <v>2420</v>
      </c>
      <c r="AA295" s="51" t="s">
        <v>112</v>
      </c>
      <c r="AB295" s="102">
        <v>31.6</v>
      </c>
      <c r="AC295" s="103">
        <v>31</v>
      </c>
      <c r="AD295" s="55">
        <v>33.700000000000003</v>
      </c>
      <c r="AE295" s="103">
        <v>12</v>
      </c>
      <c r="AF295" s="103">
        <v>2</v>
      </c>
      <c r="AG295" s="102">
        <v>19</v>
      </c>
      <c r="AH295" s="103">
        <v>31</v>
      </c>
      <c r="AI295" s="55">
        <v>13.8</v>
      </c>
      <c r="AJ295" s="103">
        <v>28</v>
      </c>
      <c r="AK295" s="103">
        <v>1</v>
      </c>
      <c r="AL295" s="52">
        <v>119.4</v>
      </c>
      <c r="AM295" s="103">
        <v>31</v>
      </c>
      <c r="AN295" s="52">
        <v>81.599999999999994</v>
      </c>
      <c r="AO295" s="103">
        <v>17</v>
      </c>
      <c r="AP295" s="103">
        <v>6</v>
      </c>
    </row>
    <row r="296" spans="25:42" x14ac:dyDescent="0.35">
      <c r="Y296" s="51" t="s">
        <v>29</v>
      </c>
      <c r="Z296" s="51" t="s">
        <v>2420</v>
      </c>
      <c r="AA296" s="51" t="s">
        <v>142</v>
      </c>
      <c r="AB296" s="102">
        <v>29.2</v>
      </c>
      <c r="AC296" s="103">
        <v>30</v>
      </c>
      <c r="AD296" s="55">
        <v>31.3</v>
      </c>
      <c r="AE296" s="103">
        <v>15</v>
      </c>
      <c r="AF296" s="103">
        <v>1</v>
      </c>
      <c r="AG296" s="102">
        <v>15</v>
      </c>
      <c r="AH296" s="103">
        <v>30</v>
      </c>
      <c r="AI296" s="55">
        <v>8.4</v>
      </c>
      <c r="AJ296" s="103">
        <v>24</v>
      </c>
      <c r="AK296" s="103">
        <v>1</v>
      </c>
      <c r="AL296" s="52">
        <v>9.1</v>
      </c>
      <c r="AM296" s="103">
        <v>30</v>
      </c>
      <c r="AN296" s="52">
        <v>9.1</v>
      </c>
      <c r="AO296" s="103">
        <v>15</v>
      </c>
      <c r="AP296" s="103">
        <v>1</v>
      </c>
    </row>
    <row r="297" spans="25:42" x14ac:dyDescent="0.35">
      <c r="Y297" s="51" t="s">
        <v>29</v>
      </c>
      <c r="Z297" s="51" t="s">
        <v>2420</v>
      </c>
      <c r="AA297" s="51" t="s">
        <v>30</v>
      </c>
      <c r="AB297" s="102">
        <v>28.3</v>
      </c>
      <c r="AC297" s="103">
        <v>31</v>
      </c>
      <c r="AD297" s="55">
        <v>32</v>
      </c>
      <c r="AE297" s="103">
        <v>1</v>
      </c>
      <c r="AF297" s="103">
        <v>1</v>
      </c>
      <c r="AG297" s="102">
        <v>9.6</v>
      </c>
      <c r="AH297" s="103">
        <v>31</v>
      </c>
      <c r="AI297" s="55">
        <v>6.4</v>
      </c>
      <c r="AJ297" s="103">
        <v>24</v>
      </c>
      <c r="AK297" s="103">
        <v>1</v>
      </c>
      <c r="AL297" s="52">
        <v>0</v>
      </c>
      <c r="AM297" s="103">
        <v>31</v>
      </c>
      <c r="AN297" s="52">
        <v>0</v>
      </c>
      <c r="AO297" s="103">
        <v>31</v>
      </c>
      <c r="AP297" s="103">
        <v>0</v>
      </c>
    </row>
    <row r="298" spans="25:42" x14ac:dyDescent="0.35">
      <c r="Y298" s="51" t="s">
        <v>29</v>
      </c>
      <c r="Z298" s="51" t="s">
        <v>2421</v>
      </c>
      <c r="AA298" s="51" t="s">
        <v>2469</v>
      </c>
      <c r="AB298" s="102">
        <v>27</v>
      </c>
      <c r="AC298" s="103">
        <v>31</v>
      </c>
      <c r="AD298" s="55">
        <v>31.5</v>
      </c>
      <c r="AE298" s="103">
        <v>23</v>
      </c>
      <c r="AF298" s="103">
        <v>1</v>
      </c>
      <c r="AG298" s="102">
        <v>9.8000000000000007</v>
      </c>
      <c r="AH298" s="103">
        <v>31</v>
      </c>
      <c r="AI298" s="55">
        <v>6.8</v>
      </c>
      <c r="AJ298" s="103">
        <v>10</v>
      </c>
      <c r="AK298" s="103">
        <v>1</v>
      </c>
      <c r="AL298" s="52">
        <v>14.7</v>
      </c>
      <c r="AM298" s="103">
        <v>31</v>
      </c>
      <c r="AN298" s="52">
        <v>13.6</v>
      </c>
      <c r="AO298" s="103">
        <v>8</v>
      </c>
      <c r="AP298" s="103">
        <v>1</v>
      </c>
    </row>
    <row r="299" spans="25:42" x14ac:dyDescent="0.35">
      <c r="Y299" s="51" t="s">
        <v>29</v>
      </c>
      <c r="Z299" s="51" t="s">
        <v>2421</v>
      </c>
      <c r="AA299" s="51" t="s">
        <v>2470</v>
      </c>
      <c r="AB299" s="102">
        <v>31.9</v>
      </c>
      <c r="AC299" s="103">
        <v>28</v>
      </c>
      <c r="AD299" s="55">
        <v>35</v>
      </c>
      <c r="AE299" s="103">
        <v>12</v>
      </c>
      <c r="AF299" s="103">
        <v>1</v>
      </c>
      <c r="AG299" s="102">
        <v>12.9</v>
      </c>
      <c r="AH299" s="103">
        <v>28</v>
      </c>
      <c r="AI299" s="55">
        <v>9.4</v>
      </c>
      <c r="AJ299" s="103">
        <v>24</v>
      </c>
      <c r="AK299" s="103">
        <v>1</v>
      </c>
      <c r="AL299" s="52">
        <v>0</v>
      </c>
      <c r="AM299" s="103">
        <v>28</v>
      </c>
      <c r="AN299" s="52">
        <v>0</v>
      </c>
      <c r="AO299" s="103">
        <v>28</v>
      </c>
      <c r="AP299" s="103">
        <v>0</v>
      </c>
    </row>
    <row r="300" spans="25:42" x14ac:dyDescent="0.35">
      <c r="Y300" s="51" t="s">
        <v>29</v>
      </c>
      <c r="Z300" s="51" t="s">
        <v>2421</v>
      </c>
      <c r="AA300" s="51" t="s">
        <v>49</v>
      </c>
      <c r="AB300" s="102">
        <v>34.4</v>
      </c>
      <c r="AC300" s="103">
        <v>31</v>
      </c>
      <c r="AD300" s="55">
        <v>37.799999999999997</v>
      </c>
      <c r="AE300" s="103">
        <v>24</v>
      </c>
      <c r="AF300" s="103">
        <v>1</v>
      </c>
      <c r="AG300" s="102">
        <v>16</v>
      </c>
      <c r="AH300" s="103">
        <v>31</v>
      </c>
      <c r="AI300" s="55">
        <v>11.5</v>
      </c>
      <c r="AJ300" s="103">
        <v>2</v>
      </c>
      <c r="AK300" s="103">
        <v>1</v>
      </c>
      <c r="AL300" s="52">
        <v>0</v>
      </c>
      <c r="AM300" s="103">
        <v>31</v>
      </c>
      <c r="AN300" s="52">
        <v>0</v>
      </c>
      <c r="AO300" s="103">
        <v>31</v>
      </c>
      <c r="AP300" s="103">
        <v>0</v>
      </c>
    </row>
    <row r="301" spans="25:42" x14ac:dyDescent="0.35">
      <c r="Y301" s="51" t="s">
        <v>29</v>
      </c>
      <c r="Z301" s="51" t="s">
        <v>2421</v>
      </c>
      <c r="AA301" s="51" t="s">
        <v>2471</v>
      </c>
      <c r="AB301" s="102">
        <v>37.4</v>
      </c>
      <c r="AC301" s="103">
        <v>30</v>
      </c>
      <c r="AD301" s="55">
        <v>40.299999999999997</v>
      </c>
      <c r="AE301" s="103">
        <v>27</v>
      </c>
      <c r="AF301" s="103">
        <v>1</v>
      </c>
      <c r="AG301" s="102">
        <v>19.399999999999999</v>
      </c>
      <c r="AH301" s="103">
        <v>30</v>
      </c>
      <c r="AI301" s="55">
        <v>12.7</v>
      </c>
      <c r="AJ301" s="103">
        <v>2</v>
      </c>
      <c r="AK301" s="103">
        <v>1</v>
      </c>
      <c r="AL301" s="52">
        <v>34.5</v>
      </c>
      <c r="AM301" s="103">
        <v>30</v>
      </c>
      <c r="AN301" s="52">
        <v>24.3</v>
      </c>
      <c r="AO301" s="103">
        <v>30</v>
      </c>
      <c r="AP301" s="103">
        <v>2</v>
      </c>
    </row>
    <row r="302" spans="25:42" x14ac:dyDescent="0.35">
      <c r="Y302" s="51" t="s">
        <v>29</v>
      </c>
      <c r="Z302" s="51" t="s">
        <v>2421</v>
      </c>
      <c r="AA302" s="51" t="s">
        <v>250</v>
      </c>
      <c r="AB302" s="102">
        <v>35.9</v>
      </c>
      <c r="AC302" s="103">
        <v>31</v>
      </c>
      <c r="AD302" s="55">
        <v>40.700000000000003</v>
      </c>
      <c r="AE302" s="103">
        <v>29</v>
      </c>
      <c r="AF302" s="103">
        <v>1</v>
      </c>
      <c r="AG302" s="102">
        <v>22.8</v>
      </c>
      <c r="AH302" s="103">
        <v>31</v>
      </c>
      <c r="AI302" s="55">
        <v>19.399999999999999</v>
      </c>
      <c r="AJ302" s="103">
        <v>23</v>
      </c>
      <c r="AK302" s="103">
        <v>1</v>
      </c>
      <c r="AL302" s="52">
        <v>20.9</v>
      </c>
      <c r="AM302" s="103">
        <v>31</v>
      </c>
      <c r="AN302" s="52">
        <v>13.3</v>
      </c>
      <c r="AO302" s="103">
        <v>26</v>
      </c>
      <c r="AP302" s="103">
        <v>2</v>
      </c>
    </row>
    <row r="303" spans="25:42" x14ac:dyDescent="0.35">
      <c r="Y303" s="51" t="s">
        <v>29</v>
      </c>
      <c r="Z303" s="51" t="s">
        <v>2421</v>
      </c>
      <c r="AA303" s="51" t="s">
        <v>2472</v>
      </c>
      <c r="AB303" s="102">
        <v>34.299999999999997</v>
      </c>
      <c r="AC303" s="103">
        <v>30</v>
      </c>
      <c r="AD303" s="55">
        <v>37.9</v>
      </c>
      <c r="AE303" s="103">
        <v>4</v>
      </c>
      <c r="AF303" s="103">
        <v>2</v>
      </c>
      <c r="AG303" s="102">
        <v>23.8</v>
      </c>
      <c r="AH303" s="103">
        <v>30</v>
      </c>
      <c r="AI303" s="55">
        <v>21.9</v>
      </c>
      <c r="AJ303" s="103">
        <v>14</v>
      </c>
      <c r="AK303" s="103">
        <v>1</v>
      </c>
      <c r="AL303" s="52">
        <v>58.9</v>
      </c>
      <c r="AM303" s="103">
        <v>30</v>
      </c>
      <c r="AN303" s="52">
        <v>34.200000000000003</v>
      </c>
      <c r="AO303" s="103">
        <v>29</v>
      </c>
      <c r="AP303" s="103">
        <v>4</v>
      </c>
    </row>
    <row r="304" spans="25:42" x14ac:dyDescent="0.35">
      <c r="Y304" s="51" t="s">
        <v>29</v>
      </c>
      <c r="Z304" s="51" t="s">
        <v>2421</v>
      </c>
      <c r="AA304" s="51" t="s">
        <v>2473</v>
      </c>
      <c r="AB304" s="102">
        <v>28.9</v>
      </c>
      <c r="AC304" s="103">
        <v>31</v>
      </c>
      <c r="AD304" s="55">
        <v>34.4</v>
      </c>
      <c r="AE304" s="103">
        <v>7</v>
      </c>
      <c r="AF304" s="103">
        <v>1</v>
      </c>
      <c r="AG304" s="102">
        <v>22.9</v>
      </c>
      <c r="AH304" s="103">
        <v>31</v>
      </c>
      <c r="AI304" s="55">
        <v>20.9</v>
      </c>
      <c r="AJ304" s="103">
        <v>1</v>
      </c>
      <c r="AK304" s="103">
        <v>1</v>
      </c>
      <c r="AL304" s="52">
        <v>191</v>
      </c>
      <c r="AM304" s="103">
        <v>31</v>
      </c>
      <c r="AN304" s="52">
        <v>29.9</v>
      </c>
      <c r="AO304" s="103">
        <v>19</v>
      </c>
      <c r="AP304" s="103">
        <v>15</v>
      </c>
    </row>
    <row r="305" spans="25:42" x14ac:dyDescent="0.35">
      <c r="Y305" s="51" t="s">
        <v>29</v>
      </c>
      <c r="Z305" s="51" t="s">
        <v>2421</v>
      </c>
      <c r="AA305" s="51" t="s">
        <v>2474</v>
      </c>
      <c r="AB305" s="102">
        <v>29.2</v>
      </c>
      <c r="AC305" s="103">
        <v>31</v>
      </c>
      <c r="AD305" s="55">
        <v>31.3</v>
      </c>
      <c r="AE305" s="103">
        <v>25</v>
      </c>
      <c r="AF305" s="103">
        <v>1</v>
      </c>
      <c r="AG305" s="102">
        <v>22</v>
      </c>
      <c r="AH305" s="103">
        <v>31</v>
      </c>
      <c r="AI305" s="55">
        <v>20.399999999999999</v>
      </c>
      <c r="AJ305" s="103">
        <v>31</v>
      </c>
      <c r="AK305" s="103">
        <v>1</v>
      </c>
      <c r="AL305" s="52">
        <v>43.8</v>
      </c>
      <c r="AM305" s="103">
        <v>31</v>
      </c>
      <c r="AN305" s="52">
        <v>21.4</v>
      </c>
      <c r="AO305" s="103">
        <v>31</v>
      </c>
      <c r="AP305" s="103">
        <v>3</v>
      </c>
    </row>
    <row r="306" spans="25:42" x14ac:dyDescent="0.35">
      <c r="Y306" s="51" t="s">
        <v>29</v>
      </c>
      <c r="Z306" s="51" t="s">
        <v>2421</v>
      </c>
      <c r="AA306" s="51" t="s">
        <v>410</v>
      </c>
      <c r="AB306" s="102">
        <v>29</v>
      </c>
      <c r="AC306" s="103">
        <v>30</v>
      </c>
      <c r="AD306" s="55">
        <v>31.2</v>
      </c>
      <c r="AE306" s="103">
        <v>30</v>
      </c>
      <c r="AF306" s="103">
        <v>1</v>
      </c>
      <c r="AG306" s="102">
        <v>20.9</v>
      </c>
      <c r="AH306" s="103">
        <v>30</v>
      </c>
      <c r="AI306" s="55">
        <v>17.399999999999999</v>
      </c>
      <c r="AJ306" s="103">
        <v>8</v>
      </c>
      <c r="AK306" s="103">
        <v>1</v>
      </c>
      <c r="AL306" s="52">
        <v>191</v>
      </c>
      <c r="AM306" s="103">
        <v>30</v>
      </c>
      <c r="AN306" s="52">
        <v>67.3</v>
      </c>
      <c r="AO306" s="103">
        <v>3</v>
      </c>
      <c r="AP306" s="103">
        <v>7</v>
      </c>
    </row>
    <row r="307" spans="25:42" x14ac:dyDescent="0.35">
      <c r="Y307" s="51" t="s">
        <v>29</v>
      </c>
      <c r="Z307" s="51" t="s">
        <v>2421</v>
      </c>
      <c r="AA307" s="51" t="s">
        <v>112</v>
      </c>
      <c r="AB307" s="102">
        <v>31.2</v>
      </c>
      <c r="AC307" s="103">
        <v>31</v>
      </c>
      <c r="AD307" s="55">
        <v>32.6</v>
      </c>
      <c r="AE307" s="103">
        <v>9</v>
      </c>
      <c r="AF307" s="103">
        <v>4</v>
      </c>
      <c r="AG307" s="102">
        <v>18.899999999999999</v>
      </c>
      <c r="AH307" s="103">
        <v>31</v>
      </c>
      <c r="AI307" s="55">
        <v>13.8</v>
      </c>
      <c r="AJ307" s="103">
        <v>29</v>
      </c>
      <c r="AK307" s="103">
        <v>2</v>
      </c>
      <c r="AL307" s="52">
        <v>71.599999999999994</v>
      </c>
      <c r="AM307" s="103">
        <v>31</v>
      </c>
      <c r="AN307" s="52">
        <v>14.8</v>
      </c>
      <c r="AO307" s="103">
        <v>5</v>
      </c>
      <c r="AP307" s="103">
        <v>10</v>
      </c>
    </row>
    <row r="308" spans="25:42" x14ac:dyDescent="0.35">
      <c r="Y308" s="51" t="s">
        <v>29</v>
      </c>
      <c r="Z308" s="51" t="s">
        <v>2421</v>
      </c>
      <c r="AA308" s="51" t="s">
        <v>142</v>
      </c>
      <c r="AB308" s="102">
        <v>30.6</v>
      </c>
      <c r="AC308" s="103">
        <v>30</v>
      </c>
      <c r="AD308" s="55">
        <v>32.200000000000003</v>
      </c>
      <c r="AE308" s="103">
        <v>1</v>
      </c>
      <c r="AF308" s="103">
        <v>1</v>
      </c>
      <c r="AG308" s="102">
        <v>13.7</v>
      </c>
      <c r="AH308" s="103">
        <v>30</v>
      </c>
      <c r="AI308" s="55">
        <v>10</v>
      </c>
      <c r="AJ308" s="103">
        <v>16</v>
      </c>
      <c r="AK308" s="103">
        <v>1</v>
      </c>
      <c r="AL308" s="52">
        <v>1.2</v>
      </c>
      <c r="AM308" s="103">
        <v>30</v>
      </c>
      <c r="AN308" s="52">
        <v>0.5</v>
      </c>
      <c r="AO308" s="103">
        <v>22</v>
      </c>
      <c r="AP308" s="103">
        <v>0</v>
      </c>
    </row>
    <row r="309" spans="25:42" x14ac:dyDescent="0.35">
      <c r="Y309" s="51" t="s">
        <v>29</v>
      </c>
      <c r="Z309" s="51" t="s">
        <v>2421</v>
      </c>
      <c r="AA309" s="51" t="s">
        <v>30</v>
      </c>
      <c r="AB309" s="102">
        <v>29.8</v>
      </c>
      <c r="AC309" s="103">
        <v>31</v>
      </c>
      <c r="AD309" s="55">
        <v>31.4</v>
      </c>
      <c r="AE309" s="103">
        <v>5</v>
      </c>
      <c r="AF309" s="103">
        <v>1</v>
      </c>
      <c r="AG309" s="102">
        <v>11.7</v>
      </c>
      <c r="AH309" s="103">
        <v>31</v>
      </c>
      <c r="AI309" s="55">
        <v>9.1999999999999993</v>
      </c>
      <c r="AJ309" s="103">
        <v>13</v>
      </c>
      <c r="AK309" s="103">
        <v>1</v>
      </c>
      <c r="AL309" s="52">
        <v>0</v>
      </c>
      <c r="AM309" s="103">
        <v>31</v>
      </c>
      <c r="AN309" s="52">
        <v>0</v>
      </c>
      <c r="AO309" s="103">
        <v>31</v>
      </c>
      <c r="AP309" s="103">
        <v>0</v>
      </c>
    </row>
    <row r="310" spans="25:42" x14ac:dyDescent="0.35">
      <c r="Y310" s="51" t="s">
        <v>29</v>
      </c>
      <c r="Z310" s="51" t="s">
        <v>2422</v>
      </c>
      <c r="AA310" s="51" t="s">
        <v>2469</v>
      </c>
      <c r="AB310" s="102">
        <v>30.3</v>
      </c>
      <c r="AC310" s="103">
        <v>31</v>
      </c>
      <c r="AD310" s="55">
        <v>32.5</v>
      </c>
      <c r="AE310" s="103">
        <v>28</v>
      </c>
      <c r="AF310" s="103">
        <v>1</v>
      </c>
      <c r="AG310" s="102">
        <v>12.8</v>
      </c>
      <c r="AH310" s="103">
        <v>31</v>
      </c>
      <c r="AI310" s="55">
        <v>7.9</v>
      </c>
      <c r="AJ310" s="103">
        <v>19</v>
      </c>
      <c r="AK310" s="103">
        <v>1</v>
      </c>
      <c r="AL310" s="52">
        <v>0.5</v>
      </c>
      <c r="AM310" s="103">
        <v>31</v>
      </c>
      <c r="AN310" s="52">
        <v>0.4</v>
      </c>
      <c r="AO310" s="103">
        <v>16</v>
      </c>
      <c r="AP310" s="103">
        <v>0</v>
      </c>
    </row>
    <row r="311" spans="25:42" x14ac:dyDescent="0.35">
      <c r="Y311" s="51" t="s">
        <v>29</v>
      </c>
      <c r="Z311" s="51" t="s">
        <v>2422</v>
      </c>
      <c r="AA311" s="51" t="s">
        <v>2470</v>
      </c>
      <c r="AB311" s="102">
        <v>32.299999999999997</v>
      </c>
      <c r="AC311" s="103">
        <v>29</v>
      </c>
      <c r="AD311" s="55">
        <v>34.700000000000003</v>
      </c>
      <c r="AE311" s="103">
        <v>29</v>
      </c>
      <c r="AF311" s="103">
        <v>1</v>
      </c>
      <c r="AG311" s="102">
        <v>13.2</v>
      </c>
      <c r="AH311" s="103">
        <v>29</v>
      </c>
      <c r="AI311" s="55">
        <v>8.4</v>
      </c>
      <c r="AJ311" s="103">
        <v>11</v>
      </c>
      <c r="AK311" s="103">
        <v>2</v>
      </c>
      <c r="AL311" s="52">
        <v>0</v>
      </c>
      <c r="AM311" s="103">
        <v>29</v>
      </c>
      <c r="AN311" s="52">
        <v>0</v>
      </c>
      <c r="AO311" s="103">
        <v>29</v>
      </c>
      <c r="AP311" s="103">
        <v>0</v>
      </c>
    </row>
    <row r="312" spans="25:42" x14ac:dyDescent="0.35">
      <c r="Y312" s="51" t="s">
        <v>29</v>
      </c>
      <c r="Z312" s="51" t="s">
        <v>2422</v>
      </c>
      <c r="AA312" s="51" t="s">
        <v>49</v>
      </c>
      <c r="AB312" s="102">
        <v>36.299999999999997</v>
      </c>
      <c r="AC312" s="103">
        <v>31</v>
      </c>
      <c r="AD312" s="55">
        <v>39.200000000000003</v>
      </c>
      <c r="AE312" s="103">
        <v>25</v>
      </c>
      <c r="AF312" s="103">
        <v>1</v>
      </c>
      <c r="AG312" s="102">
        <v>16.899999999999999</v>
      </c>
      <c r="AH312" s="103">
        <v>31</v>
      </c>
      <c r="AI312" s="55">
        <v>11.8</v>
      </c>
      <c r="AJ312" s="103">
        <v>5</v>
      </c>
      <c r="AK312" s="103">
        <v>2</v>
      </c>
      <c r="AL312" s="52">
        <v>0</v>
      </c>
      <c r="AM312" s="103">
        <v>31</v>
      </c>
      <c r="AN312" s="52">
        <v>0</v>
      </c>
      <c r="AO312" s="103">
        <v>31</v>
      </c>
      <c r="AP312" s="103">
        <v>0</v>
      </c>
    </row>
    <row r="313" spans="25:42" x14ac:dyDescent="0.35">
      <c r="Y313" s="51" t="s">
        <v>29</v>
      </c>
      <c r="Z313" s="51" t="s">
        <v>2422</v>
      </c>
      <c r="AA313" s="51" t="s">
        <v>2471</v>
      </c>
      <c r="AB313" s="102">
        <v>37.4</v>
      </c>
      <c r="AC313" s="103">
        <v>30</v>
      </c>
      <c r="AD313" s="55">
        <v>39.200000000000003</v>
      </c>
      <c r="AE313" s="103">
        <v>30</v>
      </c>
      <c r="AF313" s="103">
        <v>2</v>
      </c>
      <c r="AG313" s="102">
        <v>19.100000000000001</v>
      </c>
      <c r="AH313" s="103">
        <v>30</v>
      </c>
      <c r="AI313" s="55">
        <v>13.6</v>
      </c>
      <c r="AJ313" s="103">
        <v>1</v>
      </c>
      <c r="AK313" s="103">
        <v>1</v>
      </c>
      <c r="AL313" s="52">
        <v>1.9</v>
      </c>
      <c r="AM313" s="103">
        <v>30</v>
      </c>
      <c r="AN313" s="52">
        <v>1.2</v>
      </c>
      <c r="AO313" s="103">
        <v>14</v>
      </c>
      <c r="AP313" s="103">
        <v>0</v>
      </c>
    </row>
    <row r="314" spans="25:42" x14ac:dyDescent="0.35">
      <c r="Y314" s="51" t="s">
        <v>29</v>
      </c>
      <c r="Z314" s="51" t="s">
        <v>2422</v>
      </c>
      <c r="AA314" s="51" t="s">
        <v>250</v>
      </c>
      <c r="AB314" s="102">
        <v>37</v>
      </c>
      <c r="AC314" s="103">
        <v>31</v>
      </c>
      <c r="AD314" s="55">
        <v>39.4</v>
      </c>
      <c r="AE314" s="103">
        <v>23</v>
      </c>
      <c r="AF314" s="103">
        <v>1</v>
      </c>
      <c r="AG314" s="102">
        <v>21.8</v>
      </c>
      <c r="AH314" s="103">
        <v>31</v>
      </c>
      <c r="AI314" s="55">
        <v>15.8</v>
      </c>
      <c r="AJ314" s="103">
        <v>12</v>
      </c>
      <c r="AK314" s="103">
        <v>1</v>
      </c>
      <c r="AL314" s="52">
        <v>4.9000000000000004</v>
      </c>
      <c r="AM314" s="103">
        <v>31</v>
      </c>
      <c r="AN314" s="52">
        <v>4.9000000000000004</v>
      </c>
      <c r="AO314" s="103">
        <v>24</v>
      </c>
      <c r="AP314" s="103">
        <v>1</v>
      </c>
    </row>
    <row r="315" spans="25:42" x14ac:dyDescent="0.35">
      <c r="Y315" s="51" t="s">
        <v>29</v>
      </c>
      <c r="Z315" s="51" t="s">
        <v>2422</v>
      </c>
      <c r="AA315" s="51" t="s">
        <v>2472</v>
      </c>
      <c r="AB315" s="102">
        <v>32.700000000000003</v>
      </c>
      <c r="AC315" s="103">
        <v>30</v>
      </c>
      <c r="AD315" s="55">
        <v>41</v>
      </c>
      <c r="AE315" s="103">
        <v>1</v>
      </c>
      <c r="AF315" s="103">
        <v>1</v>
      </c>
      <c r="AG315" s="102">
        <v>23</v>
      </c>
      <c r="AH315" s="103">
        <v>30</v>
      </c>
      <c r="AI315" s="55">
        <v>20.6</v>
      </c>
      <c r="AJ315" s="103">
        <v>13</v>
      </c>
      <c r="AK315" s="103">
        <v>1</v>
      </c>
      <c r="AL315" s="52">
        <v>193.3</v>
      </c>
      <c r="AM315" s="103">
        <v>30</v>
      </c>
      <c r="AN315" s="52">
        <v>55.9</v>
      </c>
      <c r="AO315" s="103">
        <v>13</v>
      </c>
      <c r="AP315" s="103">
        <v>11</v>
      </c>
    </row>
    <row r="316" spans="25:42" x14ac:dyDescent="0.35">
      <c r="Y316" s="51" t="s">
        <v>29</v>
      </c>
      <c r="Z316" s="51" t="s">
        <v>2422</v>
      </c>
      <c r="AA316" s="51" t="s">
        <v>2473</v>
      </c>
      <c r="AB316" s="102">
        <v>28.6</v>
      </c>
      <c r="AC316" s="103">
        <v>31</v>
      </c>
      <c r="AD316" s="55">
        <v>31.9</v>
      </c>
      <c r="AE316" s="103">
        <v>4</v>
      </c>
      <c r="AF316" s="103">
        <v>1</v>
      </c>
      <c r="AG316" s="102">
        <v>22.6</v>
      </c>
      <c r="AH316" s="103">
        <v>31</v>
      </c>
      <c r="AI316" s="55">
        <v>21.4</v>
      </c>
      <c r="AJ316" s="103">
        <v>30</v>
      </c>
      <c r="AK316" s="103">
        <v>2</v>
      </c>
      <c r="AL316" s="52">
        <v>206.9</v>
      </c>
      <c r="AM316" s="103">
        <v>31</v>
      </c>
      <c r="AN316" s="52">
        <v>43.2</v>
      </c>
      <c r="AO316" s="103">
        <v>29</v>
      </c>
      <c r="AP316" s="103">
        <v>11</v>
      </c>
    </row>
    <row r="317" spans="25:42" x14ac:dyDescent="0.35">
      <c r="Y317" s="51" t="s">
        <v>29</v>
      </c>
      <c r="Z317" s="51" t="s">
        <v>2422</v>
      </c>
      <c r="AA317" s="51" t="s">
        <v>2474</v>
      </c>
      <c r="AB317" s="102">
        <v>27.1</v>
      </c>
      <c r="AC317" s="103">
        <v>31</v>
      </c>
      <c r="AD317" s="55">
        <v>30.4</v>
      </c>
      <c r="AE317" s="103">
        <v>25</v>
      </c>
      <c r="AF317" s="103">
        <v>1</v>
      </c>
      <c r="AG317" s="102">
        <v>21.6</v>
      </c>
      <c r="AH317" s="103">
        <v>31</v>
      </c>
      <c r="AI317" s="55">
        <v>19.899999999999999</v>
      </c>
      <c r="AJ317" s="103">
        <v>24</v>
      </c>
      <c r="AK317" s="103">
        <v>1</v>
      </c>
      <c r="AL317" s="52">
        <v>78.900000000000006</v>
      </c>
      <c r="AM317" s="103">
        <v>31</v>
      </c>
      <c r="AN317" s="52">
        <v>15.2</v>
      </c>
      <c r="AO317" s="103">
        <v>30</v>
      </c>
      <c r="AP317" s="103">
        <v>10</v>
      </c>
    </row>
    <row r="318" spans="25:42" x14ac:dyDescent="0.35">
      <c r="Y318" s="51" t="s">
        <v>29</v>
      </c>
      <c r="Z318" s="51" t="s">
        <v>2422</v>
      </c>
      <c r="AA318" s="51" t="s">
        <v>410</v>
      </c>
      <c r="AB318" s="102">
        <v>29</v>
      </c>
      <c r="AC318" s="103">
        <v>30</v>
      </c>
      <c r="AD318" s="55">
        <v>32.6</v>
      </c>
      <c r="AE318" s="103">
        <v>25</v>
      </c>
      <c r="AF318" s="103">
        <v>1</v>
      </c>
      <c r="AG318" s="102">
        <v>20.7</v>
      </c>
      <c r="AH318" s="103">
        <v>30</v>
      </c>
      <c r="AI318" s="55">
        <v>17.899999999999999</v>
      </c>
      <c r="AJ318" s="103">
        <v>20</v>
      </c>
      <c r="AK318" s="103">
        <v>1</v>
      </c>
      <c r="AL318" s="52">
        <v>125.6</v>
      </c>
      <c r="AM318" s="103">
        <v>30</v>
      </c>
      <c r="AN318" s="52">
        <v>36.5</v>
      </c>
      <c r="AO318" s="103">
        <v>28</v>
      </c>
      <c r="AP318" s="103">
        <v>10</v>
      </c>
    </row>
    <row r="319" spans="25:42" x14ac:dyDescent="0.35">
      <c r="Y319" s="51" t="s">
        <v>29</v>
      </c>
      <c r="Z319" s="51" t="s">
        <v>2422</v>
      </c>
      <c r="AA319" s="51" t="s">
        <v>112</v>
      </c>
      <c r="AB319" s="102">
        <v>29.8</v>
      </c>
      <c r="AC319" s="103">
        <v>31</v>
      </c>
      <c r="AD319" s="55">
        <v>32.6</v>
      </c>
      <c r="AE319" s="103">
        <v>18</v>
      </c>
      <c r="AF319" s="103">
        <v>1</v>
      </c>
      <c r="AG319" s="102">
        <v>18</v>
      </c>
      <c r="AH319" s="103">
        <v>31</v>
      </c>
      <c r="AI319" s="55">
        <v>13.2</v>
      </c>
      <c r="AJ319" s="103">
        <v>16</v>
      </c>
      <c r="AK319" s="103">
        <v>1</v>
      </c>
      <c r="AL319" s="52">
        <v>191</v>
      </c>
      <c r="AM319" s="103">
        <v>31</v>
      </c>
      <c r="AN319" s="52">
        <v>88.2</v>
      </c>
      <c r="AO319" s="103">
        <v>3</v>
      </c>
      <c r="AP319" s="103">
        <v>8</v>
      </c>
    </row>
    <row r="320" spans="25:42" x14ac:dyDescent="0.35">
      <c r="Y320" s="51" t="s">
        <v>29</v>
      </c>
      <c r="Z320" s="51" t="s">
        <v>2422</v>
      </c>
      <c r="AA320" s="51" t="s">
        <v>142</v>
      </c>
      <c r="AB320" s="102">
        <v>29.9</v>
      </c>
      <c r="AC320" s="103">
        <v>30</v>
      </c>
      <c r="AD320" s="55">
        <v>31.9</v>
      </c>
      <c r="AE320" s="103">
        <v>13</v>
      </c>
      <c r="AF320" s="103">
        <v>1</v>
      </c>
      <c r="AG320" s="102">
        <v>12.8</v>
      </c>
      <c r="AH320" s="103">
        <v>30</v>
      </c>
      <c r="AI320" s="55">
        <v>9.9</v>
      </c>
      <c r="AJ320" s="103">
        <v>21</v>
      </c>
      <c r="AK320" s="103">
        <v>1</v>
      </c>
      <c r="AL320" s="52">
        <v>0.9</v>
      </c>
      <c r="AM320" s="103">
        <v>30</v>
      </c>
      <c r="AN320" s="52">
        <v>0.9</v>
      </c>
      <c r="AO320" s="103">
        <v>9</v>
      </c>
      <c r="AP320" s="103">
        <v>0</v>
      </c>
    </row>
    <row r="321" spans="25:42" x14ac:dyDescent="0.35">
      <c r="Y321" s="51" t="s">
        <v>29</v>
      </c>
      <c r="Z321" s="51" t="s">
        <v>2422</v>
      </c>
      <c r="AA321" s="51" t="s">
        <v>30</v>
      </c>
      <c r="AB321" s="102">
        <v>28.5</v>
      </c>
      <c r="AC321" s="103">
        <v>31</v>
      </c>
      <c r="AD321" s="55">
        <v>30.2</v>
      </c>
      <c r="AE321" s="103">
        <v>24</v>
      </c>
      <c r="AF321" s="103">
        <v>1</v>
      </c>
      <c r="AG321" s="102">
        <v>11.3</v>
      </c>
      <c r="AH321" s="103">
        <v>31</v>
      </c>
      <c r="AI321" s="55">
        <v>6.1</v>
      </c>
      <c r="AJ321" s="103">
        <v>12</v>
      </c>
      <c r="AK321" s="103">
        <v>1</v>
      </c>
      <c r="AL321" s="52">
        <v>0</v>
      </c>
      <c r="AM321" s="103">
        <v>31</v>
      </c>
      <c r="AN321" s="52">
        <v>0</v>
      </c>
      <c r="AO321" s="103">
        <v>31</v>
      </c>
      <c r="AP321" s="103">
        <v>0</v>
      </c>
    </row>
    <row r="322" spans="25:42" x14ac:dyDescent="0.35">
      <c r="Y322" s="51" t="s">
        <v>29</v>
      </c>
      <c r="Z322" s="51" t="s">
        <v>2423</v>
      </c>
      <c r="AA322" s="51" t="s">
        <v>2469</v>
      </c>
      <c r="AB322" s="102">
        <v>28.2</v>
      </c>
      <c r="AC322" s="103">
        <v>31</v>
      </c>
      <c r="AD322" s="55">
        <v>32.299999999999997</v>
      </c>
      <c r="AE322" s="103">
        <v>28</v>
      </c>
      <c r="AF322" s="103">
        <v>1</v>
      </c>
      <c r="AG322" s="102">
        <v>10</v>
      </c>
      <c r="AH322" s="103">
        <v>31</v>
      </c>
      <c r="AI322" s="55">
        <v>4.7</v>
      </c>
      <c r="AJ322" s="103">
        <v>22</v>
      </c>
      <c r="AK322" s="103">
        <v>1</v>
      </c>
      <c r="AL322" s="52">
        <v>2.4</v>
      </c>
      <c r="AM322" s="103">
        <v>31</v>
      </c>
      <c r="AN322" s="52">
        <v>2.4</v>
      </c>
      <c r="AO322" s="103">
        <v>20</v>
      </c>
      <c r="AP322" s="103">
        <v>0</v>
      </c>
    </row>
    <row r="323" spans="25:42" x14ac:dyDescent="0.35">
      <c r="Y323" s="51" t="s">
        <v>29</v>
      </c>
      <c r="Z323" s="51" t="s">
        <v>2423</v>
      </c>
      <c r="AA323" s="51" t="s">
        <v>2470</v>
      </c>
      <c r="AB323" s="102">
        <v>31.2</v>
      </c>
      <c r="AC323" s="103">
        <v>28</v>
      </c>
      <c r="AD323" s="55">
        <v>35.9</v>
      </c>
      <c r="AE323" s="103">
        <v>28</v>
      </c>
      <c r="AF323" s="103">
        <v>1</v>
      </c>
      <c r="AG323" s="102">
        <v>9.6</v>
      </c>
      <c r="AH323" s="103">
        <v>28</v>
      </c>
      <c r="AI323" s="55">
        <v>6.1</v>
      </c>
      <c r="AJ323" s="103">
        <v>10</v>
      </c>
      <c r="AK323" s="103">
        <v>1</v>
      </c>
      <c r="AL323" s="52">
        <v>0</v>
      </c>
      <c r="AM323" s="103">
        <v>28</v>
      </c>
      <c r="AN323" s="52">
        <v>0</v>
      </c>
      <c r="AO323" s="103">
        <v>28</v>
      </c>
      <c r="AP323" s="103">
        <v>0</v>
      </c>
    </row>
    <row r="324" spans="25:42" x14ac:dyDescent="0.35">
      <c r="Y324" s="51" t="s">
        <v>29</v>
      </c>
      <c r="Z324" s="51" t="s">
        <v>2423</v>
      </c>
      <c r="AA324" s="51" t="s">
        <v>49</v>
      </c>
      <c r="AB324" s="102">
        <v>35.6</v>
      </c>
      <c r="AC324" s="103">
        <v>31</v>
      </c>
      <c r="AD324" s="55">
        <v>37.6</v>
      </c>
      <c r="AE324" s="103">
        <v>12</v>
      </c>
      <c r="AF324" s="103">
        <v>1</v>
      </c>
      <c r="AG324" s="102">
        <v>15.5</v>
      </c>
      <c r="AH324" s="103">
        <v>31</v>
      </c>
      <c r="AI324" s="55">
        <v>11</v>
      </c>
      <c r="AJ324" s="103">
        <v>23</v>
      </c>
      <c r="AK324" s="103">
        <v>2</v>
      </c>
      <c r="AL324" s="52">
        <v>0</v>
      </c>
      <c r="AM324" s="103">
        <v>31</v>
      </c>
      <c r="AN324" s="52">
        <v>0</v>
      </c>
      <c r="AO324" s="103">
        <v>31</v>
      </c>
      <c r="AP324" s="103">
        <v>0</v>
      </c>
    </row>
    <row r="325" spans="25:42" x14ac:dyDescent="0.35">
      <c r="Y325" s="51" t="s">
        <v>29</v>
      </c>
      <c r="Z325" s="51" t="s">
        <v>2423</v>
      </c>
      <c r="AA325" s="51" t="s">
        <v>2471</v>
      </c>
      <c r="AB325" s="102">
        <v>35.799999999999997</v>
      </c>
      <c r="AC325" s="103">
        <v>30</v>
      </c>
      <c r="AD325" s="55">
        <v>39.299999999999997</v>
      </c>
      <c r="AE325" s="103">
        <v>26</v>
      </c>
      <c r="AF325" s="103">
        <v>1</v>
      </c>
      <c r="AG325" s="102">
        <v>18.5</v>
      </c>
      <c r="AH325" s="103">
        <v>30</v>
      </c>
      <c r="AI325" s="55">
        <v>10.8</v>
      </c>
      <c r="AJ325" s="103">
        <v>4</v>
      </c>
      <c r="AK325" s="103">
        <v>1</v>
      </c>
      <c r="AL325" s="52">
        <v>20.5</v>
      </c>
      <c r="AM325" s="103">
        <v>30</v>
      </c>
      <c r="AN325" s="52">
        <v>14.2</v>
      </c>
      <c r="AO325" s="103">
        <v>23</v>
      </c>
      <c r="AP325" s="103">
        <v>2</v>
      </c>
    </row>
    <row r="326" spans="25:42" x14ac:dyDescent="0.35">
      <c r="Y326" s="51" t="s">
        <v>29</v>
      </c>
      <c r="Z326" s="51" t="s">
        <v>2423</v>
      </c>
      <c r="AA326" s="51" t="s">
        <v>250</v>
      </c>
      <c r="AB326" s="102">
        <v>36.700000000000003</v>
      </c>
      <c r="AC326" s="103">
        <v>31</v>
      </c>
      <c r="AD326" s="55">
        <v>40</v>
      </c>
      <c r="AE326" s="103">
        <v>16</v>
      </c>
      <c r="AF326" s="103">
        <v>1</v>
      </c>
      <c r="AG326" s="102">
        <v>21.1</v>
      </c>
      <c r="AH326" s="103">
        <v>31</v>
      </c>
      <c r="AI326" s="55">
        <v>16.899999999999999</v>
      </c>
      <c r="AJ326" s="103">
        <v>3</v>
      </c>
      <c r="AK326" s="103">
        <v>1</v>
      </c>
      <c r="AL326" s="52">
        <v>4.3</v>
      </c>
      <c r="AM326" s="103">
        <v>31</v>
      </c>
      <c r="AN326" s="52">
        <v>4.3</v>
      </c>
      <c r="AO326" s="103">
        <v>1</v>
      </c>
      <c r="AP326" s="103">
        <v>1</v>
      </c>
    </row>
    <row r="327" spans="25:42" x14ac:dyDescent="0.35">
      <c r="Y327" s="51" t="s">
        <v>29</v>
      </c>
      <c r="Z327" s="51" t="s">
        <v>2423</v>
      </c>
      <c r="AA327" s="51" t="s">
        <v>2472</v>
      </c>
      <c r="AB327" s="102">
        <v>31.3</v>
      </c>
      <c r="AC327" s="103">
        <v>30</v>
      </c>
      <c r="AD327" s="55">
        <v>36.200000000000003</v>
      </c>
      <c r="AE327" s="103">
        <v>6</v>
      </c>
      <c r="AF327" s="103">
        <v>1</v>
      </c>
      <c r="AG327" s="102">
        <v>22.6</v>
      </c>
      <c r="AH327" s="103">
        <v>30</v>
      </c>
      <c r="AI327" s="55">
        <v>19.3</v>
      </c>
      <c r="AJ327" s="103">
        <v>2</v>
      </c>
      <c r="AK327" s="103">
        <v>1</v>
      </c>
      <c r="AL327" s="52">
        <v>287.8</v>
      </c>
      <c r="AM327" s="103">
        <v>30</v>
      </c>
      <c r="AN327" s="52">
        <v>66.2</v>
      </c>
      <c r="AO327" s="103">
        <v>14</v>
      </c>
      <c r="AP327" s="103">
        <v>12</v>
      </c>
    </row>
    <row r="328" spans="25:42" x14ac:dyDescent="0.35">
      <c r="Y328" s="51" t="s">
        <v>29</v>
      </c>
      <c r="Z328" s="51" t="s">
        <v>2423</v>
      </c>
      <c r="AA328" s="51" t="s">
        <v>2473</v>
      </c>
      <c r="AB328" s="102">
        <v>28.5</v>
      </c>
      <c r="AC328" s="103">
        <v>31</v>
      </c>
      <c r="AD328" s="55">
        <v>30.9</v>
      </c>
      <c r="AE328" s="103">
        <v>23</v>
      </c>
      <c r="AF328" s="103">
        <v>1</v>
      </c>
      <c r="AG328" s="102">
        <v>22.9</v>
      </c>
      <c r="AH328" s="103">
        <v>31</v>
      </c>
      <c r="AI328" s="55">
        <v>21.9</v>
      </c>
      <c r="AJ328" s="103">
        <v>7</v>
      </c>
      <c r="AK328" s="103">
        <v>1</v>
      </c>
      <c r="AL328" s="52">
        <v>165.4</v>
      </c>
      <c r="AM328" s="103">
        <v>31</v>
      </c>
      <c r="AN328" s="52">
        <v>53.6</v>
      </c>
      <c r="AO328" s="103">
        <v>31</v>
      </c>
      <c r="AP328" s="103">
        <v>10</v>
      </c>
    </row>
    <row r="329" spans="25:42" x14ac:dyDescent="0.35">
      <c r="Y329" s="51" t="s">
        <v>29</v>
      </c>
      <c r="Z329" s="51" t="s">
        <v>2423</v>
      </c>
      <c r="AA329" s="51" t="s">
        <v>2474</v>
      </c>
      <c r="AB329" s="102">
        <v>27.3</v>
      </c>
      <c r="AC329" s="103">
        <v>31</v>
      </c>
      <c r="AD329" s="55">
        <v>29.1</v>
      </c>
      <c r="AE329" s="103">
        <v>11</v>
      </c>
      <c r="AF329" s="103">
        <v>1</v>
      </c>
      <c r="AG329" s="102">
        <v>21.7</v>
      </c>
      <c r="AH329" s="103">
        <v>31</v>
      </c>
      <c r="AI329" s="55">
        <v>19.899999999999999</v>
      </c>
      <c r="AJ329" s="103">
        <v>29</v>
      </c>
      <c r="AK329" s="103">
        <v>1</v>
      </c>
      <c r="AL329" s="52">
        <v>249.7</v>
      </c>
      <c r="AM329" s="103">
        <v>31</v>
      </c>
      <c r="AN329" s="52">
        <v>71.2</v>
      </c>
      <c r="AO329" s="103">
        <v>24</v>
      </c>
      <c r="AP329" s="103">
        <v>12</v>
      </c>
    </row>
    <row r="330" spans="25:42" x14ac:dyDescent="0.35">
      <c r="Y330" s="51" t="s">
        <v>29</v>
      </c>
      <c r="Z330" s="51" t="s">
        <v>2423</v>
      </c>
      <c r="AA330" s="51" t="s">
        <v>410</v>
      </c>
      <c r="AB330" s="102">
        <v>29.8</v>
      </c>
      <c r="AC330" s="103">
        <v>30</v>
      </c>
      <c r="AD330" s="55">
        <v>31.8</v>
      </c>
      <c r="AE330" s="103">
        <v>22</v>
      </c>
      <c r="AF330" s="103">
        <v>1</v>
      </c>
      <c r="AG330" s="102">
        <v>20.2</v>
      </c>
      <c r="AH330" s="103">
        <v>30</v>
      </c>
      <c r="AI330" s="55">
        <v>17.7</v>
      </c>
      <c r="AJ330" s="103">
        <v>13</v>
      </c>
      <c r="AK330" s="103">
        <v>1</v>
      </c>
      <c r="AL330" s="52">
        <v>37.1</v>
      </c>
      <c r="AM330" s="103">
        <v>30</v>
      </c>
      <c r="AN330" s="52">
        <v>28.3</v>
      </c>
      <c r="AO330" s="103">
        <v>24</v>
      </c>
      <c r="AP330" s="103">
        <v>3</v>
      </c>
    </row>
    <row r="331" spans="25:42" x14ac:dyDescent="0.35">
      <c r="Y331" s="51" t="s">
        <v>29</v>
      </c>
      <c r="Z331" s="51" t="s">
        <v>2423</v>
      </c>
      <c r="AA331" s="51" t="s">
        <v>112</v>
      </c>
      <c r="AB331" s="102">
        <v>32.299999999999997</v>
      </c>
      <c r="AC331" s="103">
        <v>31</v>
      </c>
      <c r="AD331" s="55">
        <v>34.700000000000003</v>
      </c>
      <c r="AE331" s="103">
        <v>14</v>
      </c>
      <c r="AF331" s="103">
        <v>1</v>
      </c>
      <c r="AG331" s="102">
        <v>18.7</v>
      </c>
      <c r="AH331" s="103">
        <v>31</v>
      </c>
      <c r="AI331" s="55">
        <v>16.5</v>
      </c>
      <c r="AJ331" s="103">
        <v>24</v>
      </c>
      <c r="AK331" s="103">
        <v>1</v>
      </c>
      <c r="AL331" s="52">
        <v>26.4</v>
      </c>
      <c r="AM331" s="103">
        <v>31</v>
      </c>
      <c r="AN331" s="52">
        <v>15</v>
      </c>
      <c r="AO331" s="103">
        <v>27</v>
      </c>
      <c r="AP331" s="103">
        <v>2</v>
      </c>
    </row>
    <row r="332" spans="25:42" x14ac:dyDescent="0.35">
      <c r="Y332" s="51" t="s">
        <v>29</v>
      </c>
      <c r="Z332" s="51" t="s">
        <v>2423</v>
      </c>
      <c r="AA332" s="51" t="s">
        <v>142</v>
      </c>
      <c r="AB332" s="102">
        <v>30.9</v>
      </c>
      <c r="AC332" s="103">
        <v>30</v>
      </c>
      <c r="AD332" s="55">
        <v>32.200000000000003</v>
      </c>
      <c r="AE332" s="103">
        <v>10</v>
      </c>
      <c r="AF332" s="103">
        <v>2</v>
      </c>
      <c r="AG332" s="102">
        <v>18.600000000000001</v>
      </c>
      <c r="AH332" s="103">
        <v>30</v>
      </c>
      <c r="AI332" s="55">
        <v>15.9</v>
      </c>
      <c r="AJ332" s="103">
        <v>8</v>
      </c>
      <c r="AK332" s="103">
        <v>1</v>
      </c>
      <c r="AL332" s="52">
        <v>163.30000000000001</v>
      </c>
      <c r="AM332" s="103">
        <v>30</v>
      </c>
      <c r="AN332" s="52">
        <v>75.400000000000006</v>
      </c>
      <c r="AO332" s="103">
        <v>28</v>
      </c>
      <c r="AP332" s="103">
        <v>7</v>
      </c>
    </row>
    <row r="333" spans="25:42" x14ac:dyDescent="0.35">
      <c r="Y333" s="51" t="s">
        <v>29</v>
      </c>
      <c r="Z333" s="51" t="s">
        <v>2423</v>
      </c>
      <c r="AA333" s="51" t="s">
        <v>30</v>
      </c>
      <c r="AB333" s="102">
        <v>28.7</v>
      </c>
      <c r="AC333" s="103">
        <v>31</v>
      </c>
      <c r="AD333" s="55">
        <v>30.8</v>
      </c>
      <c r="AE333" s="103">
        <v>4</v>
      </c>
      <c r="AF333" s="103">
        <v>1</v>
      </c>
      <c r="AG333" s="102">
        <v>15.1</v>
      </c>
      <c r="AH333" s="103">
        <v>31</v>
      </c>
      <c r="AI333" s="55">
        <v>9</v>
      </c>
      <c r="AJ333" s="103">
        <v>25</v>
      </c>
      <c r="AK333" s="103">
        <v>1</v>
      </c>
      <c r="AL333" s="52">
        <v>68.900000000000006</v>
      </c>
      <c r="AM333" s="103">
        <v>31</v>
      </c>
      <c r="AN333" s="52">
        <v>39</v>
      </c>
      <c r="AO333" s="103">
        <v>3</v>
      </c>
      <c r="AP333" s="103">
        <v>4</v>
      </c>
    </row>
    <row r="334" spans="25:42" x14ac:dyDescent="0.35">
      <c r="Y334" s="51" t="s">
        <v>29</v>
      </c>
      <c r="Z334" s="51" t="s">
        <v>2424</v>
      </c>
      <c r="AA334" s="51" t="s">
        <v>2469</v>
      </c>
      <c r="AB334" s="102">
        <v>29.5</v>
      </c>
      <c r="AC334" s="103">
        <v>31</v>
      </c>
      <c r="AD334" s="55">
        <v>32.4</v>
      </c>
      <c r="AE334" s="103">
        <v>31</v>
      </c>
      <c r="AF334" s="103">
        <v>2</v>
      </c>
      <c r="AG334" s="102">
        <v>12.4</v>
      </c>
      <c r="AH334" s="103">
        <v>31</v>
      </c>
      <c r="AI334" s="55">
        <v>8.5</v>
      </c>
      <c r="AJ334" s="103">
        <v>19</v>
      </c>
      <c r="AK334" s="103">
        <v>1</v>
      </c>
      <c r="AL334" s="52">
        <v>0</v>
      </c>
      <c r="AM334" s="103">
        <v>31</v>
      </c>
      <c r="AN334" s="52">
        <v>0</v>
      </c>
      <c r="AO334" s="103">
        <v>31</v>
      </c>
      <c r="AP334" s="103">
        <v>0</v>
      </c>
    </row>
    <row r="335" spans="25:42" x14ac:dyDescent="0.35">
      <c r="Y335" s="51" t="s">
        <v>29</v>
      </c>
      <c r="Z335" s="51" t="s">
        <v>2424</v>
      </c>
      <c r="AA335" s="51" t="s">
        <v>2470</v>
      </c>
      <c r="AB335" s="102">
        <v>30.6</v>
      </c>
      <c r="AC335" s="103">
        <v>28</v>
      </c>
      <c r="AD335" s="55">
        <v>34.700000000000003</v>
      </c>
      <c r="AE335" s="103">
        <v>24</v>
      </c>
      <c r="AF335" s="103">
        <v>1</v>
      </c>
      <c r="AG335" s="102">
        <v>12.3</v>
      </c>
      <c r="AH335" s="103">
        <v>28</v>
      </c>
      <c r="AI335" s="55">
        <v>8.5</v>
      </c>
      <c r="AJ335" s="103">
        <v>21</v>
      </c>
      <c r="AK335" s="103">
        <v>1</v>
      </c>
      <c r="AL335" s="52">
        <v>0</v>
      </c>
      <c r="AM335" s="103">
        <v>28</v>
      </c>
      <c r="AN335" s="52">
        <v>0</v>
      </c>
      <c r="AO335" s="103">
        <v>28</v>
      </c>
      <c r="AP335" s="103">
        <v>0</v>
      </c>
    </row>
    <row r="336" spans="25:42" x14ac:dyDescent="0.35">
      <c r="Y336" s="51" t="s">
        <v>29</v>
      </c>
      <c r="Z336" s="51" t="s">
        <v>2424</v>
      </c>
      <c r="AA336" s="51" t="s">
        <v>49</v>
      </c>
      <c r="AB336" s="102">
        <v>35.299999999999997</v>
      </c>
      <c r="AC336" s="103">
        <v>31</v>
      </c>
      <c r="AD336" s="55">
        <v>39.200000000000003</v>
      </c>
      <c r="AE336" s="103">
        <v>23</v>
      </c>
      <c r="AF336" s="103">
        <v>1</v>
      </c>
      <c r="AG336" s="102">
        <v>15.3</v>
      </c>
      <c r="AH336" s="103">
        <v>31</v>
      </c>
      <c r="AI336" s="55">
        <v>10.199999999999999</v>
      </c>
      <c r="AJ336" s="103">
        <v>1</v>
      </c>
      <c r="AK336" s="103">
        <v>1</v>
      </c>
      <c r="AL336" s="52">
        <v>0</v>
      </c>
      <c r="AM336" s="103">
        <v>31</v>
      </c>
      <c r="AN336" s="52">
        <v>0</v>
      </c>
      <c r="AO336" s="103">
        <v>31</v>
      </c>
      <c r="AP336" s="103">
        <v>0</v>
      </c>
    </row>
    <row r="337" spans="25:42" x14ac:dyDescent="0.35">
      <c r="Y337" s="51" t="s">
        <v>29</v>
      </c>
      <c r="Z337" s="51" t="s">
        <v>2424</v>
      </c>
      <c r="AA337" s="51" t="s">
        <v>2471</v>
      </c>
      <c r="AB337" s="102">
        <v>38.700000000000003</v>
      </c>
      <c r="AC337" s="103">
        <v>30</v>
      </c>
      <c r="AD337" s="55">
        <v>40.5</v>
      </c>
      <c r="AE337" s="103">
        <v>5</v>
      </c>
      <c r="AF337" s="103">
        <v>1</v>
      </c>
      <c r="AG337" s="102">
        <v>20.3</v>
      </c>
      <c r="AH337" s="103">
        <v>30</v>
      </c>
      <c r="AI337" s="55">
        <v>16.399999999999999</v>
      </c>
      <c r="AJ337" s="103">
        <v>11</v>
      </c>
      <c r="AK337" s="103">
        <v>1</v>
      </c>
      <c r="AL337" s="52">
        <v>0</v>
      </c>
      <c r="AM337" s="103">
        <v>30</v>
      </c>
      <c r="AN337" s="52">
        <v>0</v>
      </c>
      <c r="AO337" s="103">
        <v>30</v>
      </c>
      <c r="AP337" s="103">
        <v>0</v>
      </c>
    </row>
    <row r="338" spans="25:42" x14ac:dyDescent="0.35">
      <c r="Y338" s="51" t="s">
        <v>29</v>
      </c>
      <c r="Z338" s="51" t="s">
        <v>2424</v>
      </c>
      <c r="AA338" s="51" t="s">
        <v>250</v>
      </c>
      <c r="AB338" s="102">
        <v>38.5</v>
      </c>
      <c r="AC338" s="103">
        <v>31</v>
      </c>
      <c r="AD338" s="55">
        <v>42.4</v>
      </c>
      <c r="AE338" s="103">
        <v>8</v>
      </c>
      <c r="AF338" s="103">
        <v>1</v>
      </c>
      <c r="AG338" s="102">
        <v>24.1</v>
      </c>
      <c r="AH338" s="103">
        <v>31</v>
      </c>
      <c r="AI338" s="55">
        <v>18.3</v>
      </c>
      <c r="AJ338" s="103">
        <v>11</v>
      </c>
      <c r="AK338" s="103">
        <v>1</v>
      </c>
      <c r="AL338" s="52">
        <v>10.3</v>
      </c>
      <c r="AM338" s="103">
        <v>31</v>
      </c>
      <c r="AN338" s="52">
        <v>9.9</v>
      </c>
      <c r="AO338" s="103">
        <v>22</v>
      </c>
      <c r="AP338" s="103">
        <v>1</v>
      </c>
    </row>
    <row r="339" spans="25:42" x14ac:dyDescent="0.35">
      <c r="Y339" s="51" t="s">
        <v>29</v>
      </c>
      <c r="Z339" s="51" t="s">
        <v>2424</v>
      </c>
      <c r="AA339" s="51" t="s">
        <v>2472</v>
      </c>
      <c r="AB339" s="102">
        <v>33.200000000000003</v>
      </c>
      <c r="AC339" s="103">
        <v>29</v>
      </c>
      <c r="AD339" s="55">
        <v>40.700000000000003</v>
      </c>
      <c r="AE339" s="103">
        <v>3</v>
      </c>
      <c r="AF339" s="103">
        <v>1</v>
      </c>
      <c r="AG339" s="102">
        <v>23.5</v>
      </c>
      <c r="AH339" s="103">
        <v>30</v>
      </c>
      <c r="AI339" s="55">
        <v>21.1</v>
      </c>
      <c r="AJ339" s="103">
        <v>6</v>
      </c>
      <c r="AK339" s="103">
        <v>1</v>
      </c>
      <c r="AL339" s="52">
        <v>95.7</v>
      </c>
      <c r="AM339" s="103">
        <v>30</v>
      </c>
      <c r="AN339" s="52">
        <v>40.799999999999997</v>
      </c>
      <c r="AO339" s="103">
        <v>6</v>
      </c>
      <c r="AP339" s="103">
        <v>8</v>
      </c>
    </row>
    <row r="340" spans="25:42" x14ac:dyDescent="0.35">
      <c r="Y340" s="51" t="s">
        <v>29</v>
      </c>
      <c r="Z340" s="51" t="s">
        <v>2424</v>
      </c>
      <c r="AA340" s="51" t="s">
        <v>2473</v>
      </c>
      <c r="AB340" s="102">
        <v>28.6</v>
      </c>
      <c r="AC340" s="103">
        <v>31</v>
      </c>
      <c r="AD340" s="55">
        <v>32.200000000000003</v>
      </c>
      <c r="AE340" s="103">
        <v>23</v>
      </c>
      <c r="AF340" s="103">
        <v>1</v>
      </c>
      <c r="AG340" s="102">
        <v>22.9</v>
      </c>
      <c r="AH340" s="103">
        <v>31</v>
      </c>
      <c r="AI340" s="55">
        <v>21.3</v>
      </c>
      <c r="AJ340" s="103">
        <v>29</v>
      </c>
      <c r="AK340" s="103">
        <v>2</v>
      </c>
      <c r="AL340" s="52">
        <v>244.8</v>
      </c>
      <c r="AM340" s="103">
        <v>31</v>
      </c>
      <c r="AN340" s="52">
        <v>67.900000000000006</v>
      </c>
      <c r="AO340" s="103">
        <v>28</v>
      </c>
      <c r="AP340" s="103">
        <v>14</v>
      </c>
    </row>
    <row r="341" spans="25:42" x14ac:dyDescent="0.35">
      <c r="Y341" s="51" t="s">
        <v>29</v>
      </c>
      <c r="Z341" s="51" t="s">
        <v>2424</v>
      </c>
      <c r="AA341" s="51" t="s">
        <v>2474</v>
      </c>
      <c r="AB341" s="102">
        <v>28.6</v>
      </c>
      <c r="AC341" s="103">
        <v>31</v>
      </c>
      <c r="AD341" s="55">
        <v>31.7</v>
      </c>
      <c r="AE341" s="103">
        <v>24</v>
      </c>
      <c r="AF341" s="103">
        <v>2</v>
      </c>
      <c r="AG341" s="102">
        <v>22.4</v>
      </c>
      <c r="AH341" s="103">
        <v>31</v>
      </c>
      <c r="AI341" s="55">
        <v>21.1</v>
      </c>
      <c r="AJ341" s="103">
        <v>19</v>
      </c>
      <c r="AK341" s="103">
        <v>1</v>
      </c>
      <c r="AL341" s="52">
        <v>159.19999999999999</v>
      </c>
      <c r="AM341" s="103">
        <v>31</v>
      </c>
      <c r="AN341" s="52">
        <v>36.5</v>
      </c>
      <c r="AO341" s="103">
        <v>27</v>
      </c>
      <c r="AP341" s="103">
        <v>12</v>
      </c>
    </row>
    <row r="342" spans="25:42" x14ac:dyDescent="0.35">
      <c r="Y342" s="51" t="s">
        <v>29</v>
      </c>
      <c r="Z342" s="51" t="s">
        <v>2424</v>
      </c>
      <c r="AA342" s="51" t="s">
        <v>410</v>
      </c>
      <c r="AB342" s="102">
        <v>28.7</v>
      </c>
      <c r="AC342" s="103">
        <v>30</v>
      </c>
      <c r="AD342" s="55">
        <v>31.3</v>
      </c>
      <c r="AE342" s="103">
        <v>25</v>
      </c>
      <c r="AF342" s="103">
        <v>1</v>
      </c>
      <c r="AG342" s="102">
        <v>22</v>
      </c>
      <c r="AH342" s="103">
        <v>30</v>
      </c>
      <c r="AI342" s="55">
        <v>20</v>
      </c>
      <c r="AJ342" s="103">
        <v>24</v>
      </c>
      <c r="AK342" s="103">
        <v>1</v>
      </c>
      <c r="AL342" s="52">
        <v>149.19999999999999</v>
      </c>
      <c r="AM342" s="103">
        <v>30</v>
      </c>
      <c r="AN342" s="52">
        <v>39.9</v>
      </c>
      <c r="AO342" s="103">
        <v>15</v>
      </c>
      <c r="AP342" s="103">
        <v>12</v>
      </c>
    </row>
    <row r="343" spans="25:42" x14ac:dyDescent="0.35">
      <c r="Y343" s="51" t="s">
        <v>29</v>
      </c>
      <c r="Z343" s="51" t="s">
        <v>2424</v>
      </c>
      <c r="AA343" s="51" t="s">
        <v>112</v>
      </c>
      <c r="AB343" s="102">
        <v>30.1</v>
      </c>
      <c r="AC343" s="103">
        <v>31</v>
      </c>
      <c r="AD343" s="55">
        <v>32.299999999999997</v>
      </c>
      <c r="AE343" s="103">
        <v>28</v>
      </c>
      <c r="AF343" s="103">
        <v>1</v>
      </c>
      <c r="AG343" s="102">
        <v>20</v>
      </c>
      <c r="AH343" s="103">
        <v>31</v>
      </c>
      <c r="AI343" s="55">
        <v>14.7</v>
      </c>
      <c r="AJ343" s="103">
        <v>31</v>
      </c>
      <c r="AK343" s="103">
        <v>1</v>
      </c>
      <c r="AL343" s="52">
        <v>92.4</v>
      </c>
      <c r="AM343" s="103">
        <v>31</v>
      </c>
      <c r="AN343" s="52">
        <v>15.7</v>
      </c>
      <c r="AO343" s="103">
        <v>12</v>
      </c>
      <c r="AP343" s="103">
        <v>8</v>
      </c>
    </row>
    <row r="344" spans="25:42" x14ac:dyDescent="0.35">
      <c r="Y344" s="51" t="s">
        <v>29</v>
      </c>
      <c r="Z344" s="51" t="s">
        <v>2424</v>
      </c>
      <c r="AA344" s="51" t="s">
        <v>142</v>
      </c>
      <c r="AB344" s="102">
        <v>29.6</v>
      </c>
      <c r="AC344" s="103">
        <v>30</v>
      </c>
      <c r="AD344" s="55">
        <v>32.299999999999997</v>
      </c>
      <c r="AE344" s="103">
        <v>6</v>
      </c>
      <c r="AF344" s="103">
        <v>1</v>
      </c>
      <c r="AG344" s="102">
        <v>15.8</v>
      </c>
      <c r="AH344" s="103">
        <v>30</v>
      </c>
      <c r="AI344" s="55">
        <v>8.3000000000000007</v>
      </c>
      <c r="AJ344" s="103">
        <v>28</v>
      </c>
      <c r="AK344" s="103">
        <v>1</v>
      </c>
      <c r="AL344" s="52">
        <v>49.1</v>
      </c>
      <c r="AM344" s="103">
        <v>30</v>
      </c>
      <c r="AN344" s="52">
        <v>24.9</v>
      </c>
      <c r="AO344" s="103">
        <v>9</v>
      </c>
      <c r="AP344" s="103">
        <v>3</v>
      </c>
    </row>
    <row r="345" spans="25:42" x14ac:dyDescent="0.35">
      <c r="Y345" s="51" t="s">
        <v>29</v>
      </c>
      <c r="Z345" s="51" t="s">
        <v>2424</v>
      </c>
      <c r="AA345" s="51" t="s">
        <v>30</v>
      </c>
      <c r="AB345" s="102">
        <v>28.4</v>
      </c>
      <c r="AC345" s="103">
        <v>31</v>
      </c>
      <c r="AD345" s="55">
        <v>29.8</v>
      </c>
      <c r="AE345" s="103">
        <v>31</v>
      </c>
      <c r="AF345" s="103">
        <v>1</v>
      </c>
      <c r="AG345" s="102">
        <v>9.6999999999999993</v>
      </c>
      <c r="AH345" s="103">
        <v>31</v>
      </c>
      <c r="AI345" s="55">
        <v>6.1</v>
      </c>
      <c r="AJ345" s="103">
        <v>30</v>
      </c>
      <c r="AK345" s="103">
        <v>1</v>
      </c>
      <c r="AL345" s="52">
        <v>0</v>
      </c>
      <c r="AM345" s="103">
        <v>31</v>
      </c>
      <c r="AN345" s="52">
        <v>0</v>
      </c>
      <c r="AO345" s="103">
        <v>31</v>
      </c>
      <c r="AP345" s="103">
        <v>0</v>
      </c>
    </row>
    <row r="346" spans="25:42" x14ac:dyDescent="0.35">
      <c r="Y346" s="51" t="s">
        <v>29</v>
      </c>
      <c r="Z346" s="51" t="s">
        <v>2425</v>
      </c>
      <c r="AA346" s="51" t="s">
        <v>2469</v>
      </c>
      <c r="AB346" s="102">
        <v>28.9</v>
      </c>
      <c r="AC346" s="103">
        <v>30</v>
      </c>
      <c r="AD346" s="55">
        <v>31.9</v>
      </c>
      <c r="AE346" s="103">
        <v>31</v>
      </c>
      <c r="AF346" s="103">
        <v>1</v>
      </c>
      <c r="AG346" s="102">
        <v>9.1</v>
      </c>
      <c r="AH346" s="103">
        <v>31</v>
      </c>
      <c r="AI346" s="55">
        <v>7</v>
      </c>
      <c r="AJ346" s="103">
        <v>8</v>
      </c>
      <c r="AK346" s="103">
        <v>1</v>
      </c>
      <c r="AL346" s="52">
        <v>0</v>
      </c>
      <c r="AM346" s="103">
        <v>31</v>
      </c>
      <c r="AN346" s="52">
        <v>0</v>
      </c>
      <c r="AO346" s="103">
        <v>31</v>
      </c>
      <c r="AP346" s="103">
        <v>0</v>
      </c>
    </row>
    <row r="347" spans="25:42" x14ac:dyDescent="0.35">
      <c r="Y347" s="51" t="s">
        <v>29</v>
      </c>
      <c r="Z347" s="51" t="s">
        <v>2425</v>
      </c>
      <c r="AA347" s="51" t="s">
        <v>2470</v>
      </c>
      <c r="AB347" s="102">
        <v>32.299999999999997</v>
      </c>
      <c r="AC347" s="103">
        <v>27</v>
      </c>
      <c r="AD347" s="55">
        <v>35.299999999999997</v>
      </c>
      <c r="AE347" s="103">
        <v>26</v>
      </c>
      <c r="AF347" s="103">
        <v>1</v>
      </c>
      <c r="AG347" s="102">
        <v>14.2</v>
      </c>
      <c r="AH347" s="103">
        <v>28</v>
      </c>
      <c r="AI347" s="55">
        <v>7.3</v>
      </c>
      <c r="AJ347" s="103">
        <v>1</v>
      </c>
      <c r="AK347" s="103">
        <v>1</v>
      </c>
      <c r="AL347" s="52">
        <v>0</v>
      </c>
      <c r="AM347" s="103">
        <v>28</v>
      </c>
      <c r="AN347" s="52">
        <v>0</v>
      </c>
      <c r="AO347" s="103">
        <v>28</v>
      </c>
      <c r="AP347" s="103">
        <v>0</v>
      </c>
    </row>
    <row r="348" spans="25:42" x14ac:dyDescent="0.35">
      <c r="Y348" s="51" t="s">
        <v>29</v>
      </c>
      <c r="Z348" s="51" t="s">
        <v>2425</v>
      </c>
      <c r="AA348" s="51" t="s">
        <v>49</v>
      </c>
      <c r="AB348" s="102">
        <v>36.4</v>
      </c>
      <c r="AC348" s="103">
        <v>31</v>
      </c>
      <c r="AD348" s="55">
        <v>39.4</v>
      </c>
      <c r="AE348" s="103">
        <v>30</v>
      </c>
      <c r="AF348" s="103">
        <v>1</v>
      </c>
      <c r="AG348" s="102">
        <v>16.100000000000001</v>
      </c>
      <c r="AH348" s="103">
        <v>31</v>
      </c>
      <c r="AI348" s="55">
        <v>13</v>
      </c>
      <c r="AJ348" s="103">
        <v>24</v>
      </c>
      <c r="AK348" s="103">
        <v>1</v>
      </c>
      <c r="AL348" s="52">
        <v>0</v>
      </c>
      <c r="AM348" s="103">
        <v>31</v>
      </c>
      <c r="AN348" s="52">
        <v>0</v>
      </c>
      <c r="AO348" s="103">
        <v>31</v>
      </c>
      <c r="AP348" s="103">
        <v>0</v>
      </c>
    </row>
    <row r="349" spans="25:42" x14ac:dyDescent="0.35">
      <c r="Y349" s="51" t="s">
        <v>29</v>
      </c>
      <c r="Z349" s="51" t="s">
        <v>2425</v>
      </c>
      <c r="AA349" s="51" t="s">
        <v>2471</v>
      </c>
      <c r="AB349" s="102">
        <v>38.299999999999997</v>
      </c>
      <c r="AC349" s="103">
        <v>30</v>
      </c>
      <c r="AD349" s="55">
        <v>41.2</v>
      </c>
      <c r="AE349" s="103">
        <v>11</v>
      </c>
      <c r="AF349" s="103">
        <v>1</v>
      </c>
      <c r="AG349" s="102">
        <v>20.3</v>
      </c>
      <c r="AH349" s="103">
        <v>30</v>
      </c>
      <c r="AI349" s="55">
        <v>16.899999999999999</v>
      </c>
      <c r="AJ349" s="103">
        <v>17</v>
      </c>
      <c r="AK349" s="103">
        <v>1</v>
      </c>
      <c r="AL349" s="52">
        <v>0</v>
      </c>
      <c r="AM349" s="103">
        <v>30</v>
      </c>
      <c r="AN349" s="52">
        <v>0</v>
      </c>
      <c r="AO349" s="103">
        <v>30</v>
      </c>
      <c r="AP349" s="103">
        <v>0</v>
      </c>
    </row>
    <row r="350" spans="25:42" x14ac:dyDescent="0.35">
      <c r="Y350" s="51" t="s">
        <v>29</v>
      </c>
      <c r="Z350" s="51" t="s">
        <v>2425</v>
      </c>
      <c r="AA350" s="51" t="s">
        <v>250</v>
      </c>
      <c r="AB350" s="102">
        <v>35.299999999999997</v>
      </c>
      <c r="AC350" s="103">
        <v>31</v>
      </c>
      <c r="AD350" s="55">
        <v>40.6</v>
      </c>
      <c r="AE350" s="103">
        <v>4</v>
      </c>
      <c r="AF350" s="103">
        <v>1</v>
      </c>
      <c r="AG350" s="102">
        <v>22.5</v>
      </c>
      <c r="AH350" s="103">
        <v>31</v>
      </c>
      <c r="AI350" s="55">
        <v>17.7</v>
      </c>
      <c r="AJ350" s="103">
        <v>3</v>
      </c>
      <c r="AK350" s="103">
        <v>1</v>
      </c>
      <c r="AL350" s="52">
        <v>36</v>
      </c>
      <c r="AM350" s="103">
        <v>31</v>
      </c>
      <c r="AN350" s="52">
        <v>27.8</v>
      </c>
      <c r="AO350" s="103">
        <v>17</v>
      </c>
      <c r="AP350" s="103">
        <v>2</v>
      </c>
    </row>
    <row r="351" spans="25:42" x14ac:dyDescent="0.35">
      <c r="Y351" s="51" t="s">
        <v>29</v>
      </c>
      <c r="Z351" s="51" t="s">
        <v>2425</v>
      </c>
      <c r="AA351" s="51" t="s">
        <v>2472</v>
      </c>
      <c r="AB351" s="102">
        <v>30.2</v>
      </c>
      <c r="AC351" s="103">
        <v>30</v>
      </c>
      <c r="AD351" s="55">
        <v>34.5</v>
      </c>
      <c r="AE351" s="103">
        <v>6</v>
      </c>
      <c r="AF351" s="103">
        <v>1</v>
      </c>
      <c r="AG351" s="102">
        <v>22.7</v>
      </c>
      <c r="AH351" s="103">
        <v>30</v>
      </c>
      <c r="AI351" s="55">
        <v>20.2</v>
      </c>
      <c r="AJ351" s="103">
        <v>12</v>
      </c>
      <c r="AK351" s="103">
        <v>1</v>
      </c>
      <c r="AL351" s="52">
        <v>165.5</v>
      </c>
      <c r="AM351" s="103">
        <v>30</v>
      </c>
      <c r="AN351" s="52">
        <v>51.9</v>
      </c>
      <c r="AO351" s="103">
        <v>12</v>
      </c>
      <c r="AP351" s="103">
        <v>10</v>
      </c>
    </row>
    <row r="352" spans="25:42" x14ac:dyDescent="0.35">
      <c r="Y352" s="51" t="s">
        <v>29</v>
      </c>
      <c r="Z352" s="51" t="s">
        <v>2425</v>
      </c>
      <c r="AA352" s="51" t="s">
        <v>2473</v>
      </c>
      <c r="AB352" s="102">
        <v>28</v>
      </c>
      <c r="AC352" s="103">
        <v>31</v>
      </c>
      <c r="AD352" s="55">
        <v>32.9</v>
      </c>
      <c r="AE352" s="103">
        <v>7</v>
      </c>
      <c r="AF352" s="103">
        <v>1</v>
      </c>
      <c r="AG352" s="102">
        <v>22.3</v>
      </c>
      <c r="AH352" s="103">
        <v>31</v>
      </c>
      <c r="AI352" s="55">
        <v>21.5</v>
      </c>
      <c r="AJ352" s="103">
        <v>9</v>
      </c>
      <c r="AK352" s="103">
        <v>3</v>
      </c>
      <c r="AL352" s="52">
        <v>156.4</v>
      </c>
      <c r="AM352" s="103">
        <v>31</v>
      </c>
      <c r="AN352" s="52">
        <v>22.6</v>
      </c>
      <c r="AO352" s="103">
        <v>26</v>
      </c>
      <c r="AP352" s="103">
        <v>17</v>
      </c>
    </row>
    <row r="353" spans="25:42" x14ac:dyDescent="0.35">
      <c r="Y353" s="51" t="s">
        <v>29</v>
      </c>
      <c r="Z353" s="51" t="s">
        <v>2425</v>
      </c>
      <c r="AA353" s="51" t="s">
        <v>2474</v>
      </c>
      <c r="AB353" s="102">
        <v>27.5</v>
      </c>
      <c r="AC353" s="103">
        <v>31</v>
      </c>
      <c r="AD353" s="55">
        <v>30</v>
      </c>
      <c r="AE353" s="103">
        <v>21</v>
      </c>
      <c r="AF353" s="103">
        <v>1</v>
      </c>
      <c r="AG353" s="102">
        <v>21.3</v>
      </c>
      <c r="AH353" s="103">
        <v>31</v>
      </c>
      <c r="AI353" s="55">
        <v>18.899999999999999</v>
      </c>
      <c r="AJ353" s="103">
        <v>19</v>
      </c>
      <c r="AK353" s="103">
        <v>1</v>
      </c>
      <c r="AL353" s="52">
        <v>35.700000000000003</v>
      </c>
      <c r="AM353" s="103">
        <v>31</v>
      </c>
      <c r="AN353" s="52">
        <v>8.5</v>
      </c>
      <c r="AO353" s="103">
        <v>7</v>
      </c>
      <c r="AP353" s="103">
        <v>5</v>
      </c>
    </row>
    <row r="354" spans="25:42" x14ac:dyDescent="0.35">
      <c r="Y354" s="51" t="s">
        <v>29</v>
      </c>
      <c r="Z354" s="51" t="s">
        <v>2425</v>
      </c>
      <c r="AA354" s="51" t="s">
        <v>410</v>
      </c>
      <c r="AB354" s="102">
        <v>28.5</v>
      </c>
      <c r="AC354" s="103">
        <v>30</v>
      </c>
      <c r="AD354" s="55">
        <v>31.3</v>
      </c>
      <c r="AE354" s="103">
        <v>27</v>
      </c>
      <c r="AF354" s="103">
        <v>1</v>
      </c>
      <c r="AG354" s="102">
        <v>21</v>
      </c>
      <c r="AH354" s="103">
        <v>30</v>
      </c>
      <c r="AI354" s="55">
        <v>18</v>
      </c>
      <c r="AJ354" s="103">
        <v>18</v>
      </c>
      <c r="AK354" s="103">
        <v>1</v>
      </c>
      <c r="AL354" s="52">
        <v>143.6</v>
      </c>
      <c r="AM354" s="103">
        <v>30</v>
      </c>
      <c r="AN354" s="52">
        <v>34.200000000000003</v>
      </c>
      <c r="AO354" s="103">
        <v>29</v>
      </c>
      <c r="AP354" s="103">
        <v>8</v>
      </c>
    </row>
    <row r="355" spans="25:42" x14ac:dyDescent="0.35">
      <c r="Y355" s="51" t="s">
        <v>29</v>
      </c>
      <c r="Z355" s="51" t="s">
        <v>2425</v>
      </c>
      <c r="AA355" s="51" t="s">
        <v>112</v>
      </c>
      <c r="AB355" s="102">
        <v>30.4</v>
      </c>
      <c r="AC355" s="103">
        <v>31</v>
      </c>
      <c r="AD355" s="55">
        <v>32</v>
      </c>
      <c r="AE355" s="103">
        <v>30</v>
      </c>
      <c r="AF355" s="103">
        <v>1</v>
      </c>
      <c r="AG355" s="102">
        <v>18.7</v>
      </c>
      <c r="AH355" s="103">
        <v>31</v>
      </c>
      <c r="AI355" s="55">
        <v>12.8</v>
      </c>
      <c r="AJ355" s="103">
        <v>24</v>
      </c>
      <c r="AK355" s="103">
        <v>1</v>
      </c>
      <c r="AL355" s="52">
        <v>195.5</v>
      </c>
      <c r="AM355" s="103">
        <v>31</v>
      </c>
      <c r="AN355" s="52">
        <v>52.5</v>
      </c>
      <c r="AO355" s="103">
        <v>14</v>
      </c>
      <c r="AP355" s="103">
        <v>10</v>
      </c>
    </row>
    <row r="356" spans="25:42" x14ac:dyDescent="0.35">
      <c r="Y356" s="51" t="s">
        <v>29</v>
      </c>
      <c r="Z356" s="51" t="s">
        <v>2425</v>
      </c>
      <c r="AA356" s="51" t="s">
        <v>142</v>
      </c>
      <c r="AB356" s="102">
        <v>30.6</v>
      </c>
      <c r="AC356" s="103">
        <v>30</v>
      </c>
      <c r="AD356" s="55">
        <v>32.5</v>
      </c>
      <c r="AE356" s="103">
        <v>8</v>
      </c>
      <c r="AF356" s="103">
        <v>1</v>
      </c>
      <c r="AG356" s="102">
        <v>13.1</v>
      </c>
      <c r="AH356" s="103">
        <v>30</v>
      </c>
      <c r="AI356" s="55">
        <v>8.1</v>
      </c>
      <c r="AJ356" s="103">
        <v>21</v>
      </c>
      <c r="AK356" s="103">
        <v>1</v>
      </c>
      <c r="AL356" s="52">
        <v>0</v>
      </c>
      <c r="AM356" s="103">
        <v>30</v>
      </c>
      <c r="AN356" s="52">
        <v>0</v>
      </c>
      <c r="AO356" s="103">
        <v>30</v>
      </c>
      <c r="AP356" s="103">
        <v>0</v>
      </c>
    </row>
    <row r="357" spans="25:42" x14ac:dyDescent="0.35">
      <c r="Y357" s="51" t="s">
        <v>29</v>
      </c>
      <c r="Z357" s="51" t="s">
        <v>2425</v>
      </c>
      <c r="AA357" s="51" t="s">
        <v>30</v>
      </c>
      <c r="AB357" s="102">
        <v>29</v>
      </c>
      <c r="AC357" s="103">
        <v>31</v>
      </c>
      <c r="AD357" s="55">
        <v>30.9</v>
      </c>
      <c r="AE357" s="103">
        <v>28</v>
      </c>
      <c r="AF357" s="103">
        <v>1</v>
      </c>
      <c r="AG357" s="102">
        <v>10.199999999999999</v>
      </c>
      <c r="AH357" s="103">
        <v>31</v>
      </c>
      <c r="AI357" s="55">
        <v>6.7</v>
      </c>
      <c r="AJ357" s="103">
        <v>13</v>
      </c>
      <c r="AK357" s="103">
        <v>1</v>
      </c>
      <c r="AL357" s="52">
        <v>0</v>
      </c>
      <c r="AM357" s="103">
        <v>31</v>
      </c>
      <c r="AN357" s="52">
        <v>0</v>
      </c>
      <c r="AO357" s="103">
        <v>31</v>
      </c>
      <c r="AP357" s="103">
        <v>0</v>
      </c>
    </row>
    <row r="358" spans="25:42" x14ac:dyDescent="0.35">
      <c r="Y358" s="51" t="s">
        <v>29</v>
      </c>
      <c r="Z358" s="51" t="s">
        <v>2426</v>
      </c>
      <c r="AA358" s="51" t="s">
        <v>2469</v>
      </c>
      <c r="AB358" s="102">
        <v>30.4</v>
      </c>
      <c r="AC358" s="103">
        <v>30</v>
      </c>
      <c r="AD358" s="55">
        <v>32.799999999999997</v>
      </c>
      <c r="AE358" s="103">
        <v>21</v>
      </c>
      <c r="AF358" s="103">
        <v>1</v>
      </c>
      <c r="AG358" s="102">
        <v>11</v>
      </c>
      <c r="AH358" s="103">
        <v>31</v>
      </c>
      <c r="AI358" s="55">
        <v>5.9</v>
      </c>
      <c r="AJ358" s="103">
        <v>7</v>
      </c>
      <c r="AK358" s="103">
        <v>1</v>
      </c>
      <c r="AL358" s="52">
        <v>0</v>
      </c>
      <c r="AM358" s="103">
        <v>31</v>
      </c>
      <c r="AN358" s="52">
        <v>0</v>
      </c>
      <c r="AO358" s="103">
        <v>31</v>
      </c>
      <c r="AP358" s="103">
        <v>0</v>
      </c>
    </row>
    <row r="359" spans="25:42" x14ac:dyDescent="0.35">
      <c r="Y359" s="51" t="s">
        <v>29</v>
      </c>
      <c r="Z359" s="51" t="s">
        <v>2426</v>
      </c>
      <c r="AA359" s="51" t="s">
        <v>2470</v>
      </c>
      <c r="AB359" s="102">
        <v>30.6</v>
      </c>
      <c r="AC359" s="103">
        <v>28</v>
      </c>
      <c r="AD359" s="55">
        <v>32.9</v>
      </c>
      <c r="AE359" s="103">
        <v>20</v>
      </c>
      <c r="AF359" s="103">
        <v>2</v>
      </c>
      <c r="AG359" s="102">
        <v>12.1</v>
      </c>
      <c r="AH359" s="103">
        <v>29</v>
      </c>
      <c r="AI359" s="55">
        <v>8.6</v>
      </c>
      <c r="AJ359" s="103">
        <v>18</v>
      </c>
      <c r="AK359" s="103">
        <v>1</v>
      </c>
      <c r="AL359" s="52">
        <v>0</v>
      </c>
      <c r="AM359" s="103">
        <v>29</v>
      </c>
      <c r="AN359" s="52">
        <v>0</v>
      </c>
      <c r="AO359" s="103">
        <v>29</v>
      </c>
      <c r="AP359" s="103">
        <v>0</v>
      </c>
    </row>
    <row r="360" spans="25:42" x14ac:dyDescent="0.35">
      <c r="Y360" s="51" t="s">
        <v>29</v>
      </c>
      <c r="Z360" s="51" t="s">
        <v>2426</v>
      </c>
      <c r="AA360" s="51" t="s">
        <v>49</v>
      </c>
      <c r="AB360" s="102">
        <v>35.1</v>
      </c>
      <c r="AC360" s="103">
        <v>31</v>
      </c>
      <c r="AD360" s="55">
        <v>38.200000000000003</v>
      </c>
      <c r="AE360" s="103">
        <v>31</v>
      </c>
      <c r="AF360" s="103">
        <v>1</v>
      </c>
      <c r="AG360" s="102">
        <v>13.5</v>
      </c>
      <c r="AH360" s="103">
        <v>31</v>
      </c>
      <c r="AI360" s="55">
        <v>9.6999999999999993</v>
      </c>
      <c r="AJ360" s="103">
        <v>17</v>
      </c>
      <c r="AK360" s="103">
        <v>1</v>
      </c>
      <c r="AL360" s="52">
        <v>0</v>
      </c>
      <c r="AM360" s="103">
        <v>31</v>
      </c>
      <c r="AN360" s="52">
        <v>0</v>
      </c>
      <c r="AO360" s="103">
        <v>31</v>
      </c>
      <c r="AP360" s="103">
        <v>0</v>
      </c>
    </row>
    <row r="361" spans="25:42" x14ac:dyDescent="0.35">
      <c r="Y361" s="51" t="s">
        <v>29</v>
      </c>
      <c r="Z361" s="51" t="s">
        <v>2426</v>
      </c>
      <c r="AA361" s="51" t="s">
        <v>2471</v>
      </c>
      <c r="AB361" s="102">
        <v>38.700000000000003</v>
      </c>
      <c r="AC361" s="103">
        <v>28</v>
      </c>
      <c r="AD361" s="55">
        <v>40.299999999999997</v>
      </c>
      <c r="AE361" s="103">
        <v>13</v>
      </c>
      <c r="AF361" s="103">
        <v>1</v>
      </c>
      <c r="AG361" s="102">
        <v>20.7</v>
      </c>
      <c r="AH361" s="103">
        <v>30</v>
      </c>
      <c r="AI361" s="55">
        <v>15.8</v>
      </c>
      <c r="AJ361" s="103">
        <v>11</v>
      </c>
      <c r="AK361" s="103">
        <v>1</v>
      </c>
      <c r="AL361" s="52">
        <v>0</v>
      </c>
      <c r="AM361" s="103">
        <v>30</v>
      </c>
      <c r="AN361" s="52">
        <v>0</v>
      </c>
      <c r="AO361" s="103">
        <v>30</v>
      </c>
      <c r="AP361" s="103">
        <v>0</v>
      </c>
    </row>
    <row r="362" spans="25:42" x14ac:dyDescent="0.35">
      <c r="Y362" s="51" t="s">
        <v>29</v>
      </c>
      <c r="Z362" s="51" t="s">
        <v>2426</v>
      </c>
      <c r="AA362" s="51" t="s">
        <v>250</v>
      </c>
      <c r="AB362" s="102">
        <v>35.200000000000003</v>
      </c>
      <c r="AC362" s="103">
        <v>31</v>
      </c>
      <c r="AD362" s="55">
        <v>41.2</v>
      </c>
      <c r="AE362" s="103">
        <v>3</v>
      </c>
      <c r="AF362" s="103">
        <v>1</v>
      </c>
      <c r="AG362" s="102">
        <v>22.6</v>
      </c>
      <c r="AH362" s="103">
        <v>31</v>
      </c>
      <c r="AI362" s="55">
        <v>16.899999999999999</v>
      </c>
      <c r="AJ362" s="103">
        <v>2</v>
      </c>
      <c r="AK362" s="103">
        <v>1</v>
      </c>
      <c r="AL362" s="52">
        <v>24.7</v>
      </c>
      <c r="AM362" s="103">
        <v>31</v>
      </c>
      <c r="AN362" s="52">
        <v>8.4</v>
      </c>
      <c r="AO362" s="103">
        <v>19</v>
      </c>
      <c r="AP362" s="103">
        <v>3</v>
      </c>
    </row>
    <row r="363" spans="25:42" x14ac:dyDescent="0.35">
      <c r="Y363" s="51" t="s">
        <v>29</v>
      </c>
      <c r="Z363" s="51" t="s">
        <v>2426</v>
      </c>
      <c r="AA363" s="51" t="s">
        <v>2472</v>
      </c>
      <c r="AB363" s="102">
        <v>30.8</v>
      </c>
      <c r="AC363" s="103">
        <v>30</v>
      </c>
      <c r="AD363" s="55">
        <v>34.6</v>
      </c>
      <c r="AE363" s="103">
        <v>2</v>
      </c>
      <c r="AF363" s="103">
        <v>1</v>
      </c>
      <c r="AG363" s="102">
        <v>22.9</v>
      </c>
      <c r="AH363" s="103">
        <v>30</v>
      </c>
      <c r="AI363" s="55">
        <v>20.9</v>
      </c>
      <c r="AJ363" s="103">
        <v>6</v>
      </c>
      <c r="AK363" s="103">
        <v>1</v>
      </c>
      <c r="AL363" s="52">
        <v>147.80000000000001</v>
      </c>
      <c r="AM363" s="103">
        <v>30</v>
      </c>
      <c r="AN363" s="52">
        <v>40.799999999999997</v>
      </c>
      <c r="AO363" s="103">
        <v>4</v>
      </c>
      <c r="AP363" s="103">
        <v>12</v>
      </c>
    </row>
    <row r="364" spans="25:42" x14ac:dyDescent="0.35">
      <c r="Y364" s="51" t="s">
        <v>29</v>
      </c>
      <c r="Z364" s="51" t="s">
        <v>2426</v>
      </c>
      <c r="AA364" s="51" t="s">
        <v>2473</v>
      </c>
      <c r="AB364" s="102">
        <v>27.9</v>
      </c>
      <c r="AC364" s="103">
        <v>31</v>
      </c>
      <c r="AD364" s="55">
        <v>30.6</v>
      </c>
      <c r="AE364" s="103">
        <v>30</v>
      </c>
      <c r="AF364" s="103">
        <v>1</v>
      </c>
      <c r="AG364" s="102">
        <v>21.6</v>
      </c>
      <c r="AH364" s="103">
        <v>31</v>
      </c>
      <c r="AI364" s="55">
        <v>19.7</v>
      </c>
      <c r="AJ364" s="103">
        <v>31</v>
      </c>
      <c r="AK364" s="103">
        <v>2</v>
      </c>
      <c r="AL364" s="52">
        <v>94.5</v>
      </c>
      <c r="AM364" s="103">
        <v>31</v>
      </c>
      <c r="AN364" s="52">
        <v>37.200000000000003</v>
      </c>
      <c r="AO364" s="103">
        <v>13</v>
      </c>
      <c r="AP364" s="103">
        <v>11</v>
      </c>
    </row>
    <row r="365" spans="25:42" x14ac:dyDescent="0.35">
      <c r="Y365" s="51" t="s">
        <v>29</v>
      </c>
      <c r="Z365" s="51" t="s">
        <v>2426</v>
      </c>
      <c r="AA365" s="51" t="s">
        <v>2474</v>
      </c>
      <c r="AB365" s="102">
        <v>28.5</v>
      </c>
      <c r="AC365" s="103">
        <v>31</v>
      </c>
      <c r="AD365" s="55">
        <v>32.299999999999997</v>
      </c>
      <c r="AE365" s="103">
        <v>6</v>
      </c>
      <c r="AF365" s="103">
        <v>1</v>
      </c>
      <c r="AG365" s="102">
        <v>21.8</v>
      </c>
      <c r="AH365" s="103">
        <v>31</v>
      </c>
      <c r="AI365" s="55">
        <v>20.3</v>
      </c>
      <c r="AJ365" s="103">
        <v>5</v>
      </c>
      <c r="AK365" s="103">
        <v>1</v>
      </c>
      <c r="AL365" s="52">
        <v>81.5</v>
      </c>
      <c r="AM365" s="103">
        <v>31</v>
      </c>
      <c r="AN365" s="52">
        <v>31.1</v>
      </c>
      <c r="AO365" s="103">
        <v>25</v>
      </c>
      <c r="AP365" s="103">
        <v>7</v>
      </c>
    </row>
    <row r="366" spans="25:42" x14ac:dyDescent="0.35">
      <c r="Y366" s="51" t="s">
        <v>29</v>
      </c>
      <c r="Z366" s="51" t="s">
        <v>2426</v>
      </c>
      <c r="AA366" s="51" t="s">
        <v>410</v>
      </c>
      <c r="AB366" s="102">
        <v>30.1</v>
      </c>
      <c r="AC366" s="103">
        <v>30</v>
      </c>
      <c r="AD366" s="55">
        <v>33.1</v>
      </c>
      <c r="AE366" s="103">
        <v>21</v>
      </c>
      <c r="AF366" s="103">
        <v>1</v>
      </c>
      <c r="AG366" s="102">
        <v>20.5</v>
      </c>
      <c r="AH366" s="103">
        <v>30</v>
      </c>
      <c r="AI366" s="55">
        <v>17.3</v>
      </c>
      <c r="AJ366" s="103">
        <v>19</v>
      </c>
      <c r="AK366" s="103">
        <v>1</v>
      </c>
      <c r="AL366" s="52">
        <v>145.4</v>
      </c>
      <c r="AM366" s="103">
        <v>30</v>
      </c>
      <c r="AN366" s="52">
        <v>45.1</v>
      </c>
      <c r="AO366" s="103">
        <v>21</v>
      </c>
      <c r="AP366" s="103">
        <v>5</v>
      </c>
    </row>
    <row r="367" spans="25:42" x14ac:dyDescent="0.35">
      <c r="Y367" s="51" t="s">
        <v>29</v>
      </c>
      <c r="Z367" s="51" t="s">
        <v>2426</v>
      </c>
      <c r="AA367" s="51" t="s">
        <v>112</v>
      </c>
      <c r="AB367" s="102">
        <v>32.799999999999997</v>
      </c>
      <c r="AC367" s="103">
        <v>31</v>
      </c>
      <c r="AD367" s="55">
        <v>34.200000000000003</v>
      </c>
      <c r="AE367" s="103">
        <v>23</v>
      </c>
      <c r="AF367" s="103">
        <v>1</v>
      </c>
      <c r="AG367" s="102">
        <v>19</v>
      </c>
      <c r="AH367" s="103">
        <v>31</v>
      </c>
      <c r="AI367" s="55">
        <v>13.1</v>
      </c>
      <c r="AJ367" s="103">
        <v>18</v>
      </c>
      <c r="AK367" s="103">
        <v>1</v>
      </c>
      <c r="AL367" s="52">
        <v>41.9</v>
      </c>
      <c r="AM367" s="103">
        <v>31</v>
      </c>
      <c r="AN367" s="52">
        <v>14.1</v>
      </c>
      <c r="AO367" s="103">
        <v>10</v>
      </c>
      <c r="AP367" s="103">
        <v>4</v>
      </c>
    </row>
    <row r="368" spans="25:42" x14ac:dyDescent="0.35">
      <c r="Y368" s="51" t="s">
        <v>29</v>
      </c>
      <c r="Z368" s="51" t="s">
        <v>2426</v>
      </c>
      <c r="AA368" s="51" t="s">
        <v>142</v>
      </c>
      <c r="AB368" s="102">
        <v>31.5</v>
      </c>
      <c r="AC368" s="103">
        <v>30</v>
      </c>
      <c r="AD368" s="55">
        <v>33.6</v>
      </c>
      <c r="AE368" s="103">
        <v>1</v>
      </c>
      <c r="AF368" s="103">
        <v>1</v>
      </c>
      <c r="AG368" s="102">
        <v>13.1</v>
      </c>
      <c r="AH368" s="103">
        <v>30</v>
      </c>
      <c r="AI368" s="55">
        <v>10</v>
      </c>
      <c r="AJ368" s="103">
        <v>18</v>
      </c>
      <c r="AK368" s="103">
        <v>1</v>
      </c>
      <c r="AL368" s="52">
        <v>14.5</v>
      </c>
      <c r="AM368" s="103">
        <v>30</v>
      </c>
      <c r="AN368" s="52">
        <v>14.5</v>
      </c>
      <c r="AO368" s="103">
        <v>6</v>
      </c>
      <c r="AP368" s="103">
        <v>1</v>
      </c>
    </row>
    <row r="369" spans="25:42" x14ac:dyDescent="0.35">
      <c r="Y369" s="51" t="s">
        <v>29</v>
      </c>
      <c r="Z369" s="51" t="s">
        <v>2426</v>
      </c>
      <c r="AA369" s="51" t="s">
        <v>30</v>
      </c>
      <c r="AB369" s="102">
        <v>30.1</v>
      </c>
      <c r="AC369" s="103">
        <v>31</v>
      </c>
      <c r="AD369" s="55">
        <v>32</v>
      </c>
      <c r="AE369" s="103">
        <v>26</v>
      </c>
      <c r="AF369" s="103">
        <v>3</v>
      </c>
      <c r="AG369" s="102">
        <v>8.1</v>
      </c>
      <c r="AH369" s="103">
        <v>31</v>
      </c>
      <c r="AI369" s="55">
        <v>5.6</v>
      </c>
      <c r="AJ369" s="103">
        <v>27</v>
      </c>
      <c r="AK369" s="103">
        <v>1</v>
      </c>
      <c r="AL369" s="52">
        <v>8</v>
      </c>
      <c r="AM369" s="103">
        <v>31</v>
      </c>
      <c r="AN369" s="52">
        <v>8</v>
      </c>
      <c r="AO369" s="103">
        <v>31</v>
      </c>
      <c r="AP369" s="103">
        <v>1</v>
      </c>
    </row>
    <row r="370" spans="25:42" x14ac:dyDescent="0.35">
      <c r="Y370" s="51" t="s">
        <v>29</v>
      </c>
      <c r="Z370" s="51" t="s">
        <v>2427</v>
      </c>
      <c r="AA370" s="51" t="s">
        <v>2469</v>
      </c>
      <c r="AB370" s="102">
        <v>30.1</v>
      </c>
      <c r="AC370" s="103">
        <v>31</v>
      </c>
      <c r="AD370" s="55">
        <v>33.200000000000003</v>
      </c>
      <c r="AE370" s="103">
        <v>30</v>
      </c>
      <c r="AF370" s="103">
        <v>1</v>
      </c>
      <c r="AG370" s="102">
        <v>12</v>
      </c>
      <c r="AH370" s="103">
        <v>31</v>
      </c>
      <c r="AI370" s="55">
        <v>8</v>
      </c>
      <c r="AJ370" s="103">
        <v>27</v>
      </c>
      <c r="AK370" s="103">
        <v>1</v>
      </c>
      <c r="AL370" s="52">
        <v>6.6</v>
      </c>
      <c r="AM370" s="103">
        <v>31</v>
      </c>
      <c r="AN370" s="52">
        <v>6.6</v>
      </c>
      <c r="AO370" s="103">
        <v>1</v>
      </c>
      <c r="AP370" s="103">
        <v>1</v>
      </c>
    </row>
    <row r="371" spans="25:42" x14ac:dyDescent="0.35">
      <c r="Y371" s="51" t="s">
        <v>29</v>
      </c>
      <c r="Z371" s="51" t="s">
        <v>2427</v>
      </c>
      <c r="AA371" s="51" t="s">
        <v>2470</v>
      </c>
      <c r="AB371" s="102">
        <v>34.6</v>
      </c>
      <c r="AC371" s="103">
        <v>28</v>
      </c>
      <c r="AD371" s="55">
        <v>37.700000000000003</v>
      </c>
      <c r="AE371" s="103">
        <v>25</v>
      </c>
      <c r="AF371" s="103">
        <v>1</v>
      </c>
      <c r="AG371" s="102">
        <v>10.5</v>
      </c>
      <c r="AH371" s="103">
        <v>28</v>
      </c>
      <c r="AI371" s="55">
        <v>7.3</v>
      </c>
      <c r="AJ371" s="103">
        <v>11</v>
      </c>
      <c r="AK371" s="103">
        <v>1</v>
      </c>
      <c r="AL371" s="52">
        <v>0</v>
      </c>
      <c r="AM371" s="103">
        <v>28</v>
      </c>
      <c r="AN371" s="52">
        <v>0</v>
      </c>
      <c r="AO371" s="103">
        <v>28</v>
      </c>
      <c r="AP371" s="103">
        <v>0</v>
      </c>
    </row>
    <row r="372" spans="25:42" x14ac:dyDescent="0.35">
      <c r="Y372" s="51" t="s">
        <v>29</v>
      </c>
      <c r="Z372" s="51" t="s">
        <v>2427</v>
      </c>
      <c r="AA372" s="51" t="s">
        <v>49</v>
      </c>
      <c r="AB372" s="102">
        <v>35</v>
      </c>
      <c r="AC372" s="103">
        <v>31</v>
      </c>
      <c r="AD372" s="55">
        <v>38</v>
      </c>
      <c r="AE372" s="103">
        <v>20</v>
      </c>
      <c r="AF372" s="103">
        <v>1</v>
      </c>
      <c r="AG372" s="102">
        <v>14.8</v>
      </c>
      <c r="AH372" s="103">
        <v>31</v>
      </c>
      <c r="AI372" s="55">
        <v>9.1999999999999993</v>
      </c>
      <c r="AJ372" s="103">
        <v>8</v>
      </c>
      <c r="AK372" s="103">
        <v>1</v>
      </c>
      <c r="AL372" s="52">
        <v>0</v>
      </c>
      <c r="AM372" s="103">
        <v>31</v>
      </c>
      <c r="AN372" s="52">
        <v>0</v>
      </c>
      <c r="AO372" s="103">
        <v>31</v>
      </c>
      <c r="AP372" s="103">
        <v>0</v>
      </c>
    </row>
    <row r="373" spans="25:42" x14ac:dyDescent="0.35">
      <c r="Y373" s="51" t="s">
        <v>29</v>
      </c>
      <c r="Z373" s="51" t="s">
        <v>2427</v>
      </c>
      <c r="AA373" s="51" t="s">
        <v>2471</v>
      </c>
      <c r="AB373" s="102">
        <v>37.4</v>
      </c>
      <c r="AC373" s="103">
        <v>30</v>
      </c>
      <c r="AD373" s="55">
        <v>41.4</v>
      </c>
      <c r="AE373" s="103">
        <v>25</v>
      </c>
      <c r="AF373" s="103">
        <v>1</v>
      </c>
      <c r="AG373" s="102">
        <v>20.399999999999999</v>
      </c>
      <c r="AH373" s="103">
        <v>30</v>
      </c>
      <c r="AI373" s="55">
        <v>15</v>
      </c>
      <c r="AJ373" s="103">
        <v>1</v>
      </c>
      <c r="AK373" s="103">
        <v>1</v>
      </c>
      <c r="AL373" s="52">
        <v>2.5</v>
      </c>
      <c r="AM373" s="103">
        <v>30</v>
      </c>
      <c r="AN373" s="52">
        <v>2.2999999999999998</v>
      </c>
      <c r="AO373" s="103">
        <v>21</v>
      </c>
      <c r="AP373" s="103">
        <v>0</v>
      </c>
    </row>
    <row r="374" spans="25:42" x14ac:dyDescent="0.35">
      <c r="Y374" s="51" t="s">
        <v>29</v>
      </c>
      <c r="Z374" s="51" t="s">
        <v>2427</v>
      </c>
      <c r="AA374" s="51" t="s">
        <v>250</v>
      </c>
      <c r="AB374" s="102">
        <v>36.1</v>
      </c>
      <c r="AC374" s="103">
        <v>31</v>
      </c>
      <c r="AD374" s="55">
        <v>42.1</v>
      </c>
      <c r="AE374" s="103">
        <v>2</v>
      </c>
      <c r="AF374" s="103">
        <v>1</v>
      </c>
      <c r="AG374" s="102">
        <v>22.9</v>
      </c>
      <c r="AH374" s="103">
        <v>31</v>
      </c>
      <c r="AI374" s="55">
        <v>20.399999999999999</v>
      </c>
      <c r="AJ374" s="103">
        <v>5</v>
      </c>
      <c r="AK374" s="103">
        <v>1</v>
      </c>
      <c r="AL374" s="52">
        <v>4.4000000000000004</v>
      </c>
      <c r="AM374" s="103">
        <v>31</v>
      </c>
      <c r="AN374" s="52">
        <v>4.4000000000000004</v>
      </c>
      <c r="AO374" s="103">
        <v>29</v>
      </c>
      <c r="AP374" s="103">
        <v>1</v>
      </c>
    </row>
    <row r="375" spans="25:42" x14ac:dyDescent="0.35">
      <c r="Y375" s="51" t="s">
        <v>29</v>
      </c>
      <c r="Z375" s="51" t="s">
        <v>2427</v>
      </c>
      <c r="AA375" s="51" t="s">
        <v>2472</v>
      </c>
      <c r="AB375" s="102">
        <v>30.6</v>
      </c>
      <c r="AC375" s="103">
        <v>30</v>
      </c>
      <c r="AD375" s="55">
        <v>35.6</v>
      </c>
      <c r="AE375" s="103">
        <v>8</v>
      </c>
      <c r="AF375" s="103">
        <v>1</v>
      </c>
      <c r="AG375" s="102">
        <v>23.1</v>
      </c>
      <c r="AH375" s="103">
        <v>30</v>
      </c>
      <c r="AI375" s="55">
        <v>21.4</v>
      </c>
      <c r="AJ375" s="103">
        <v>30</v>
      </c>
      <c r="AK375" s="103">
        <v>1</v>
      </c>
      <c r="AL375" s="52">
        <v>78.599999999999994</v>
      </c>
      <c r="AM375" s="103">
        <v>30</v>
      </c>
      <c r="AN375" s="52">
        <v>23.2</v>
      </c>
      <c r="AO375" s="103">
        <v>8</v>
      </c>
      <c r="AP375" s="103">
        <v>5</v>
      </c>
    </row>
    <row r="376" spans="25:42" x14ac:dyDescent="0.35">
      <c r="Y376" s="51" t="s">
        <v>29</v>
      </c>
      <c r="Z376" s="51" t="s">
        <v>2427</v>
      </c>
      <c r="AA376" s="51" t="s">
        <v>2473</v>
      </c>
      <c r="AB376" s="102">
        <v>27.1</v>
      </c>
      <c r="AC376" s="103">
        <v>31</v>
      </c>
      <c r="AD376" s="55">
        <v>29.4</v>
      </c>
      <c r="AE376" s="103">
        <v>1</v>
      </c>
      <c r="AF376" s="103">
        <v>1</v>
      </c>
      <c r="AG376" s="102">
        <v>22</v>
      </c>
      <c r="AH376" s="103">
        <v>31</v>
      </c>
      <c r="AI376" s="55">
        <v>21.3</v>
      </c>
      <c r="AJ376" s="103">
        <v>15</v>
      </c>
      <c r="AK376" s="103">
        <v>1</v>
      </c>
      <c r="AL376" s="52">
        <v>118.8</v>
      </c>
      <c r="AM376" s="103">
        <v>31</v>
      </c>
      <c r="AN376" s="52">
        <v>37.5</v>
      </c>
      <c r="AO376" s="103">
        <v>10</v>
      </c>
      <c r="AP376" s="103">
        <v>11</v>
      </c>
    </row>
    <row r="377" spans="25:42" x14ac:dyDescent="0.35">
      <c r="Y377" s="51" t="s">
        <v>29</v>
      </c>
      <c r="Z377" s="51" t="s">
        <v>2427</v>
      </c>
      <c r="AA377" s="51" t="s">
        <v>2474</v>
      </c>
      <c r="AB377" s="102">
        <v>27</v>
      </c>
      <c r="AC377" s="103">
        <v>31</v>
      </c>
      <c r="AD377" s="55">
        <v>29</v>
      </c>
      <c r="AE377" s="103">
        <v>2</v>
      </c>
      <c r="AF377" s="103">
        <v>1</v>
      </c>
      <c r="AG377" s="102">
        <v>21.7</v>
      </c>
      <c r="AH377" s="103">
        <v>31</v>
      </c>
      <c r="AI377" s="55">
        <v>20.9</v>
      </c>
      <c r="AJ377" s="103">
        <v>7</v>
      </c>
      <c r="AK377" s="103">
        <v>1</v>
      </c>
      <c r="AL377" s="52">
        <v>76.3</v>
      </c>
      <c r="AM377" s="103">
        <v>31</v>
      </c>
      <c r="AN377" s="52">
        <v>14.7</v>
      </c>
      <c r="AO377" s="103">
        <v>8</v>
      </c>
      <c r="AP377" s="103">
        <v>7</v>
      </c>
    </row>
    <row r="378" spans="25:42" x14ac:dyDescent="0.35">
      <c r="Y378" s="51" t="s">
        <v>29</v>
      </c>
      <c r="Z378" s="51" t="s">
        <v>2427</v>
      </c>
      <c r="AA378" s="51" t="s">
        <v>410</v>
      </c>
      <c r="AB378" s="102">
        <v>30.2</v>
      </c>
      <c r="AC378" s="103">
        <v>30</v>
      </c>
      <c r="AD378" s="55">
        <v>32.9</v>
      </c>
      <c r="AE378" s="103">
        <v>15</v>
      </c>
      <c r="AF378" s="103">
        <v>1</v>
      </c>
      <c r="AG378" s="102">
        <v>20.9</v>
      </c>
      <c r="AH378" s="103">
        <v>30</v>
      </c>
      <c r="AI378" s="55">
        <v>19</v>
      </c>
      <c r="AJ378" s="103">
        <v>12</v>
      </c>
      <c r="AK378" s="103">
        <v>1</v>
      </c>
      <c r="AL378" s="52">
        <v>99.4</v>
      </c>
      <c r="AM378" s="103">
        <v>30</v>
      </c>
      <c r="AN378" s="52">
        <v>33</v>
      </c>
      <c r="AO378" s="103">
        <v>26</v>
      </c>
      <c r="AP378" s="103">
        <v>7</v>
      </c>
    </row>
    <row r="379" spans="25:42" x14ac:dyDescent="0.35">
      <c r="Y379" s="51" t="s">
        <v>29</v>
      </c>
      <c r="Z379" s="51" t="s">
        <v>2427</v>
      </c>
      <c r="AA379" s="51" t="s">
        <v>112</v>
      </c>
      <c r="AB379" s="102">
        <v>30.7</v>
      </c>
      <c r="AC379" s="103">
        <v>31</v>
      </c>
      <c r="AD379" s="55">
        <v>33.9</v>
      </c>
      <c r="AE379" s="103">
        <v>30</v>
      </c>
      <c r="AF379" s="103">
        <v>1</v>
      </c>
      <c r="AG379" s="102">
        <v>18.600000000000001</v>
      </c>
      <c r="AH379" s="103">
        <v>30</v>
      </c>
      <c r="AI379" s="55">
        <v>12</v>
      </c>
      <c r="AJ379" s="103">
        <v>27</v>
      </c>
      <c r="AK379" s="103">
        <v>1</v>
      </c>
      <c r="AL379" s="52">
        <v>138.80000000000001</v>
      </c>
      <c r="AM379" s="103">
        <v>30</v>
      </c>
      <c r="AN379" s="52">
        <v>36</v>
      </c>
      <c r="AO379" s="103">
        <v>8</v>
      </c>
      <c r="AP379" s="103">
        <v>7</v>
      </c>
    </row>
    <row r="380" spans="25:42" x14ac:dyDescent="0.35">
      <c r="Y380" s="51" t="s">
        <v>29</v>
      </c>
      <c r="Z380" s="51" t="s">
        <v>2427</v>
      </c>
      <c r="AA380" s="51" t="s">
        <v>142</v>
      </c>
      <c r="AB380" s="102">
        <v>30.7</v>
      </c>
      <c r="AC380" s="103">
        <v>30</v>
      </c>
      <c r="AD380" s="55">
        <v>32.6</v>
      </c>
      <c r="AE380" s="103">
        <v>17</v>
      </c>
      <c r="AF380" s="103">
        <v>1</v>
      </c>
      <c r="AG380" s="102">
        <v>13.9</v>
      </c>
      <c r="AH380" s="103">
        <v>30</v>
      </c>
      <c r="AI380" s="55">
        <v>9.6999999999999993</v>
      </c>
      <c r="AJ380" s="103">
        <v>14</v>
      </c>
      <c r="AK380" s="103">
        <v>1</v>
      </c>
      <c r="AL380" s="52">
        <v>23.2</v>
      </c>
      <c r="AM380" s="103">
        <v>30</v>
      </c>
      <c r="AN380" s="52">
        <v>23.2</v>
      </c>
      <c r="AO380" s="103">
        <v>17</v>
      </c>
      <c r="AP380" s="103">
        <v>1</v>
      </c>
    </row>
    <row r="381" spans="25:42" x14ac:dyDescent="0.35">
      <c r="Y381" s="51" t="s">
        <v>29</v>
      </c>
      <c r="Z381" s="51" t="s">
        <v>2427</v>
      </c>
      <c r="AA381" s="51" t="s">
        <v>30</v>
      </c>
      <c r="AB381" s="102">
        <v>29.9</v>
      </c>
      <c r="AC381" s="103">
        <v>31</v>
      </c>
      <c r="AD381" s="55">
        <v>31.7</v>
      </c>
      <c r="AE381" s="103">
        <v>6</v>
      </c>
      <c r="AF381" s="103">
        <v>1</v>
      </c>
      <c r="AG381" s="102">
        <v>11.2</v>
      </c>
      <c r="AH381" s="103">
        <v>31</v>
      </c>
      <c r="AI381" s="55">
        <v>7.6</v>
      </c>
      <c r="AJ381" s="103">
        <v>22</v>
      </c>
      <c r="AK381" s="103">
        <v>1</v>
      </c>
      <c r="AL381" s="52">
        <v>0</v>
      </c>
      <c r="AM381" s="103">
        <v>31</v>
      </c>
      <c r="AN381" s="52">
        <v>0</v>
      </c>
      <c r="AO381" s="103">
        <v>31</v>
      </c>
      <c r="AP381" s="103">
        <v>0</v>
      </c>
    </row>
    <row r="382" spans="25:42" x14ac:dyDescent="0.35">
      <c r="Y382" s="51" t="s">
        <v>29</v>
      </c>
      <c r="Z382" s="51" t="s">
        <v>2428</v>
      </c>
      <c r="AA382" s="51" t="s">
        <v>2469</v>
      </c>
      <c r="AB382" s="102">
        <v>28.4</v>
      </c>
      <c r="AC382" s="103">
        <v>31</v>
      </c>
      <c r="AD382" s="55">
        <v>32.4</v>
      </c>
      <c r="AE382" s="103">
        <v>16</v>
      </c>
      <c r="AF382" s="103">
        <v>1</v>
      </c>
      <c r="AG382" s="102">
        <v>9.9</v>
      </c>
      <c r="AH382" s="103">
        <v>31</v>
      </c>
      <c r="AI382" s="55">
        <v>5.5</v>
      </c>
      <c r="AJ382" s="103">
        <v>29</v>
      </c>
      <c r="AK382" s="103">
        <v>1</v>
      </c>
      <c r="AL382" s="52">
        <v>0</v>
      </c>
      <c r="AM382" s="103">
        <v>31</v>
      </c>
      <c r="AN382" s="52">
        <v>0</v>
      </c>
      <c r="AO382" s="103">
        <v>31</v>
      </c>
      <c r="AP382" s="103">
        <v>0</v>
      </c>
    </row>
    <row r="383" spans="25:42" x14ac:dyDescent="0.35">
      <c r="Y383" s="51" t="s">
        <v>29</v>
      </c>
      <c r="Z383" s="51" t="s">
        <v>2428</v>
      </c>
      <c r="AA383" s="51" t="s">
        <v>2470</v>
      </c>
      <c r="AB383" s="102">
        <v>32.6</v>
      </c>
      <c r="AC383" s="103">
        <v>28</v>
      </c>
      <c r="AD383" s="55">
        <v>35.6</v>
      </c>
      <c r="AE383" s="103">
        <v>23</v>
      </c>
      <c r="AF383" s="103">
        <v>1</v>
      </c>
      <c r="AG383" s="102">
        <v>14.2</v>
      </c>
      <c r="AH383" s="103">
        <v>28</v>
      </c>
      <c r="AI383" s="55">
        <v>9.4</v>
      </c>
      <c r="AJ383" s="103">
        <v>9</v>
      </c>
      <c r="AK383" s="103">
        <v>2</v>
      </c>
      <c r="AL383" s="52">
        <v>0</v>
      </c>
      <c r="AM383" s="103">
        <v>28</v>
      </c>
      <c r="AN383" s="52">
        <v>0</v>
      </c>
      <c r="AO383" s="103">
        <v>28</v>
      </c>
      <c r="AP383" s="103">
        <v>0</v>
      </c>
    </row>
    <row r="384" spans="25:42" x14ac:dyDescent="0.35">
      <c r="Y384" s="51" t="s">
        <v>29</v>
      </c>
      <c r="Z384" s="51" t="s">
        <v>2428</v>
      </c>
      <c r="AA384" s="51" t="s">
        <v>49</v>
      </c>
      <c r="AB384" s="102">
        <v>35.799999999999997</v>
      </c>
      <c r="AC384" s="103">
        <v>31</v>
      </c>
      <c r="AD384" s="55">
        <v>38.299999999999997</v>
      </c>
      <c r="AE384" s="103">
        <v>31</v>
      </c>
      <c r="AF384" s="103">
        <v>1</v>
      </c>
      <c r="AG384" s="102">
        <v>15.9</v>
      </c>
      <c r="AH384" s="103">
        <v>31</v>
      </c>
      <c r="AI384" s="55">
        <v>12.7</v>
      </c>
      <c r="AJ384" s="103">
        <v>8</v>
      </c>
      <c r="AK384" s="103">
        <v>1</v>
      </c>
      <c r="AL384" s="52">
        <v>0</v>
      </c>
      <c r="AM384" s="103">
        <v>31</v>
      </c>
      <c r="AN384" s="52">
        <v>0</v>
      </c>
      <c r="AO384" s="103">
        <v>31</v>
      </c>
      <c r="AP384" s="103">
        <v>0</v>
      </c>
    </row>
    <row r="385" spans="25:42" x14ac:dyDescent="0.35">
      <c r="Y385" s="51" t="s">
        <v>29</v>
      </c>
      <c r="Z385" s="51" t="s">
        <v>2428</v>
      </c>
      <c r="AA385" s="51" t="s">
        <v>2471</v>
      </c>
      <c r="AB385" s="102">
        <v>38.4</v>
      </c>
      <c r="AC385" s="103">
        <v>30</v>
      </c>
      <c r="AD385" s="55">
        <v>41.3</v>
      </c>
      <c r="AE385" s="103">
        <v>29</v>
      </c>
      <c r="AF385" s="103">
        <v>1</v>
      </c>
      <c r="AG385" s="102">
        <v>20.5</v>
      </c>
      <c r="AH385" s="103">
        <v>30</v>
      </c>
      <c r="AI385" s="55">
        <v>16.5</v>
      </c>
      <c r="AJ385" s="103">
        <v>1</v>
      </c>
      <c r="AK385" s="103">
        <v>1</v>
      </c>
      <c r="AL385" s="52">
        <v>6</v>
      </c>
      <c r="AM385" s="103">
        <v>30</v>
      </c>
      <c r="AN385" s="52">
        <v>4.4000000000000004</v>
      </c>
      <c r="AO385" s="103">
        <v>7</v>
      </c>
      <c r="AP385" s="103">
        <v>1</v>
      </c>
    </row>
    <row r="386" spans="25:42" x14ac:dyDescent="0.35">
      <c r="Y386" s="51" t="s">
        <v>29</v>
      </c>
      <c r="Z386" s="51" t="s">
        <v>2428</v>
      </c>
      <c r="AA386" s="51" t="s">
        <v>250</v>
      </c>
      <c r="AB386" s="102">
        <v>36.700000000000003</v>
      </c>
      <c r="AC386" s="103">
        <v>31</v>
      </c>
      <c r="AD386" s="55">
        <v>42.4</v>
      </c>
      <c r="AE386" s="103">
        <v>2</v>
      </c>
      <c r="AF386" s="103">
        <v>1</v>
      </c>
      <c r="AG386" s="102">
        <v>24.3</v>
      </c>
      <c r="AH386" s="103">
        <v>31</v>
      </c>
      <c r="AI386" s="55">
        <v>22.7</v>
      </c>
      <c r="AJ386" s="103">
        <v>1</v>
      </c>
      <c r="AK386" s="103">
        <v>1</v>
      </c>
      <c r="AL386" s="52">
        <v>18.2</v>
      </c>
      <c r="AM386" s="103">
        <v>31</v>
      </c>
      <c r="AN386" s="52">
        <v>18.2</v>
      </c>
      <c r="AO386" s="103">
        <v>9</v>
      </c>
      <c r="AP386" s="103">
        <v>1</v>
      </c>
    </row>
    <row r="387" spans="25:42" x14ac:dyDescent="0.35">
      <c r="Y387" s="51" t="s">
        <v>29</v>
      </c>
      <c r="Z387" s="51" t="s">
        <v>2428</v>
      </c>
      <c r="AA387" s="51" t="s">
        <v>2472</v>
      </c>
      <c r="AB387" s="102">
        <v>31.3</v>
      </c>
      <c r="AC387" s="103">
        <v>30</v>
      </c>
      <c r="AD387" s="55">
        <v>37.799999999999997</v>
      </c>
      <c r="AE387" s="103">
        <v>1</v>
      </c>
      <c r="AF387" s="103">
        <v>1</v>
      </c>
      <c r="AG387" s="102">
        <v>23</v>
      </c>
      <c r="AH387" s="103">
        <v>30</v>
      </c>
      <c r="AI387" s="55">
        <v>20.100000000000001</v>
      </c>
      <c r="AJ387" s="103">
        <v>25</v>
      </c>
      <c r="AK387" s="103">
        <v>1</v>
      </c>
      <c r="AL387" s="52">
        <v>201.4</v>
      </c>
      <c r="AM387" s="103">
        <v>30</v>
      </c>
      <c r="AN387" s="52">
        <v>75</v>
      </c>
      <c r="AO387" s="103">
        <v>27</v>
      </c>
      <c r="AP387" s="103">
        <v>10</v>
      </c>
    </row>
    <row r="388" spans="25:42" x14ac:dyDescent="0.35">
      <c r="Y388" s="51" t="s">
        <v>29</v>
      </c>
      <c r="Z388" s="51" t="s">
        <v>2428</v>
      </c>
      <c r="AA388" s="51" t="s">
        <v>2473</v>
      </c>
      <c r="AB388" s="102">
        <v>28.8</v>
      </c>
      <c r="AC388" s="103">
        <v>31</v>
      </c>
      <c r="AD388" s="55">
        <v>30.3</v>
      </c>
      <c r="AE388" s="103">
        <v>7</v>
      </c>
      <c r="AF388" s="103">
        <v>1</v>
      </c>
      <c r="AG388" s="102">
        <v>22.7</v>
      </c>
      <c r="AH388" s="103">
        <v>31</v>
      </c>
      <c r="AI388" s="55">
        <v>21.2</v>
      </c>
      <c r="AJ388" s="103">
        <v>26</v>
      </c>
      <c r="AK388" s="103">
        <v>1</v>
      </c>
      <c r="AL388" s="52">
        <v>31.8</v>
      </c>
      <c r="AM388" s="103">
        <v>31</v>
      </c>
      <c r="AN388" s="52">
        <v>6.1</v>
      </c>
      <c r="AO388" s="103">
        <v>25</v>
      </c>
      <c r="AP388" s="103">
        <v>5</v>
      </c>
    </row>
    <row r="389" spans="25:42" x14ac:dyDescent="0.35">
      <c r="Y389" s="51" t="s">
        <v>29</v>
      </c>
      <c r="Z389" s="51" t="s">
        <v>2428</v>
      </c>
      <c r="AA389" s="51" t="s">
        <v>2474</v>
      </c>
      <c r="AB389" s="102">
        <v>27</v>
      </c>
      <c r="AC389" s="103">
        <v>31</v>
      </c>
      <c r="AD389" s="55">
        <v>29.9</v>
      </c>
      <c r="AE389" s="103">
        <v>29</v>
      </c>
      <c r="AF389" s="103">
        <v>1</v>
      </c>
      <c r="AG389" s="102">
        <v>21.4</v>
      </c>
      <c r="AH389" s="103">
        <v>31</v>
      </c>
      <c r="AI389" s="55">
        <v>18.7</v>
      </c>
      <c r="AJ389" s="103">
        <v>27</v>
      </c>
      <c r="AK389" s="103">
        <v>1</v>
      </c>
      <c r="AL389" s="52">
        <v>106.8</v>
      </c>
      <c r="AM389" s="103">
        <v>31</v>
      </c>
      <c r="AN389" s="52">
        <v>14.9</v>
      </c>
      <c r="AO389" s="103">
        <v>7</v>
      </c>
      <c r="AP389" s="103">
        <v>11</v>
      </c>
    </row>
    <row r="390" spans="25:42" x14ac:dyDescent="0.35">
      <c r="Y390" s="51" t="s">
        <v>29</v>
      </c>
      <c r="Z390" s="51" t="s">
        <v>2428</v>
      </c>
      <c r="AA390" s="51" t="s">
        <v>410</v>
      </c>
      <c r="AB390" s="102">
        <v>29.7</v>
      </c>
      <c r="AC390" s="103">
        <v>30</v>
      </c>
      <c r="AD390" s="55">
        <v>33.200000000000003</v>
      </c>
      <c r="AE390" s="103">
        <v>29</v>
      </c>
      <c r="AF390" s="103">
        <v>1</v>
      </c>
      <c r="AG390" s="102">
        <v>20.7</v>
      </c>
      <c r="AH390" s="103">
        <v>30</v>
      </c>
      <c r="AI390" s="55">
        <v>18.600000000000001</v>
      </c>
      <c r="AJ390" s="103">
        <v>13</v>
      </c>
      <c r="AK390" s="103">
        <v>1</v>
      </c>
      <c r="AL390" s="52">
        <v>46.9</v>
      </c>
      <c r="AM390" s="103">
        <v>30</v>
      </c>
      <c r="AN390" s="52">
        <v>14.4</v>
      </c>
      <c r="AO390" s="103">
        <v>22</v>
      </c>
      <c r="AP390" s="103">
        <v>6</v>
      </c>
    </row>
    <row r="391" spans="25:42" x14ac:dyDescent="0.35">
      <c r="Y391" s="51" t="s">
        <v>29</v>
      </c>
      <c r="Z391" s="51" t="s">
        <v>2428</v>
      </c>
      <c r="AA391" s="51" t="s">
        <v>112</v>
      </c>
      <c r="AB391" s="102">
        <v>33.700000000000003</v>
      </c>
      <c r="AC391" s="103">
        <v>31</v>
      </c>
      <c r="AD391" s="55">
        <v>36.9</v>
      </c>
      <c r="AE391" s="103">
        <v>7</v>
      </c>
      <c r="AF391" s="103">
        <v>2</v>
      </c>
      <c r="AG391" s="102">
        <v>18.600000000000001</v>
      </c>
      <c r="AH391" s="103">
        <v>31</v>
      </c>
      <c r="AI391" s="55">
        <v>11.2</v>
      </c>
      <c r="AJ391" s="103">
        <v>29</v>
      </c>
      <c r="AK391" s="103">
        <v>1</v>
      </c>
      <c r="AL391" s="52">
        <v>13.1</v>
      </c>
      <c r="AM391" s="103">
        <v>31</v>
      </c>
      <c r="AN391" s="52">
        <v>10.8</v>
      </c>
      <c r="AO391" s="103">
        <v>17</v>
      </c>
      <c r="AP391" s="103">
        <v>1</v>
      </c>
    </row>
    <row r="392" spans="25:42" x14ac:dyDescent="0.35">
      <c r="Y392" s="51" t="s">
        <v>29</v>
      </c>
      <c r="Z392" s="51" t="s">
        <v>2428</v>
      </c>
      <c r="AA392" s="51" t="s">
        <v>142</v>
      </c>
      <c r="AB392" s="102">
        <v>31.6</v>
      </c>
      <c r="AC392" s="103">
        <v>30</v>
      </c>
      <c r="AD392" s="55">
        <v>33.799999999999997</v>
      </c>
      <c r="AE392" s="103">
        <v>30</v>
      </c>
      <c r="AF392" s="103">
        <v>1</v>
      </c>
      <c r="AG392" s="102">
        <v>13.6</v>
      </c>
      <c r="AH392" s="103">
        <v>30</v>
      </c>
      <c r="AI392" s="55">
        <v>9.5</v>
      </c>
      <c r="AJ392" s="103">
        <v>20</v>
      </c>
      <c r="AK392" s="103">
        <v>1</v>
      </c>
      <c r="AL392" s="52">
        <v>0.5</v>
      </c>
      <c r="AM392" s="103">
        <v>30</v>
      </c>
      <c r="AN392" s="52">
        <v>0.5</v>
      </c>
      <c r="AO392" s="103">
        <v>11</v>
      </c>
      <c r="AP392" s="103">
        <v>0</v>
      </c>
    </row>
    <row r="393" spans="25:42" x14ac:dyDescent="0.35">
      <c r="Y393" s="51" t="s">
        <v>29</v>
      </c>
      <c r="Z393" s="51" t="s">
        <v>2428</v>
      </c>
      <c r="AA393" s="51" t="s">
        <v>30</v>
      </c>
      <c r="AB393" s="102">
        <v>31.2</v>
      </c>
      <c r="AC393" s="103">
        <v>31</v>
      </c>
      <c r="AD393" s="55">
        <v>33.9</v>
      </c>
      <c r="AE393" s="103">
        <v>19</v>
      </c>
      <c r="AF393" s="103">
        <v>1</v>
      </c>
      <c r="AG393" s="102">
        <v>11.9</v>
      </c>
      <c r="AH393" s="103">
        <v>31</v>
      </c>
      <c r="AI393" s="55">
        <v>9</v>
      </c>
      <c r="AJ393" s="103">
        <v>25</v>
      </c>
      <c r="AK393" s="103">
        <v>1</v>
      </c>
      <c r="AL393" s="52">
        <v>0</v>
      </c>
      <c r="AM393" s="103">
        <v>31</v>
      </c>
      <c r="AN393" s="52">
        <v>0</v>
      </c>
      <c r="AO393" s="103">
        <v>31</v>
      </c>
      <c r="AP393" s="103">
        <v>0</v>
      </c>
    </row>
    <row r="394" spans="25:42" x14ac:dyDescent="0.35">
      <c r="Y394" s="51" t="s">
        <v>29</v>
      </c>
      <c r="Z394" s="51" t="s">
        <v>2429</v>
      </c>
      <c r="AA394" s="51" t="s">
        <v>2469</v>
      </c>
      <c r="AB394" s="102">
        <v>30.2</v>
      </c>
      <c r="AC394" s="103">
        <v>31</v>
      </c>
      <c r="AD394" s="55">
        <v>33.6</v>
      </c>
      <c r="AE394" s="103">
        <v>28</v>
      </c>
      <c r="AF394" s="103">
        <v>1</v>
      </c>
      <c r="AG394" s="102">
        <v>12.8</v>
      </c>
      <c r="AH394" s="103">
        <v>31</v>
      </c>
      <c r="AI394" s="55">
        <v>6.9</v>
      </c>
      <c r="AJ394" s="103">
        <v>18</v>
      </c>
      <c r="AK394" s="103">
        <v>1</v>
      </c>
      <c r="AL394" s="52">
        <v>0</v>
      </c>
      <c r="AM394" s="103">
        <v>31</v>
      </c>
      <c r="AN394" s="52">
        <v>0</v>
      </c>
      <c r="AO394" s="103">
        <v>31</v>
      </c>
      <c r="AP394" s="103">
        <v>0</v>
      </c>
    </row>
    <row r="395" spans="25:42" x14ac:dyDescent="0.35">
      <c r="Y395" s="51" t="s">
        <v>29</v>
      </c>
      <c r="Z395" s="51" t="s">
        <v>2429</v>
      </c>
      <c r="AA395" s="51" t="s">
        <v>2470</v>
      </c>
      <c r="AB395" s="102">
        <v>33.5</v>
      </c>
      <c r="AC395" s="103">
        <v>28</v>
      </c>
      <c r="AD395" s="55">
        <v>35.9</v>
      </c>
      <c r="AE395" s="103">
        <v>25</v>
      </c>
      <c r="AF395" s="103">
        <v>1</v>
      </c>
      <c r="AG395" s="102">
        <v>13.8</v>
      </c>
      <c r="AH395" s="103">
        <v>28</v>
      </c>
      <c r="AI395" s="55">
        <v>10.7</v>
      </c>
      <c r="AJ395" s="103">
        <v>20</v>
      </c>
      <c r="AK395" s="103">
        <v>1</v>
      </c>
      <c r="AL395" s="52">
        <v>3.2</v>
      </c>
      <c r="AM395" s="103">
        <v>28</v>
      </c>
      <c r="AN395" s="52">
        <v>3.2</v>
      </c>
      <c r="AO395" s="103">
        <v>19</v>
      </c>
      <c r="AP395" s="103">
        <v>1</v>
      </c>
    </row>
    <row r="396" spans="25:42" x14ac:dyDescent="0.35">
      <c r="Y396" s="51" t="s">
        <v>29</v>
      </c>
      <c r="Z396" s="51" t="s">
        <v>2429</v>
      </c>
      <c r="AA396" s="51" t="s">
        <v>49</v>
      </c>
      <c r="AB396" s="102">
        <v>36.6</v>
      </c>
      <c r="AC396" s="103">
        <v>31</v>
      </c>
      <c r="AD396" s="55">
        <v>38.5</v>
      </c>
      <c r="AE396" s="103">
        <v>29</v>
      </c>
      <c r="AF396" s="103">
        <v>1</v>
      </c>
      <c r="AG396" s="102">
        <v>15.4</v>
      </c>
      <c r="AH396" s="103">
        <v>31</v>
      </c>
      <c r="AI396" s="55">
        <v>9.9</v>
      </c>
      <c r="AJ396" s="103">
        <v>17</v>
      </c>
      <c r="AK396" s="103">
        <v>1</v>
      </c>
      <c r="AL396" s="52">
        <v>0</v>
      </c>
      <c r="AM396" s="103">
        <v>31</v>
      </c>
      <c r="AN396" s="52">
        <v>0</v>
      </c>
      <c r="AO396" s="103">
        <v>31</v>
      </c>
      <c r="AP396" s="103">
        <v>0</v>
      </c>
    </row>
    <row r="397" spans="25:42" x14ac:dyDescent="0.35">
      <c r="Y397" s="51" t="s">
        <v>29</v>
      </c>
      <c r="Z397" s="51" t="s">
        <v>2429</v>
      </c>
      <c r="AA397" s="51" t="s">
        <v>2471</v>
      </c>
      <c r="AB397" s="102">
        <v>38.299999999999997</v>
      </c>
      <c r="AC397" s="103">
        <v>30</v>
      </c>
      <c r="AD397" s="55">
        <v>41</v>
      </c>
      <c r="AE397" s="103">
        <v>24</v>
      </c>
      <c r="AF397" s="103">
        <v>1</v>
      </c>
      <c r="AG397" s="102">
        <v>20.7</v>
      </c>
      <c r="AH397" s="103">
        <v>30</v>
      </c>
      <c r="AI397" s="55">
        <v>16.3</v>
      </c>
      <c r="AJ397" s="103">
        <v>21</v>
      </c>
      <c r="AK397" s="103">
        <v>1</v>
      </c>
      <c r="AL397" s="52">
        <v>1.4</v>
      </c>
      <c r="AM397" s="103">
        <v>30</v>
      </c>
      <c r="AN397" s="52">
        <v>1</v>
      </c>
      <c r="AO397" s="103">
        <v>9</v>
      </c>
      <c r="AP397" s="103">
        <v>0</v>
      </c>
    </row>
    <row r="398" spans="25:42" x14ac:dyDescent="0.35">
      <c r="Y398" s="51" t="s">
        <v>29</v>
      </c>
      <c r="Z398" s="51" t="s">
        <v>2429</v>
      </c>
      <c r="AA398" s="51" t="s">
        <v>250</v>
      </c>
      <c r="AB398" s="102">
        <v>37.9</v>
      </c>
      <c r="AC398" s="103">
        <v>31</v>
      </c>
      <c r="AD398" s="55">
        <v>42.4</v>
      </c>
      <c r="AE398" s="103">
        <v>12</v>
      </c>
      <c r="AF398" s="103">
        <v>1</v>
      </c>
      <c r="AG398" s="102">
        <v>22.9</v>
      </c>
      <c r="AH398" s="103">
        <v>31</v>
      </c>
      <c r="AI398" s="55">
        <v>17.100000000000001</v>
      </c>
      <c r="AJ398" s="103">
        <v>6</v>
      </c>
      <c r="AK398" s="103">
        <v>1</v>
      </c>
      <c r="AL398" s="52">
        <v>0</v>
      </c>
      <c r="AM398" s="103">
        <v>31</v>
      </c>
      <c r="AN398" s="52">
        <v>0</v>
      </c>
      <c r="AO398" s="103">
        <v>31</v>
      </c>
      <c r="AP398" s="103">
        <v>0</v>
      </c>
    </row>
    <row r="399" spans="25:42" x14ac:dyDescent="0.35">
      <c r="Y399" s="51" t="s">
        <v>29</v>
      </c>
      <c r="Z399" s="51" t="s">
        <v>2429</v>
      </c>
      <c r="AA399" s="51" t="s">
        <v>2472</v>
      </c>
      <c r="AB399" s="102">
        <v>32</v>
      </c>
      <c r="AC399" s="103">
        <v>30</v>
      </c>
      <c r="AD399" s="55">
        <v>38.200000000000003</v>
      </c>
      <c r="AE399" s="103">
        <v>2</v>
      </c>
      <c r="AF399" s="103">
        <v>1</v>
      </c>
      <c r="AG399" s="102">
        <v>23.2</v>
      </c>
      <c r="AH399" s="103">
        <v>30</v>
      </c>
      <c r="AI399" s="55">
        <v>20.8</v>
      </c>
      <c r="AJ399" s="103">
        <v>23</v>
      </c>
      <c r="AK399" s="103">
        <v>1</v>
      </c>
      <c r="AL399" s="52">
        <v>163</v>
      </c>
      <c r="AM399" s="103">
        <v>30</v>
      </c>
      <c r="AN399" s="52">
        <v>57.8</v>
      </c>
      <c r="AO399" s="103">
        <v>10</v>
      </c>
      <c r="AP399" s="103">
        <v>12</v>
      </c>
    </row>
    <row r="400" spans="25:42" x14ac:dyDescent="0.35">
      <c r="Y400" s="51" t="s">
        <v>29</v>
      </c>
      <c r="Z400" s="51" t="s">
        <v>2429</v>
      </c>
      <c r="AA400" s="51" t="s">
        <v>2473</v>
      </c>
      <c r="AB400" s="102">
        <v>28.5</v>
      </c>
      <c r="AC400" s="103">
        <v>31</v>
      </c>
      <c r="AD400" s="55">
        <v>32</v>
      </c>
      <c r="AE400" s="103">
        <v>3</v>
      </c>
      <c r="AF400" s="103">
        <v>1</v>
      </c>
      <c r="AG400" s="102">
        <v>22.8</v>
      </c>
      <c r="AH400" s="103">
        <v>31</v>
      </c>
      <c r="AI400" s="55">
        <v>22.1</v>
      </c>
      <c r="AJ400" s="103">
        <v>28</v>
      </c>
      <c r="AK400" s="103">
        <v>3</v>
      </c>
      <c r="AL400" s="52">
        <v>92.8</v>
      </c>
      <c r="AM400" s="103">
        <v>31</v>
      </c>
      <c r="AN400" s="52">
        <v>35.799999999999997</v>
      </c>
      <c r="AO400" s="103">
        <v>28</v>
      </c>
      <c r="AP400" s="103">
        <v>7</v>
      </c>
    </row>
    <row r="401" spans="25:42" x14ac:dyDescent="0.35">
      <c r="Y401" s="51" t="s">
        <v>29</v>
      </c>
      <c r="Z401" s="51" t="s">
        <v>2429</v>
      </c>
      <c r="AA401" s="51" t="s">
        <v>2474</v>
      </c>
      <c r="AB401" s="102">
        <v>27.4</v>
      </c>
      <c r="AC401" s="103">
        <v>31</v>
      </c>
      <c r="AD401" s="55">
        <v>29.3</v>
      </c>
      <c r="AE401" s="103">
        <v>2</v>
      </c>
      <c r="AF401" s="103">
        <v>1</v>
      </c>
      <c r="AG401" s="102">
        <v>21.8</v>
      </c>
      <c r="AH401" s="103">
        <v>31</v>
      </c>
      <c r="AI401" s="55">
        <v>21.2</v>
      </c>
      <c r="AJ401" s="103">
        <v>31</v>
      </c>
      <c r="AK401" s="103">
        <v>1</v>
      </c>
      <c r="AL401" s="52">
        <v>84</v>
      </c>
      <c r="AM401" s="103">
        <v>31</v>
      </c>
      <c r="AN401" s="52">
        <v>12</v>
      </c>
      <c r="AO401" s="103">
        <v>7</v>
      </c>
      <c r="AP401" s="103">
        <v>11</v>
      </c>
    </row>
    <row r="402" spans="25:42" x14ac:dyDescent="0.35">
      <c r="Y402" s="51" t="s">
        <v>29</v>
      </c>
      <c r="Z402" s="51" t="s">
        <v>2429</v>
      </c>
      <c r="AA402" s="51" t="s">
        <v>410</v>
      </c>
      <c r="AB402" s="102">
        <v>28.6</v>
      </c>
      <c r="AC402" s="103">
        <v>30</v>
      </c>
      <c r="AD402" s="55">
        <v>31.3</v>
      </c>
      <c r="AE402" s="103">
        <v>27</v>
      </c>
      <c r="AF402" s="103">
        <v>1</v>
      </c>
      <c r="AG402" s="102">
        <v>20.8</v>
      </c>
      <c r="AH402" s="103">
        <v>30</v>
      </c>
      <c r="AI402" s="55">
        <v>19</v>
      </c>
      <c r="AJ402" s="103">
        <v>16</v>
      </c>
      <c r="AK402" s="103">
        <v>1</v>
      </c>
      <c r="AL402" s="52">
        <v>39.5</v>
      </c>
      <c r="AM402" s="103">
        <v>30</v>
      </c>
      <c r="AN402" s="52">
        <v>11.2</v>
      </c>
      <c r="AO402" s="103">
        <v>28</v>
      </c>
      <c r="AP402" s="103">
        <v>4</v>
      </c>
    </row>
    <row r="403" spans="25:42" x14ac:dyDescent="0.35">
      <c r="Y403" s="51" t="s">
        <v>29</v>
      </c>
      <c r="Z403" s="51" t="s">
        <v>2429</v>
      </c>
      <c r="AA403" s="51" t="s">
        <v>112</v>
      </c>
      <c r="AB403" s="102">
        <v>33.1</v>
      </c>
      <c r="AC403" s="103">
        <v>31</v>
      </c>
      <c r="AD403" s="55">
        <v>35.1</v>
      </c>
      <c r="AE403" s="103">
        <v>21</v>
      </c>
      <c r="AF403" s="103">
        <v>1</v>
      </c>
      <c r="AG403" s="102">
        <v>18.2</v>
      </c>
      <c r="AH403" s="103">
        <v>31</v>
      </c>
      <c r="AI403" s="55">
        <v>12.2</v>
      </c>
      <c r="AJ403" s="103">
        <v>27</v>
      </c>
      <c r="AK403" s="103">
        <v>1</v>
      </c>
      <c r="AL403" s="52">
        <v>72.8</v>
      </c>
      <c r="AM403" s="103">
        <v>31</v>
      </c>
      <c r="AN403" s="52">
        <v>47.7</v>
      </c>
      <c r="AO403" s="103">
        <v>7</v>
      </c>
      <c r="AP403" s="103">
        <v>3</v>
      </c>
    </row>
    <row r="404" spans="25:42" x14ac:dyDescent="0.35">
      <c r="Y404" s="51" t="s">
        <v>29</v>
      </c>
      <c r="Z404" s="51" t="s">
        <v>2429</v>
      </c>
      <c r="AA404" s="51" t="s">
        <v>142</v>
      </c>
      <c r="AB404" s="102">
        <v>32.1</v>
      </c>
      <c r="AC404" s="103">
        <v>30</v>
      </c>
      <c r="AD404" s="55">
        <v>33.9</v>
      </c>
      <c r="AE404" s="103">
        <v>5</v>
      </c>
      <c r="AF404" s="103">
        <v>1</v>
      </c>
      <c r="AG404" s="102">
        <v>15</v>
      </c>
      <c r="AH404" s="103">
        <v>30</v>
      </c>
      <c r="AI404" s="55">
        <v>10.3</v>
      </c>
      <c r="AJ404" s="103">
        <v>27</v>
      </c>
      <c r="AK404" s="103">
        <v>1</v>
      </c>
      <c r="AL404" s="52">
        <v>2.2999999999999998</v>
      </c>
      <c r="AM404" s="103">
        <v>30</v>
      </c>
      <c r="AN404" s="52">
        <v>2.2000000000000002</v>
      </c>
      <c r="AO404" s="103">
        <v>2</v>
      </c>
      <c r="AP404" s="103">
        <v>0</v>
      </c>
    </row>
    <row r="405" spans="25:42" x14ac:dyDescent="0.35">
      <c r="Y405" s="51" t="s">
        <v>29</v>
      </c>
      <c r="Z405" s="51" t="s">
        <v>2429</v>
      </c>
      <c r="AA405" s="51" t="s">
        <v>30</v>
      </c>
      <c r="AB405" s="102">
        <v>30.5</v>
      </c>
      <c r="AC405" s="103">
        <v>31</v>
      </c>
      <c r="AD405" s="55">
        <v>32.799999999999997</v>
      </c>
      <c r="AE405" s="103">
        <v>1</v>
      </c>
      <c r="AF405" s="103">
        <v>1</v>
      </c>
      <c r="AG405" s="102">
        <v>11.2</v>
      </c>
      <c r="AH405" s="103">
        <v>31</v>
      </c>
      <c r="AI405" s="55">
        <v>8.4</v>
      </c>
      <c r="AJ405" s="103">
        <v>23</v>
      </c>
      <c r="AK405" s="103">
        <v>1</v>
      </c>
      <c r="AL405" s="52">
        <v>0</v>
      </c>
      <c r="AM405" s="103">
        <v>31</v>
      </c>
      <c r="AN405" s="52">
        <v>0</v>
      </c>
      <c r="AO405" s="103">
        <v>31</v>
      </c>
      <c r="AP405" s="103">
        <v>0</v>
      </c>
    </row>
    <row r="406" spans="25:42" x14ac:dyDescent="0.35">
      <c r="Y406" s="51" t="s">
        <v>29</v>
      </c>
      <c r="Z406" s="51" t="s">
        <v>2430</v>
      </c>
      <c r="AA406" s="51" t="s">
        <v>2469</v>
      </c>
      <c r="AB406" s="102">
        <v>30.2</v>
      </c>
      <c r="AC406" s="103">
        <v>31</v>
      </c>
      <c r="AD406" s="55">
        <v>33.4</v>
      </c>
      <c r="AE406" s="103">
        <v>16</v>
      </c>
      <c r="AF406" s="103">
        <v>1</v>
      </c>
      <c r="AG406" s="102">
        <v>11.6</v>
      </c>
      <c r="AH406" s="103">
        <v>31</v>
      </c>
      <c r="AI406" s="55">
        <v>8.1999999999999993</v>
      </c>
      <c r="AJ406" s="103">
        <v>12</v>
      </c>
      <c r="AK406" s="103">
        <v>1</v>
      </c>
      <c r="AL406" s="52">
        <v>0</v>
      </c>
      <c r="AM406" s="103">
        <v>31</v>
      </c>
      <c r="AN406" s="52">
        <v>0</v>
      </c>
      <c r="AO406" s="103">
        <v>31</v>
      </c>
      <c r="AP406" s="103">
        <v>0</v>
      </c>
    </row>
    <row r="407" spans="25:42" x14ac:dyDescent="0.35">
      <c r="Y407" s="51" t="s">
        <v>29</v>
      </c>
      <c r="Z407" s="51" t="s">
        <v>2430</v>
      </c>
      <c r="AA407" s="51" t="s">
        <v>2470</v>
      </c>
      <c r="AB407" s="102">
        <v>33.1</v>
      </c>
      <c r="AC407" s="103">
        <v>29</v>
      </c>
      <c r="AD407" s="55">
        <v>36.799999999999997</v>
      </c>
      <c r="AE407" s="103">
        <v>25</v>
      </c>
      <c r="AF407" s="103">
        <v>1</v>
      </c>
      <c r="AG407" s="102">
        <v>12.7</v>
      </c>
      <c r="AH407" s="103">
        <v>29</v>
      </c>
      <c r="AI407" s="55">
        <v>7.3</v>
      </c>
      <c r="AJ407" s="103">
        <v>6</v>
      </c>
      <c r="AK407" s="103">
        <v>1</v>
      </c>
      <c r="AL407" s="52">
        <v>0</v>
      </c>
      <c r="AM407" s="103">
        <v>29</v>
      </c>
      <c r="AN407" s="52">
        <v>0</v>
      </c>
      <c r="AO407" s="103">
        <v>29</v>
      </c>
      <c r="AP407" s="103">
        <v>0</v>
      </c>
    </row>
    <row r="408" spans="25:42" x14ac:dyDescent="0.35">
      <c r="Y408" s="51" t="s">
        <v>29</v>
      </c>
      <c r="Z408" s="51" t="s">
        <v>2430</v>
      </c>
      <c r="AA408" s="51" t="s">
        <v>49</v>
      </c>
      <c r="AB408" s="102">
        <v>37.799999999999997</v>
      </c>
      <c r="AC408" s="103">
        <v>31</v>
      </c>
      <c r="AD408" s="55">
        <v>40.1</v>
      </c>
      <c r="AE408" s="103">
        <v>18</v>
      </c>
      <c r="AF408" s="103">
        <v>1</v>
      </c>
      <c r="AG408" s="102">
        <v>16.600000000000001</v>
      </c>
      <c r="AH408" s="103">
        <v>31</v>
      </c>
      <c r="AI408" s="55">
        <v>11.7</v>
      </c>
      <c r="AJ408" s="103">
        <v>8</v>
      </c>
      <c r="AK408" s="103">
        <v>1</v>
      </c>
      <c r="AL408" s="52">
        <v>0</v>
      </c>
      <c r="AM408" s="103">
        <v>31</v>
      </c>
      <c r="AN408" s="52">
        <v>0</v>
      </c>
      <c r="AO408" s="103">
        <v>31</v>
      </c>
      <c r="AP408" s="103">
        <v>0</v>
      </c>
    </row>
    <row r="409" spans="25:42" x14ac:dyDescent="0.35">
      <c r="Y409" s="51" t="s">
        <v>29</v>
      </c>
      <c r="Z409" s="51" t="s">
        <v>2430</v>
      </c>
      <c r="AA409" s="51" t="s">
        <v>2471</v>
      </c>
      <c r="AB409" s="102">
        <v>37.799999999999997</v>
      </c>
      <c r="AC409" s="103">
        <v>30</v>
      </c>
      <c r="AD409" s="55">
        <v>40.1</v>
      </c>
      <c r="AE409" s="103">
        <v>27</v>
      </c>
      <c r="AF409" s="103">
        <v>1</v>
      </c>
      <c r="AG409" s="102">
        <v>19.600000000000001</v>
      </c>
      <c r="AH409" s="103">
        <v>30</v>
      </c>
      <c r="AI409" s="55">
        <v>14.1</v>
      </c>
      <c r="AJ409" s="103">
        <v>8</v>
      </c>
      <c r="AK409" s="103">
        <v>1</v>
      </c>
      <c r="AL409" s="52">
        <v>0</v>
      </c>
      <c r="AM409" s="103">
        <v>30</v>
      </c>
      <c r="AN409" s="52">
        <v>0</v>
      </c>
      <c r="AO409" s="103">
        <v>30</v>
      </c>
      <c r="AP409" s="103">
        <v>0</v>
      </c>
    </row>
    <row r="410" spans="25:42" x14ac:dyDescent="0.35">
      <c r="Y410" s="51" t="s">
        <v>29</v>
      </c>
      <c r="Z410" s="51" t="s">
        <v>2430</v>
      </c>
      <c r="AA410" s="51" t="s">
        <v>250</v>
      </c>
      <c r="AB410" s="102">
        <v>35.6</v>
      </c>
      <c r="AC410" s="103">
        <v>31</v>
      </c>
      <c r="AD410" s="55">
        <v>41.3</v>
      </c>
      <c r="AE410" s="103">
        <v>4</v>
      </c>
      <c r="AF410" s="103">
        <v>1</v>
      </c>
      <c r="AG410" s="102">
        <v>23.2</v>
      </c>
      <c r="AH410" s="103">
        <v>31</v>
      </c>
      <c r="AI410" s="55">
        <v>19.399999999999999</v>
      </c>
      <c r="AJ410" s="103">
        <v>1</v>
      </c>
      <c r="AK410" s="103">
        <v>1</v>
      </c>
      <c r="AL410" s="52">
        <v>73.099999999999994</v>
      </c>
      <c r="AM410" s="103">
        <v>31</v>
      </c>
      <c r="AN410" s="52">
        <v>27.8</v>
      </c>
      <c r="AO410" s="103">
        <v>18</v>
      </c>
      <c r="AP410" s="103">
        <v>5</v>
      </c>
    </row>
    <row r="411" spans="25:42" x14ac:dyDescent="0.35">
      <c r="Y411" s="51" t="s">
        <v>29</v>
      </c>
      <c r="Z411" s="51" t="s">
        <v>2430</v>
      </c>
      <c r="AA411" s="51" t="s">
        <v>2472</v>
      </c>
      <c r="AB411" s="102">
        <v>30.8</v>
      </c>
      <c r="AC411" s="103">
        <v>30</v>
      </c>
      <c r="AD411" s="55">
        <v>36.4</v>
      </c>
      <c r="AE411" s="103">
        <v>4</v>
      </c>
      <c r="AF411" s="103">
        <v>1</v>
      </c>
      <c r="AG411" s="102">
        <v>23</v>
      </c>
      <c r="AH411" s="103">
        <v>30</v>
      </c>
      <c r="AI411" s="55">
        <v>20.9</v>
      </c>
      <c r="AJ411" s="103">
        <v>19</v>
      </c>
      <c r="AK411" s="103">
        <v>1</v>
      </c>
      <c r="AL411" s="52">
        <v>224.2</v>
      </c>
      <c r="AM411" s="103">
        <v>30</v>
      </c>
      <c r="AN411" s="52">
        <v>66.8</v>
      </c>
      <c r="AO411" s="103">
        <v>15</v>
      </c>
      <c r="AP411" s="103">
        <v>10</v>
      </c>
    </row>
    <row r="412" spans="25:42" x14ac:dyDescent="0.35">
      <c r="Y412" s="51" t="s">
        <v>29</v>
      </c>
      <c r="Z412" s="51" t="s">
        <v>2430</v>
      </c>
      <c r="AA412" s="51" t="s">
        <v>2473</v>
      </c>
      <c r="AB412" s="102">
        <v>28.6</v>
      </c>
      <c r="AC412" s="103">
        <v>31</v>
      </c>
      <c r="AD412" s="55">
        <v>31.5</v>
      </c>
      <c r="AE412" s="103">
        <v>17</v>
      </c>
      <c r="AF412" s="103">
        <v>1</v>
      </c>
      <c r="AG412" s="102">
        <v>22.3</v>
      </c>
      <c r="AH412" s="103">
        <v>31</v>
      </c>
      <c r="AI412" s="55">
        <v>21</v>
      </c>
      <c r="AJ412" s="103">
        <v>29</v>
      </c>
      <c r="AK412" s="103">
        <v>1</v>
      </c>
      <c r="AL412" s="52">
        <v>59.7</v>
      </c>
      <c r="AM412" s="103">
        <v>31</v>
      </c>
      <c r="AN412" s="52">
        <v>24.1</v>
      </c>
      <c r="AO412" s="103">
        <v>31</v>
      </c>
      <c r="AP412" s="103">
        <v>7</v>
      </c>
    </row>
    <row r="413" spans="25:42" x14ac:dyDescent="0.35">
      <c r="Y413" s="51" t="s">
        <v>29</v>
      </c>
      <c r="Z413" s="51" t="s">
        <v>2430</v>
      </c>
      <c r="AA413" s="51" t="s">
        <v>2474</v>
      </c>
      <c r="AB413" s="102">
        <v>26.7</v>
      </c>
      <c r="AC413" s="103">
        <v>31</v>
      </c>
      <c r="AD413" s="55">
        <v>29.2</v>
      </c>
      <c r="AE413" s="103">
        <v>31</v>
      </c>
      <c r="AF413" s="103">
        <v>1</v>
      </c>
      <c r="AG413" s="102">
        <v>21.6</v>
      </c>
      <c r="AH413" s="103">
        <v>31</v>
      </c>
      <c r="AI413" s="55">
        <v>20.6</v>
      </c>
      <c r="AJ413" s="103">
        <v>31</v>
      </c>
      <c r="AK413" s="103">
        <v>1</v>
      </c>
      <c r="AL413" s="52">
        <v>330.3</v>
      </c>
      <c r="AM413" s="103">
        <v>31</v>
      </c>
      <c r="AN413" s="52">
        <v>76.2</v>
      </c>
      <c r="AO413" s="103">
        <v>12</v>
      </c>
      <c r="AP413" s="103">
        <v>18</v>
      </c>
    </row>
    <row r="414" spans="25:42" x14ac:dyDescent="0.35">
      <c r="Y414" s="51" t="s">
        <v>29</v>
      </c>
      <c r="Z414" s="51" t="s">
        <v>2430</v>
      </c>
      <c r="AA414" s="51" t="s">
        <v>410</v>
      </c>
      <c r="AB414" s="102">
        <v>29.7</v>
      </c>
      <c r="AC414" s="103">
        <v>30</v>
      </c>
      <c r="AD414" s="55">
        <v>32.200000000000003</v>
      </c>
      <c r="AE414" s="103">
        <v>29</v>
      </c>
      <c r="AF414" s="103">
        <v>1</v>
      </c>
      <c r="AG414" s="102">
        <v>20.8</v>
      </c>
      <c r="AH414" s="103">
        <v>30</v>
      </c>
      <c r="AI414" s="55">
        <v>18.899999999999999</v>
      </c>
      <c r="AJ414" s="103">
        <v>2</v>
      </c>
      <c r="AK414" s="103">
        <v>1</v>
      </c>
      <c r="AL414" s="52">
        <v>206.8</v>
      </c>
      <c r="AM414" s="103">
        <v>30</v>
      </c>
      <c r="AN414" s="52">
        <v>46.7</v>
      </c>
      <c r="AO414" s="103">
        <v>29</v>
      </c>
      <c r="AP414" s="103">
        <v>12</v>
      </c>
    </row>
    <row r="415" spans="25:42" x14ac:dyDescent="0.35">
      <c r="Y415" s="51" t="s">
        <v>29</v>
      </c>
      <c r="Z415" s="51" t="s">
        <v>2430</v>
      </c>
      <c r="AA415" s="51" t="s">
        <v>112</v>
      </c>
      <c r="AB415" s="102">
        <v>31.2</v>
      </c>
      <c r="AC415" s="103">
        <v>31</v>
      </c>
      <c r="AD415" s="55">
        <v>32.799999999999997</v>
      </c>
      <c r="AE415" s="103">
        <v>15</v>
      </c>
      <c r="AF415" s="103">
        <v>1</v>
      </c>
      <c r="AG415" s="102">
        <v>17.7</v>
      </c>
      <c r="AH415" s="103">
        <v>31</v>
      </c>
      <c r="AI415" s="55">
        <v>12.7</v>
      </c>
      <c r="AJ415" s="103">
        <v>21</v>
      </c>
      <c r="AK415" s="103">
        <v>1</v>
      </c>
      <c r="AL415" s="52">
        <v>5.6</v>
      </c>
      <c r="AM415" s="103">
        <v>31</v>
      </c>
      <c r="AN415" s="52">
        <v>5</v>
      </c>
      <c r="AO415" s="103">
        <v>2</v>
      </c>
      <c r="AP415" s="103">
        <v>1</v>
      </c>
    </row>
    <row r="416" spans="25:42" x14ac:dyDescent="0.35">
      <c r="Y416" s="51" t="s">
        <v>29</v>
      </c>
      <c r="Z416" s="51" t="s">
        <v>2430</v>
      </c>
      <c r="AA416" s="51" t="s">
        <v>142</v>
      </c>
      <c r="AB416" s="102">
        <v>30.5</v>
      </c>
      <c r="AC416" s="103">
        <v>30</v>
      </c>
      <c r="AD416" s="55">
        <v>32.9</v>
      </c>
      <c r="AE416" s="103">
        <v>18</v>
      </c>
      <c r="AF416" s="103">
        <v>1</v>
      </c>
      <c r="AG416" s="102">
        <v>15.4</v>
      </c>
      <c r="AH416" s="103">
        <v>30</v>
      </c>
      <c r="AI416" s="55">
        <v>10.1</v>
      </c>
      <c r="AJ416" s="103">
        <v>28</v>
      </c>
      <c r="AK416" s="103">
        <v>1</v>
      </c>
      <c r="AL416" s="52">
        <v>13.6</v>
      </c>
      <c r="AM416" s="103">
        <v>30</v>
      </c>
      <c r="AN416" s="52">
        <v>11.1</v>
      </c>
      <c r="AO416" s="103">
        <v>9</v>
      </c>
      <c r="AP416" s="103">
        <v>1</v>
      </c>
    </row>
    <row r="417" spans="25:42" x14ac:dyDescent="0.35">
      <c r="Y417" s="51" t="s">
        <v>29</v>
      </c>
      <c r="Z417" s="51" t="s">
        <v>2430</v>
      </c>
      <c r="AA417" s="51" t="s">
        <v>30</v>
      </c>
      <c r="AB417" s="102">
        <v>29.8</v>
      </c>
      <c r="AC417" s="103">
        <v>31</v>
      </c>
      <c r="AD417" s="55">
        <v>32.1</v>
      </c>
      <c r="AE417" s="103">
        <v>17</v>
      </c>
      <c r="AF417" s="103">
        <v>1</v>
      </c>
      <c r="AG417" s="102">
        <v>10.4</v>
      </c>
      <c r="AH417" s="103">
        <v>31</v>
      </c>
      <c r="AI417" s="55">
        <v>8.1</v>
      </c>
      <c r="AJ417" s="103">
        <v>19</v>
      </c>
      <c r="AK417" s="103">
        <v>1</v>
      </c>
      <c r="AL417" s="52">
        <v>0</v>
      </c>
      <c r="AM417" s="103">
        <v>31</v>
      </c>
      <c r="AN417" s="52">
        <v>0</v>
      </c>
      <c r="AO417" s="103">
        <v>31</v>
      </c>
      <c r="AP417" s="103">
        <v>0</v>
      </c>
    </row>
    <row r="418" spans="25:42" x14ac:dyDescent="0.35">
      <c r="Y418" s="51" t="s">
        <v>29</v>
      </c>
      <c r="Z418" s="51" t="s">
        <v>2431</v>
      </c>
      <c r="AA418" s="51" t="s">
        <v>2469</v>
      </c>
      <c r="AB418" s="102">
        <v>29.9</v>
      </c>
      <c r="AC418" s="103">
        <v>31</v>
      </c>
      <c r="AD418" s="55">
        <v>32.9</v>
      </c>
      <c r="AE418" s="103">
        <v>26</v>
      </c>
      <c r="AF418" s="103">
        <v>1</v>
      </c>
      <c r="AG418" s="102">
        <v>11.5</v>
      </c>
      <c r="AH418" s="103">
        <v>31</v>
      </c>
      <c r="AI418" s="55">
        <v>5.9</v>
      </c>
      <c r="AJ418" s="103">
        <v>19</v>
      </c>
      <c r="AK418" s="103">
        <v>1</v>
      </c>
      <c r="AL418" s="52">
        <v>10</v>
      </c>
      <c r="AM418" s="103">
        <v>31</v>
      </c>
      <c r="AN418" s="52">
        <v>10</v>
      </c>
      <c r="AO418" s="103">
        <v>31</v>
      </c>
      <c r="AP418" s="103">
        <v>1</v>
      </c>
    </row>
    <row r="419" spans="25:42" x14ac:dyDescent="0.35">
      <c r="Y419" s="51" t="s">
        <v>29</v>
      </c>
      <c r="Z419" s="51" t="s">
        <v>2431</v>
      </c>
      <c r="AA419" s="51" t="s">
        <v>2470</v>
      </c>
      <c r="AB419" s="102">
        <v>31.8</v>
      </c>
      <c r="AC419" s="103">
        <v>28</v>
      </c>
      <c r="AD419" s="55">
        <v>35.9</v>
      </c>
      <c r="AE419" s="103">
        <v>28</v>
      </c>
      <c r="AF419" s="103">
        <v>2</v>
      </c>
      <c r="AG419" s="102">
        <v>12.2</v>
      </c>
      <c r="AH419" s="103">
        <v>28</v>
      </c>
      <c r="AI419" s="55">
        <v>5.7</v>
      </c>
      <c r="AJ419" s="103">
        <v>22</v>
      </c>
      <c r="AK419" s="103">
        <v>1</v>
      </c>
      <c r="AL419" s="52">
        <v>0</v>
      </c>
      <c r="AM419" s="103">
        <v>28</v>
      </c>
      <c r="AN419" s="52">
        <v>0</v>
      </c>
      <c r="AO419" s="103">
        <v>28</v>
      </c>
      <c r="AP419" s="103">
        <v>0</v>
      </c>
    </row>
    <row r="420" spans="25:42" x14ac:dyDescent="0.35">
      <c r="Y420" s="51" t="s">
        <v>29</v>
      </c>
      <c r="Z420" s="51" t="s">
        <v>2431</v>
      </c>
      <c r="AA420" s="51" t="s">
        <v>49</v>
      </c>
      <c r="AB420" s="102">
        <v>35.299999999999997</v>
      </c>
      <c r="AC420" s="103">
        <v>31</v>
      </c>
      <c r="AD420" s="55">
        <v>38.700000000000003</v>
      </c>
      <c r="AE420" s="103">
        <v>28</v>
      </c>
      <c r="AF420" s="103">
        <v>2</v>
      </c>
      <c r="AG420" s="102">
        <v>15.3</v>
      </c>
      <c r="AH420" s="103">
        <v>31</v>
      </c>
      <c r="AI420" s="55">
        <v>11.3</v>
      </c>
      <c r="AJ420" s="103">
        <v>24</v>
      </c>
      <c r="AK420" s="103">
        <v>1</v>
      </c>
      <c r="AL420" s="52">
        <v>0.4</v>
      </c>
      <c r="AM420" s="103">
        <v>31</v>
      </c>
      <c r="AN420" s="52">
        <v>0.4</v>
      </c>
      <c r="AO420" s="103">
        <v>9</v>
      </c>
      <c r="AP420" s="103">
        <v>0</v>
      </c>
    </row>
    <row r="421" spans="25:42" x14ac:dyDescent="0.35">
      <c r="Y421" s="51" t="s">
        <v>29</v>
      </c>
      <c r="Z421" s="51" t="s">
        <v>2431</v>
      </c>
      <c r="AA421" s="51" t="s">
        <v>2471</v>
      </c>
      <c r="AB421" s="102">
        <v>37.6</v>
      </c>
      <c r="AC421" s="103">
        <v>30</v>
      </c>
      <c r="AD421" s="55">
        <v>40.5</v>
      </c>
      <c r="AE421" s="103">
        <v>21</v>
      </c>
      <c r="AF421" s="103">
        <v>1</v>
      </c>
      <c r="AG421" s="102">
        <v>19.8</v>
      </c>
      <c r="AH421" s="103">
        <v>30</v>
      </c>
      <c r="AI421" s="55">
        <v>15.1</v>
      </c>
      <c r="AJ421" s="103">
        <v>10</v>
      </c>
      <c r="AK421" s="103">
        <v>1</v>
      </c>
      <c r="AL421" s="52">
        <v>36.700000000000003</v>
      </c>
      <c r="AM421" s="103">
        <v>30</v>
      </c>
      <c r="AN421" s="52">
        <v>20.7</v>
      </c>
      <c r="AO421" s="103">
        <v>15</v>
      </c>
      <c r="AP421" s="103">
        <v>3</v>
      </c>
    </row>
    <row r="422" spans="25:42" x14ac:dyDescent="0.35">
      <c r="Y422" s="51" t="s">
        <v>29</v>
      </c>
      <c r="Z422" s="51" t="s">
        <v>2431</v>
      </c>
      <c r="AA422" s="51" t="s">
        <v>250</v>
      </c>
      <c r="AB422" s="102">
        <v>37.9</v>
      </c>
      <c r="AC422" s="103">
        <v>31</v>
      </c>
      <c r="AD422" s="55">
        <v>41.8</v>
      </c>
      <c r="AE422" s="103">
        <v>21</v>
      </c>
      <c r="AF422" s="103">
        <v>1</v>
      </c>
      <c r="AG422" s="102">
        <v>21.8</v>
      </c>
      <c r="AH422" s="103">
        <v>31</v>
      </c>
      <c r="AI422" s="55">
        <v>15.3</v>
      </c>
      <c r="AJ422" s="103">
        <v>9</v>
      </c>
      <c r="AK422" s="103">
        <v>1</v>
      </c>
      <c r="AL422" s="52">
        <v>32</v>
      </c>
      <c r="AM422" s="103">
        <v>31</v>
      </c>
      <c r="AN422" s="52">
        <v>16.100000000000001</v>
      </c>
      <c r="AO422" s="103">
        <v>30</v>
      </c>
      <c r="AP422" s="103">
        <v>3</v>
      </c>
    </row>
    <row r="423" spans="25:42" x14ac:dyDescent="0.35">
      <c r="Y423" s="51" t="s">
        <v>29</v>
      </c>
      <c r="Z423" s="51" t="s">
        <v>2431</v>
      </c>
      <c r="AA423" s="51" t="s">
        <v>2472</v>
      </c>
      <c r="AB423" s="102">
        <v>32.6</v>
      </c>
      <c r="AC423" s="103">
        <v>30</v>
      </c>
      <c r="AD423" s="55">
        <v>38.1</v>
      </c>
      <c r="AE423" s="103">
        <v>6</v>
      </c>
      <c r="AF423" s="103">
        <v>1</v>
      </c>
      <c r="AG423" s="102">
        <v>23.3</v>
      </c>
      <c r="AH423" s="103">
        <v>30</v>
      </c>
      <c r="AI423" s="55">
        <v>21</v>
      </c>
      <c r="AJ423" s="103">
        <v>15</v>
      </c>
      <c r="AK423" s="103">
        <v>1</v>
      </c>
      <c r="AL423" s="52">
        <v>292.7</v>
      </c>
      <c r="AM423" s="103">
        <v>30</v>
      </c>
      <c r="AN423" s="52">
        <v>68.400000000000006</v>
      </c>
      <c r="AO423" s="103">
        <v>27</v>
      </c>
      <c r="AP423" s="103">
        <v>11</v>
      </c>
    </row>
    <row r="424" spans="25:42" x14ac:dyDescent="0.35">
      <c r="Y424" s="51" t="s">
        <v>29</v>
      </c>
      <c r="Z424" s="51" t="s">
        <v>2431</v>
      </c>
      <c r="AA424" s="51" t="s">
        <v>2473</v>
      </c>
      <c r="AB424" s="102">
        <v>27.8</v>
      </c>
      <c r="AC424" s="103">
        <v>31</v>
      </c>
      <c r="AD424" s="55">
        <v>32</v>
      </c>
      <c r="AE424" s="103">
        <v>20</v>
      </c>
      <c r="AF424" s="103">
        <v>1</v>
      </c>
      <c r="AG424" s="102">
        <v>22.7</v>
      </c>
      <c r="AH424" s="103">
        <v>31</v>
      </c>
      <c r="AI424" s="55">
        <v>21.7</v>
      </c>
      <c r="AJ424" s="103">
        <v>31</v>
      </c>
      <c r="AK424" s="103">
        <v>1</v>
      </c>
      <c r="AL424" s="52">
        <v>334.3</v>
      </c>
      <c r="AM424" s="103">
        <v>31</v>
      </c>
      <c r="AN424" s="52">
        <v>78.599999999999994</v>
      </c>
      <c r="AO424" s="103">
        <v>26</v>
      </c>
      <c r="AP424" s="103">
        <v>17</v>
      </c>
    </row>
    <row r="425" spans="25:42" x14ac:dyDescent="0.35">
      <c r="Y425" s="51" t="s">
        <v>29</v>
      </c>
      <c r="Z425" s="51" t="s">
        <v>2431</v>
      </c>
      <c r="AA425" s="51" t="s">
        <v>2474</v>
      </c>
      <c r="AB425" s="102">
        <v>27.2</v>
      </c>
      <c r="AC425" s="103">
        <v>31</v>
      </c>
      <c r="AD425" s="55">
        <v>32.1</v>
      </c>
      <c r="AE425" s="103">
        <v>31</v>
      </c>
      <c r="AF425" s="103">
        <v>1</v>
      </c>
      <c r="AG425" s="102">
        <v>21.5</v>
      </c>
      <c r="AH425" s="103">
        <v>31</v>
      </c>
      <c r="AI425" s="55">
        <v>18.8</v>
      </c>
      <c r="AJ425" s="103">
        <v>23</v>
      </c>
      <c r="AK425" s="103">
        <v>1</v>
      </c>
      <c r="AL425" s="52">
        <v>232.4</v>
      </c>
      <c r="AM425" s="103">
        <v>31</v>
      </c>
      <c r="AN425" s="52">
        <v>61.1</v>
      </c>
      <c r="AO425" s="103">
        <v>2</v>
      </c>
      <c r="AP425" s="103">
        <v>17</v>
      </c>
    </row>
    <row r="426" spans="25:42" x14ac:dyDescent="0.35">
      <c r="Y426" s="51" t="s">
        <v>29</v>
      </c>
      <c r="Z426" s="51" t="s">
        <v>2431</v>
      </c>
      <c r="AA426" s="51" t="s">
        <v>410</v>
      </c>
      <c r="AB426" s="102">
        <v>28.1</v>
      </c>
      <c r="AC426" s="103">
        <v>30</v>
      </c>
      <c r="AD426" s="55">
        <v>33.200000000000003</v>
      </c>
      <c r="AE426" s="103">
        <v>2</v>
      </c>
      <c r="AF426" s="103">
        <v>1</v>
      </c>
      <c r="AG426" s="102">
        <v>21.5</v>
      </c>
      <c r="AH426" s="103">
        <v>30</v>
      </c>
      <c r="AI426" s="55">
        <v>18</v>
      </c>
      <c r="AJ426" s="103">
        <v>27</v>
      </c>
      <c r="AK426" s="103">
        <v>1</v>
      </c>
      <c r="AL426" s="52">
        <v>303.89999999999998</v>
      </c>
      <c r="AM426" s="103">
        <v>30</v>
      </c>
      <c r="AN426" s="52">
        <v>52.6</v>
      </c>
      <c r="AO426" s="103">
        <v>29</v>
      </c>
      <c r="AP426" s="103">
        <v>19</v>
      </c>
    </row>
    <row r="427" spans="25:42" x14ac:dyDescent="0.35">
      <c r="Y427" s="51" t="s">
        <v>29</v>
      </c>
      <c r="Z427" s="51" t="s">
        <v>2431</v>
      </c>
      <c r="AA427" s="51" t="s">
        <v>112</v>
      </c>
      <c r="AB427" s="102">
        <v>30.6</v>
      </c>
      <c r="AC427" s="103">
        <v>31</v>
      </c>
      <c r="AD427" s="55">
        <v>32.799999999999997</v>
      </c>
      <c r="AE427" s="103">
        <v>27</v>
      </c>
      <c r="AF427" s="103">
        <v>2</v>
      </c>
      <c r="AG427" s="102">
        <v>18.399999999999999</v>
      </c>
      <c r="AH427" s="103">
        <v>31</v>
      </c>
      <c r="AI427" s="55">
        <v>12.5</v>
      </c>
      <c r="AJ427" s="103">
        <v>31</v>
      </c>
      <c r="AK427" s="103">
        <v>1</v>
      </c>
      <c r="AL427" s="52">
        <v>96</v>
      </c>
      <c r="AM427" s="103">
        <v>31</v>
      </c>
      <c r="AN427" s="52">
        <v>46.1</v>
      </c>
      <c r="AO427" s="103">
        <v>15</v>
      </c>
      <c r="AP427" s="103">
        <v>4</v>
      </c>
    </row>
    <row r="428" spans="25:42" x14ac:dyDescent="0.35">
      <c r="Y428" s="51" t="s">
        <v>29</v>
      </c>
      <c r="Z428" s="51" t="s">
        <v>2431</v>
      </c>
      <c r="AA428" s="51" t="s">
        <v>142</v>
      </c>
      <c r="AB428" s="102">
        <v>30.6</v>
      </c>
      <c r="AC428" s="103">
        <v>30</v>
      </c>
      <c r="AD428" s="55">
        <v>32.200000000000003</v>
      </c>
      <c r="AE428" s="103">
        <v>2</v>
      </c>
      <c r="AF428" s="103">
        <v>1</v>
      </c>
      <c r="AG428" s="102">
        <v>11.6</v>
      </c>
      <c r="AH428" s="103">
        <v>30</v>
      </c>
      <c r="AI428" s="55">
        <v>8.3000000000000007</v>
      </c>
      <c r="AJ428" s="103">
        <v>22</v>
      </c>
      <c r="AK428" s="103">
        <v>1</v>
      </c>
      <c r="AL428" s="52">
        <v>0</v>
      </c>
      <c r="AM428" s="103">
        <v>30</v>
      </c>
      <c r="AN428" s="52">
        <v>0</v>
      </c>
      <c r="AO428" s="103">
        <v>30</v>
      </c>
      <c r="AP428" s="103">
        <v>0</v>
      </c>
    </row>
    <row r="429" spans="25:42" x14ac:dyDescent="0.35">
      <c r="Y429" s="51" t="s">
        <v>29</v>
      </c>
      <c r="Z429" s="51" t="s">
        <v>2431</v>
      </c>
      <c r="AA429" s="51" t="s">
        <v>30</v>
      </c>
      <c r="AB429" s="102">
        <v>29.3</v>
      </c>
      <c r="AC429" s="103">
        <v>31</v>
      </c>
      <c r="AD429" s="55">
        <v>30.9</v>
      </c>
      <c r="AE429" s="103">
        <v>8</v>
      </c>
      <c r="AF429" s="103">
        <v>2</v>
      </c>
      <c r="AG429" s="102">
        <v>10.199999999999999</v>
      </c>
      <c r="AH429" s="103">
        <v>31</v>
      </c>
      <c r="AI429" s="55">
        <v>6.3</v>
      </c>
      <c r="AJ429" s="103">
        <v>19</v>
      </c>
      <c r="AK429" s="103">
        <v>1</v>
      </c>
      <c r="AL429" s="52">
        <v>0</v>
      </c>
      <c r="AM429" s="103">
        <v>31</v>
      </c>
      <c r="AN429" s="52">
        <v>0</v>
      </c>
      <c r="AO429" s="103">
        <v>31</v>
      </c>
      <c r="AP429" s="103">
        <v>0</v>
      </c>
    </row>
    <row r="430" spans="25:42" x14ac:dyDescent="0.35">
      <c r="Y430" s="51" t="s">
        <v>29</v>
      </c>
      <c r="Z430" s="51" t="s">
        <v>2432</v>
      </c>
      <c r="AA430" s="51" t="s">
        <v>2469</v>
      </c>
      <c r="AB430" s="102">
        <v>30.1</v>
      </c>
      <c r="AC430" s="103">
        <v>31</v>
      </c>
      <c r="AD430" s="55">
        <v>33.700000000000003</v>
      </c>
      <c r="AE430" s="103">
        <v>20</v>
      </c>
      <c r="AF430" s="103">
        <v>1</v>
      </c>
      <c r="AG430" s="102">
        <v>9.6999999999999993</v>
      </c>
      <c r="AH430" s="103">
        <v>31</v>
      </c>
      <c r="AI430" s="55">
        <v>4.7</v>
      </c>
      <c r="AJ430" s="103">
        <v>27</v>
      </c>
      <c r="AK430" s="103">
        <v>1</v>
      </c>
      <c r="AL430" s="52">
        <v>0</v>
      </c>
      <c r="AM430" s="103">
        <v>31</v>
      </c>
      <c r="AN430" s="52">
        <v>0</v>
      </c>
      <c r="AO430" s="103">
        <v>31</v>
      </c>
      <c r="AP430" s="103">
        <v>0</v>
      </c>
    </row>
    <row r="431" spans="25:42" x14ac:dyDescent="0.35">
      <c r="Y431" s="51" t="s">
        <v>29</v>
      </c>
      <c r="Z431" s="51" t="s">
        <v>2432</v>
      </c>
      <c r="AA431" s="51" t="s">
        <v>2470</v>
      </c>
      <c r="AB431" s="102">
        <v>33.700000000000003</v>
      </c>
      <c r="AC431" s="103">
        <v>28</v>
      </c>
      <c r="AD431" s="55">
        <v>36.5</v>
      </c>
      <c r="AE431" s="103">
        <v>26</v>
      </c>
      <c r="AF431" s="103">
        <v>2</v>
      </c>
      <c r="AG431" s="102">
        <v>12.7</v>
      </c>
      <c r="AH431" s="103">
        <v>28</v>
      </c>
      <c r="AI431" s="55">
        <v>9.1</v>
      </c>
      <c r="AJ431" s="103">
        <v>7</v>
      </c>
      <c r="AK431" s="103">
        <v>1</v>
      </c>
      <c r="AL431" s="52">
        <v>0</v>
      </c>
      <c r="AM431" s="103">
        <v>28</v>
      </c>
      <c r="AN431" s="52">
        <v>0</v>
      </c>
      <c r="AO431" s="103">
        <v>28</v>
      </c>
      <c r="AP431" s="103">
        <v>0</v>
      </c>
    </row>
    <row r="432" spans="25:42" x14ac:dyDescent="0.35">
      <c r="Y432" s="51" t="s">
        <v>29</v>
      </c>
      <c r="Z432" s="51" t="s">
        <v>2432</v>
      </c>
      <c r="AA432" s="51" t="s">
        <v>49</v>
      </c>
      <c r="AB432" s="102">
        <v>34.1</v>
      </c>
      <c r="AC432" s="103">
        <v>31</v>
      </c>
      <c r="AD432" s="55">
        <v>38</v>
      </c>
      <c r="AE432" s="103">
        <v>31</v>
      </c>
      <c r="AF432" s="103">
        <v>1</v>
      </c>
      <c r="AG432" s="102">
        <v>16.5</v>
      </c>
      <c r="AH432" s="103">
        <v>31</v>
      </c>
      <c r="AI432" s="55">
        <v>10.9</v>
      </c>
      <c r="AJ432" s="103">
        <v>6</v>
      </c>
      <c r="AK432" s="103">
        <v>1</v>
      </c>
      <c r="AL432" s="52">
        <v>4.0999999999999996</v>
      </c>
      <c r="AM432" s="103">
        <v>31</v>
      </c>
      <c r="AN432" s="52">
        <v>4.0999999999999996</v>
      </c>
      <c r="AO432" s="103">
        <v>10</v>
      </c>
      <c r="AP432" s="103">
        <v>1</v>
      </c>
    </row>
    <row r="433" spans="25:42" x14ac:dyDescent="0.35">
      <c r="Y433" s="51" t="s">
        <v>29</v>
      </c>
      <c r="Z433" s="51" t="s">
        <v>2432</v>
      </c>
      <c r="AA433" s="51" t="s">
        <v>2471</v>
      </c>
      <c r="AB433" s="102">
        <v>37.1</v>
      </c>
      <c r="AC433" s="103">
        <v>30</v>
      </c>
      <c r="AD433" s="55">
        <v>39.299999999999997</v>
      </c>
      <c r="AE433" s="103">
        <v>7</v>
      </c>
      <c r="AF433" s="103">
        <v>1</v>
      </c>
      <c r="AG433" s="102">
        <v>19.8</v>
      </c>
      <c r="AH433" s="103">
        <v>30</v>
      </c>
      <c r="AI433" s="55">
        <v>15.7</v>
      </c>
      <c r="AJ433" s="103">
        <v>4</v>
      </c>
      <c r="AK433" s="103">
        <v>1</v>
      </c>
      <c r="AL433" s="52">
        <v>0</v>
      </c>
      <c r="AM433" s="103">
        <v>30</v>
      </c>
      <c r="AN433" s="52">
        <v>0</v>
      </c>
      <c r="AO433" s="103">
        <v>30</v>
      </c>
      <c r="AP433" s="103">
        <v>0</v>
      </c>
    </row>
    <row r="434" spans="25:42" x14ac:dyDescent="0.35">
      <c r="Y434" s="51" t="s">
        <v>29</v>
      </c>
      <c r="Z434" s="51" t="s">
        <v>2432</v>
      </c>
      <c r="AA434" s="51" t="s">
        <v>250</v>
      </c>
      <c r="AB434" s="102">
        <v>37</v>
      </c>
      <c r="AC434" s="103">
        <v>31</v>
      </c>
      <c r="AD434" s="55">
        <v>40.5</v>
      </c>
      <c r="AE434" s="103">
        <v>8</v>
      </c>
      <c r="AF434" s="103">
        <v>1</v>
      </c>
      <c r="AG434" s="102">
        <v>23.4</v>
      </c>
      <c r="AH434" s="103">
        <v>31</v>
      </c>
      <c r="AI434" s="55">
        <v>19.3</v>
      </c>
      <c r="AJ434" s="103">
        <v>14</v>
      </c>
      <c r="AK434" s="103">
        <v>1</v>
      </c>
      <c r="AL434" s="52">
        <v>64.599999999999994</v>
      </c>
      <c r="AM434" s="103">
        <v>31</v>
      </c>
      <c r="AN434" s="52">
        <v>44</v>
      </c>
      <c r="AO434" s="103">
        <v>31</v>
      </c>
      <c r="AP434" s="103">
        <v>2</v>
      </c>
    </row>
    <row r="435" spans="25:42" x14ac:dyDescent="0.35">
      <c r="Y435" s="51" t="s">
        <v>29</v>
      </c>
      <c r="Z435" s="51" t="s">
        <v>2432</v>
      </c>
      <c r="AA435" s="51" t="s">
        <v>2472</v>
      </c>
      <c r="AB435" s="102">
        <v>31.4</v>
      </c>
      <c r="AC435" s="103">
        <v>30</v>
      </c>
      <c r="AD435" s="55">
        <v>34.700000000000003</v>
      </c>
      <c r="AE435" s="103">
        <v>19</v>
      </c>
      <c r="AF435" s="103">
        <v>1</v>
      </c>
      <c r="AG435" s="102">
        <v>23</v>
      </c>
      <c r="AH435" s="103">
        <v>30</v>
      </c>
      <c r="AI435" s="55">
        <v>21.1</v>
      </c>
      <c r="AJ435" s="103">
        <v>19</v>
      </c>
      <c r="AK435" s="103">
        <v>1</v>
      </c>
      <c r="AL435" s="52">
        <v>150.19999999999999</v>
      </c>
      <c r="AM435" s="103">
        <v>30</v>
      </c>
      <c r="AN435" s="52">
        <v>31.8</v>
      </c>
      <c r="AO435" s="103">
        <v>23</v>
      </c>
      <c r="AP435" s="103">
        <v>11</v>
      </c>
    </row>
    <row r="436" spans="25:42" x14ac:dyDescent="0.35">
      <c r="Y436" s="51" t="s">
        <v>29</v>
      </c>
      <c r="Z436" s="51" t="s">
        <v>2432</v>
      </c>
      <c r="AA436" s="51" t="s">
        <v>2473</v>
      </c>
      <c r="AB436" s="102">
        <v>27</v>
      </c>
      <c r="AC436" s="103">
        <v>31</v>
      </c>
      <c r="AD436" s="55">
        <v>29.3</v>
      </c>
      <c r="AE436" s="103">
        <v>17</v>
      </c>
      <c r="AF436" s="103">
        <v>1</v>
      </c>
      <c r="AG436" s="102">
        <v>22.3</v>
      </c>
      <c r="AH436" s="103">
        <v>31</v>
      </c>
      <c r="AI436" s="55">
        <v>21</v>
      </c>
      <c r="AJ436" s="103">
        <v>6</v>
      </c>
      <c r="AK436" s="103">
        <v>1</v>
      </c>
      <c r="AL436" s="52">
        <v>404.9</v>
      </c>
      <c r="AM436" s="103">
        <v>31</v>
      </c>
      <c r="AN436" s="52">
        <v>62</v>
      </c>
      <c r="AO436" s="103">
        <v>29</v>
      </c>
      <c r="AP436" s="103">
        <v>20</v>
      </c>
    </row>
    <row r="437" spans="25:42" x14ac:dyDescent="0.35">
      <c r="Y437" s="51" t="s">
        <v>29</v>
      </c>
      <c r="Z437" s="51" t="s">
        <v>2432</v>
      </c>
      <c r="AA437" s="51" t="s">
        <v>2474</v>
      </c>
      <c r="AB437" s="102">
        <v>26.5</v>
      </c>
      <c r="AC437" s="103">
        <v>31</v>
      </c>
      <c r="AD437" s="55">
        <v>28.3</v>
      </c>
      <c r="AE437" s="103">
        <v>21</v>
      </c>
      <c r="AF437" s="103">
        <v>1</v>
      </c>
      <c r="AG437" s="102">
        <v>21.7</v>
      </c>
      <c r="AH437" s="103">
        <v>31</v>
      </c>
      <c r="AI437" s="55">
        <v>19.899999999999999</v>
      </c>
      <c r="AJ437" s="103">
        <v>26</v>
      </c>
      <c r="AK437" s="103">
        <v>1</v>
      </c>
      <c r="AL437" s="52">
        <v>378</v>
      </c>
      <c r="AM437" s="103">
        <v>31</v>
      </c>
      <c r="AN437" s="52">
        <v>72</v>
      </c>
      <c r="AO437" s="103">
        <v>7</v>
      </c>
      <c r="AP437" s="103">
        <v>19</v>
      </c>
    </row>
    <row r="438" spans="25:42" x14ac:dyDescent="0.35">
      <c r="Y438" s="51" t="s">
        <v>29</v>
      </c>
      <c r="Z438" s="51" t="s">
        <v>2432</v>
      </c>
      <c r="AA438" s="51" t="s">
        <v>410</v>
      </c>
      <c r="AB438" s="102">
        <v>29.8</v>
      </c>
      <c r="AC438" s="103">
        <v>30</v>
      </c>
      <c r="AD438" s="55">
        <v>32.700000000000003</v>
      </c>
      <c r="AE438" s="103">
        <v>11</v>
      </c>
      <c r="AF438" s="103">
        <v>1</v>
      </c>
      <c r="AG438" s="102">
        <v>21.5</v>
      </c>
      <c r="AH438" s="103">
        <v>30</v>
      </c>
      <c r="AI438" s="55">
        <v>20.3</v>
      </c>
      <c r="AJ438" s="103">
        <v>7</v>
      </c>
      <c r="AK438" s="103">
        <v>1</v>
      </c>
      <c r="AL438" s="52">
        <v>170.7</v>
      </c>
      <c r="AM438" s="103">
        <v>30</v>
      </c>
      <c r="AN438" s="52">
        <v>61.4</v>
      </c>
      <c r="AO438" s="103">
        <v>9</v>
      </c>
      <c r="AP438" s="103">
        <v>11</v>
      </c>
    </row>
    <row r="439" spans="25:42" x14ac:dyDescent="0.35">
      <c r="Y439" s="51" t="s">
        <v>29</v>
      </c>
      <c r="Z439" s="51" t="s">
        <v>2432</v>
      </c>
      <c r="AA439" s="51" t="s">
        <v>112</v>
      </c>
      <c r="AB439" s="102">
        <v>31.4</v>
      </c>
      <c r="AC439" s="103">
        <v>31</v>
      </c>
      <c r="AD439" s="55">
        <v>32.6</v>
      </c>
      <c r="AE439" s="103">
        <v>20</v>
      </c>
      <c r="AF439" s="103">
        <v>3</v>
      </c>
      <c r="AG439" s="102">
        <v>19.7</v>
      </c>
      <c r="AH439" s="103">
        <v>31</v>
      </c>
      <c r="AI439" s="55">
        <v>15.1</v>
      </c>
      <c r="AJ439" s="103">
        <v>27</v>
      </c>
      <c r="AK439" s="103">
        <v>1</v>
      </c>
      <c r="AL439" s="52">
        <v>50.9</v>
      </c>
      <c r="AM439" s="103">
        <v>31</v>
      </c>
      <c r="AN439" s="52">
        <v>22.3</v>
      </c>
      <c r="AO439" s="103">
        <v>5</v>
      </c>
      <c r="AP439" s="103">
        <v>5</v>
      </c>
    </row>
    <row r="440" spans="25:42" x14ac:dyDescent="0.35">
      <c r="Y440" s="51" t="s">
        <v>29</v>
      </c>
      <c r="Z440" s="51" t="s">
        <v>2432</v>
      </c>
      <c r="AA440" s="51" t="s">
        <v>142</v>
      </c>
      <c r="AB440" s="102">
        <v>30</v>
      </c>
      <c r="AC440" s="103">
        <v>30</v>
      </c>
      <c r="AD440" s="55">
        <v>31.7</v>
      </c>
      <c r="AE440" s="103">
        <v>2</v>
      </c>
      <c r="AF440" s="103">
        <v>1</v>
      </c>
      <c r="AG440" s="102">
        <v>17</v>
      </c>
      <c r="AH440" s="103">
        <v>30</v>
      </c>
      <c r="AI440" s="55">
        <v>12.6</v>
      </c>
      <c r="AJ440" s="103">
        <v>13</v>
      </c>
      <c r="AK440" s="103">
        <v>1</v>
      </c>
      <c r="AL440" s="52">
        <v>43.5</v>
      </c>
      <c r="AM440" s="103">
        <v>30</v>
      </c>
      <c r="AN440" s="52">
        <v>13.4</v>
      </c>
      <c r="AO440" s="103">
        <v>7</v>
      </c>
      <c r="AP440" s="103">
        <v>5</v>
      </c>
    </row>
    <row r="441" spans="25:42" x14ac:dyDescent="0.35">
      <c r="Y441" s="51" t="s">
        <v>29</v>
      </c>
      <c r="Z441" s="51" t="s">
        <v>2432</v>
      </c>
      <c r="AA441" s="51" t="s">
        <v>30</v>
      </c>
      <c r="AB441" s="102">
        <v>29.8</v>
      </c>
      <c r="AC441" s="103">
        <v>31</v>
      </c>
      <c r="AD441" s="55">
        <v>31.5</v>
      </c>
      <c r="AE441" s="103">
        <v>1</v>
      </c>
      <c r="AF441" s="103">
        <v>1</v>
      </c>
      <c r="AG441" s="102">
        <v>12.5</v>
      </c>
      <c r="AH441" s="103">
        <v>31</v>
      </c>
      <c r="AI441" s="55">
        <v>9.1</v>
      </c>
      <c r="AJ441" s="103">
        <v>18</v>
      </c>
      <c r="AK441" s="103">
        <v>1</v>
      </c>
      <c r="AL441" s="52">
        <v>0</v>
      </c>
      <c r="AM441" s="103">
        <v>31</v>
      </c>
      <c r="AN441" s="52">
        <v>0</v>
      </c>
      <c r="AO441" s="103">
        <v>31</v>
      </c>
      <c r="AP441" s="103">
        <v>0</v>
      </c>
    </row>
    <row r="442" spans="25:42" x14ac:dyDescent="0.35">
      <c r="Y442" s="51" t="s">
        <v>29</v>
      </c>
      <c r="Z442" s="51" t="s">
        <v>2433</v>
      </c>
      <c r="AA442" s="51" t="s">
        <v>2469</v>
      </c>
      <c r="AB442" s="102">
        <v>30.6</v>
      </c>
      <c r="AC442" s="103">
        <v>31</v>
      </c>
      <c r="AD442" s="55">
        <v>33.1</v>
      </c>
      <c r="AE442" s="103">
        <v>24</v>
      </c>
      <c r="AF442" s="103">
        <v>2</v>
      </c>
      <c r="AG442" s="102">
        <v>12.7</v>
      </c>
      <c r="AH442" s="103">
        <v>31</v>
      </c>
      <c r="AI442" s="55">
        <v>10.4</v>
      </c>
      <c r="AJ442" s="103">
        <v>17</v>
      </c>
      <c r="AK442" s="103">
        <v>1</v>
      </c>
      <c r="AL442" s="52">
        <v>0</v>
      </c>
      <c r="AM442" s="103">
        <v>31</v>
      </c>
      <c r="AN442" s="52">
        <v>0</v>
      </c>
      <c r="AO442" s="103">
        <v>31</v>
      </c>
      <c r="AP442" s="103">
        <v>0</v>
      </c>
    </row>
    <row r="443" spans="25:42" x14ac:dyDescent="0.35">
      <c r="Y443" s="51" t="s">
        <v>29</v>
      </c>
      <c r="Z443" s="51" t="s">
        <v>2433</v>
      </c>
      <c r="AA443" s="51" t="s">
        <v>2470</v>
      </c>
      <c r="AB443" s="102">
        <v>31.8</v>
      </c>
      <c r="AC443" s="103">
        <v>28</v>
      </c>
      <c r="AD443" s="55">
        <v>35.299999999999997</v>
      </c>
      <c r="AE443" s="103">
        <v>8</v>
      </c>
      <c r="AF443" s="103">
        <v>1</v>
      </c>
      <c r="AG443" s="102">
        <v>13.8</v>
      </c>
      <c r="AH443" s="103">
        <v>28</v>
      </c>
      <c r="AI443" s="55">
        <v>11.3</v>
      </c>
      <c r="AJ443" s="103">
        <v>14</v>
      </c>
      <c r="AK443" s="103">
        <v>1</v>
      </c>
      <c r="AL443" s="52">
        <v>0</v>
      </c>
      <c r="AM443" s="103">
        <v>28</v>
      </c>
      <c r="AN443" s="52">
        <v>0</v>
      </c>
      <c r="AO443" s="103">
        <v>28</v>
      </c>
      <c r="AP443" s="103">
        <v>0</v>
      </c>
    </row>
    <row r="444" spans="25:42" x14ac:dyDescent="0.35">
      <c r="Y444" s="51" t="s">
        <v>29</v>
      </c>
      <c r="Z444" s="51" t="s">
        <v>2433</v>
      </c>
      <c r="AA444" s="51" t="s">
        <v>49</v>
      </c>
      <c r="AB444" s="102">
        <v>35.5</v>
      </c>
      <c r="AC444" s="103">
        <v>31</v>
      </c>
      <c r="AD444" s="55">
        <v>39.6</v>
      </c>
      <c r="AE444" s="103">
        <v>30</v>
      </c>
      <c r="AF444" s="103">
        <v>1</v>
      </c>
      <c r="AG444" s="102">
        <v>16.399999999999999</v>
      </c>
      <c r="AH444" s="103">
        <v>31</v>
      </c>
      <c r="AI444" s="55">
        <v>11.5</v>
      </c>
      <c r="AJ444" s="103">
        <v>8</v>
      </c>
      <c r="AK444" s="103">
        <v>1</v>
      </c>
      <c r="AL444" s="52">
        <v>0</v>
      </c>
      <c r="AM444" s="103">
        <v>31</v>
      </c>
      <c r="AN444" s="52">
        <v>0</v>
      </c>
      <c r="AO444" s="103">
        <v>31</v>
      </c>
      <c r="AP444" s="103">
        <v>0</v>
      </c>
    </row>
    <row r="445" spans="25:42" x14ac:dyDescent="0.35">
      <c r="Y445" s="51" t="s">
        <v>29</v>
      </c>
      <c r="Z445" s="51" t="s">
        <v>2433</v>
      </c>
      <c r="AA445" s="51" t="s">
        <v>2471</v>
      </c>
      <c r="AB445" s="102">
        <v>38.4</v>
      </c>
      <c r="AC445" s="103">
        <v>30</v>
      </c>
      <c r="AD445" s="55">
        <v>41.4</v>
      </c>
      <c r="AE445" s="103">
        <v>28</v>
      </c>
      <c r="AF445" s="103">
        <v>1</v>
      </c>
      <c r="AG445" s="102">
        <v>20.100000000000001</v>
      </c>
      <c r="AH445" s="103">
        <v>30</v>
      </c>
      <c r="AI445" s="55">
        <v>13.1</v>
      </c>
      <c r="AJ445" s="103">
        <v>12</v>
      </c>
      <c r="AK445" s="103">
        <v>1</v>
      </c>
      <c r="AL445" s="52">
        <v>8.1</v>
      </c>
      <c r="AM445" s="103">
        <v>30</v>
      </c>
      <c r="AN445" s="52">
        <v>7.8</v>
      </c>
      <c r="AO445" s="103">
        <v>16</v>
      </c>
      <c r="AP445" s="103">
        <v>1</v>
      </c>
    </row>
    <row r="446" spans="25:42" x14ac:dyDescent="0.35">
      <c r="Y446" s="51" t="s">
        <v>29</v>
      </c>
      <c r="Z446" s="51" t="s">
        <v>2433</v>
      </c>
      <c r="AA446" s="51" t="s">
        <v>250</v>
      </c>
      <c r="AB446" s="102">
        <v>36.700000000000003</v>
      </c>
      <c r="AC446" s="103">
        <v>31</v>
      </c>
      <c r="AD446" s="55">
        <v>41.9</v>
      </c>
      <c r="AE446" s="103">
        <v>4</v>
      </c>
      <c r="AF446" s="103">
        <v>1</v>
      </c>
      <c r="AG446" s="102">
        <v>23.2</v>
      </c>
      <c r="AH446" s="103">
        <v>31</v>
      </c>
      <c r="AI446" s="55">
        <v>21.1</v>
      </c>
      <c r="AJ446" s="103">
        <v>16</v>
      </c>
      <c r="AK446" s="103">
        <v>1</v>
      </c>
      <c r="AL446" s="52">
        <v>3.8</v>
      </c>
      <c r="AM446" s="103">
        <v>31</v>
      </c>
      <c r="AN446" s="52">
        <v>2.4</v>
      </c>
      <c r="AO446" s="103">
        <v>2</v>
      </c>
      <c r="AP446" s="103">
        <v>0</v>
      </c>
    </row>
    <row r="447" spans="25:42" x14ac:dyDescent="0.35">
      <c r="Y447" s="51" t="s">
        <v>29</v>
      </c>
      <c r="Z447" s="51" t="s">
        <v>2433</v>
      </c>
      <c r="AA447" s="51" t="s">
        <v>2472</v>
      </c>
      <c r="AB447" s="102">
        <v>33.200000000000003</v>
      </c>
      <c r="AC447" s="103">
        <v>30</v>
      </c>
      <c r="AD447" s="55">
        <v>38.6</v>
      </c>
      <c r="AE447" s="103">
        <v>1</v>
      </c>
      <c r="AF447" s="103">
        <v>1</v>
      </c>
      <c r="AG447" s="102">
        <v>23.8</v>
      </c>
      <c r="AH447" s="103">
        <v>30</v>
      </c>
      <c r="AI447" s="55">
        <v>22.3</v>
      </c>
      <c r="AJ447" s="103">
        <v>24</v>
      </c>
      <c r="AK447" s="103">
        <v>2</v>
      </c>
      <c r="AL447" s="52">
        <v>232.2</v>
      </c>
      <c r="AM447" s="103">
        <v>30</v>
      </c>
      <c r="AN447" s="52">
        <v>97.4</v>
      </c>
      <c r="AO447" s="103">
        <v>23</v>
      </c>
      <c r="AP447" s="103">
        <v>10</v>
      </c>
    </row>
    <row r="448" spans="25:42" x14ac:dyDescent="0.35">
      <c r="Y448" s="51" t="s">
        <v>29</v>
      </c>
      <c r="Z448" s="51" t="s">
        <v>2433</v>
      </c>
      <c r="AA448" s="51" t="s">
        <v>2473</v>
      </c>
      <c r="AB448" s="102">
        <v>28.7</v>
      </c>
      <c r="AC448" s="103">
        <v>31</v>
      </c>
      <c r="AD448" s="55">
        <v>33</v>
      </c>
      <c r="AE448" s="103">
        <v>24</v>
      </c>
      <c r="AF448" s="103">
        <v>1</v>
      </c>
      <c r="AG448" s="102">
        <v>22.6</v>
      </c>
      <c r="AH448" s="103">
        <v>31</v>
      </c>
      <c r="AI448" s="55">
        <v>20.2</v>
      </c>
      <c r="AJ448" s="103">
        <v>20</v>
      </c>
      <c r="AK448" s="103">
        <v>1</v>
      </c>
      <c r="AL448" s="52">
        <v>297.60000000000002</v>
      </c>
      <c r="AM448" s="103">
        <v>31</v>
      </c>
      <c r="AN448" s="52">
        <v>95.2</v>
      </c>
      <c r="AO448" s="103">
        <v>3</v>
      </c>
      <c r="AP448" s="103">
        <v>12</v>
      </c>
    </row>
    <row r="449" spans="25:42" x14ac:dyDescent="0.35">
      <c r="Y449" s="51" t="s">
        <v>29</v>
      </c>
      <c r="Z449" s="51" t="s">
        <v>2433</v>
      </c>
      <c r="AA449" s="51" t="s">
        <v>2474</v>
      </c>
      <c r="AB449" s="102">
        <v>28.5</v>
      </c>
      <c r="AC449" s="103">
        <v>31</v>
      </c>
      <c r="AD449" s="55">
        <v>31.4</v>
      </c>
      <c r="AE449" s="103">
        <v>26</v>
      </c>
      <c r="AF449" s="103">
        <v>1</v>
      </c>
      <c r="AG449" s="102">
        <v>22.1</v>
      </c>
      <c r="AH449" s="103">
        <v>31</v>
      </c>
      <c r="AI449" s="55">
        <v>20.5</v>
      </c>
      <c r="AJ449" s="103">
        <v>23</v>
      </c>
      <c r="AK449" s="103">
        <v>1</v>
      </c>
      <c r="AL449" s="52">
        <v>159.9</v>
      </c>
      <c r="AM449" s="103">
        <v>31</v>
      </c>
      <c r="AN449" s="52">
        <v>46.2</v>
      </c>
      <c r="AO449" s="103">
        <v>27</v>
      </c>
      <c r="AP449" s="103">
        <v>15</v>
      </c>
    </row>
    <row r="450" spans="25:42" x14ac:dyDescent="0.35">
      <c r="Y450" s="51" t="s">
        <v>29</v>
      </c>
      <c r="Z450" s="51" t="s">
        <v>2433</v>
      </c>
      <c r="AA450" s="51" t="s">
        <v>410</v>
      </c>
      <c r="AB450" s="102">
        <v>29.5</v>
      </c>
      <c r="AC450" s="103">
        <v>30</v>
      </c>
      <c r="AD450" s="55">
        <v>31.8</v>
      </c>
      <c r="AE450" s="103">
        <v>11</v>
      </c>
      <c r="AF450" s="103">
        <v>1</v>
      </c>
      <c r="AG450" s="102">
        <v>22</v>
      </c>
      <c r="AH450" s="103">
        <v>30</v>
      </c>
      <c r="AI450" s="55">
        <v>20.3</v>
      </c>
      <c r="AJ450" s="103">
        <v>8</v>
      </c>
      <c r="AK450" s="103">
        <v>1</v>
      </c>
      <c r="AL450" s="52">
        <v>149.19999999999999</v>
      </c>
      <c r="AM450" s="103">
        <v>30</v>
      </c>
      <c r="AN450" s="52">
        <v>74.900000000000006</v>
      </c>
      <c r="AO450" s="103">
        <v>19</v>
      </c>
      <c r="AP450" s="103">
        <v>6</v>
      </c>
    </row>
    <row r="451" spans="25:42" x14ac:dyDescent="0.35">
      <c r="Y451" s="51" t="s">
        <v>29</v>
      </c>
      <c r="Z451" s="51" t="s">
        <v>2433</v>
      </c>
      <c r="AA451" s="51" t="s">
        <v>112</v>
      </c>
      <c r="AB451" s="102">
        <v>32.5</v>
      </c>
      <c r="AC451" s="103">
        <v>31</v>
      </c>
      <c r="AD451" s="55">
        <v>34.299999999999997</v>
      </c>
      <c r="AE451" s="103">
        <v>13</v>
      </c>
      <c r="AF451" s="103">
        <v>1</v>
      </c>
      <c r="AG451" s="102">
        <v>18.399999999999999</v>
      </c>
      <c r="AH451" s="103">
        <v>31</v>
      </c>
      <c r="AI451" s="55">
        <v>13.4</v>
      </c>
      <c r="AJ451" s="103">
        <v>29</v>
      </c>
      <c r="AK451" s="103">
        <v>1</v>
      </c>
      <c r="AL451" s="52">
        <v>3.2</v>
      </c>
      <c r="AM451" s="103">
        <v>31</v>
      </c>
      <c r="AN451" s="52">
        <v>3.2</v>
      </c>
      <c r="AO451" s="103">
        <v>13</v>
      </c>
      <c r="AP451" s="103">
        <v>1</v>
      </c>
    </row>
    <row r="452" spans="25:42" x14ac:dyDescent="0.35">
      <c r="Y452" s="51" t="s">
        <v>29</v>
      </c>
      <c r="Z452" s="51" t="s">
        <v>2433</v>
      </c>
      <c r="AA452" s="51" t="s">
        <v>142</v>
      </c>
      <c r="AB452" s="102">
        <v>31.2</v>
      </c>
      <c r="AC452" s="103">
        <v>30</v>
      </c>
      <c r="AD452" s="55">
        <v>34.200000000000003</v>
      </c>
      <c r="AE452" s="103">
        <v>8</v>
      </c>
      <c r="AF452" s="103">
        <v>1</v>
      </c>
      <c r="AG452" s="102">
        <v>14.8</v>
      </c>
      <c r="AH452" s="103">
        <v>30</v>
      </c>
      <c r="AI452" s="55">
        <v>8.1999999999999993</v>
      </c>
      <c r="AJ452" s="103">
        <v>22</v>
      </c>
      <c r="AK452" s="103">
        <v>1</v>
      </c>
      <c r="AL452" s="52">
        <v>10.5</v>
      </c>
      <c r="AM452" s="103">
        <v>30</v>
      </c>
      <c r="AN452" s="52">
        <v>6</v>
      </c>
      <c r="AO452" s="103">
        <v>2</v>
      </c>
      <c r="AP452" s="103">
        <v>2</v>
      </c>
    </row>
    <row r="453" spans="25:42" x14ac:dyDescent="0.35">
      <c r="Y453" s="51" t="s">
        <v>29</v>
      </c>
      <c r="Z453" s="51" t="s">
        <v>2433</v>
      </c>
      <c r="AA453" s="51" t="s">
        <v>30</v>
      </c>
      <c r="AB453" s="102">
        <v>30.2</v>
      </c>
      <c r="AC453" s="103">
        <v>31</v>
      </c>
      <c r="AD453" s="55">
        <v>33.5</v>
      </c>
      <c r="AE453" s="103">
        <v>28</v>
      </c>
      <c r="AF453" s="103">
        <v>1</v>
      </c>
      <c r="AG453" s="102">
        <v>13.5</v>
      </c>
      <c r="AH453" s="103">
        <v>31</v>
      </c>
      <c r="AI453" s="55">
        <v>10.9</v>
      </c>
      <c r="AJ453" s="103">
        <v>7</v>
      </c>
      <c r="AK453" s="103">
        <v>1</v>
      </c>
      <c r="AL453" s="52">
        <v>0</v>
      </c>
      <c r="AM453" s="103">
        <v>31</v>
      </c>
      <c r="AN453" s="52">
        <v>0</v>
      </c>
      <c r="AO453" s="103">
        <v>31</v>
      </c>
      <c r="AP453" s="103">
        <v>0</v>
      </c>
    </row>
    <row r="454" spans="25:42" x14ac:dyDescent="0.35">
      <c r="Y454" s="51" t="s">
        <v>29</v>
      </c>
      <c r="Z454" s="51" t="s">
        <v>2434</v>
      </c>
      <c r="AA454" s="51" t="s">
        <v>2469</v>
      </c>
      <c r="AB454" s="102">
        <v>30.7</v>
      </c>
      <c r="AC454" s="103">
        <v>31</v>
      </c>
      <c r="AD454" s="55">
        <v>33.299999999999997</v>
      </c>
      <c r="AE454" s="103">
        <v>14</v>
      </c>
      <c r="AF454" s="103">
        <v>1</v>
      </c>
      <c r="AG454" s="102">
        <v>10.8</v>
      </c>
      <c r="AH454" s="103">
        <v>31</v>
      </c>
      <c r="AI454" s="55">
        <v>5.8</v>
      </c>
      <c r="AJ454" s="103">
        <v>27</v>
      </c>
      <c r="AK454" s="103">
        <v>1</v>
      </c>
      <c r="AL454" s="52">
        <v>0</v>
      </c>
      <c r="AM454" s="103">
        <v>31</v>
      </c>
      <c r="AN454" s="52">
        <v>0</v>
      </c>
      <c r="AO454" s="103">
        <v>31</v>
      </c>
      <c r="AP454" s="103">
        <v>0</v>
      </c>
    </row>
    <row r="455" spans="25:42" x14ac:dyDescent="0.35">
      <c r="Y455" s="51" t="s">
        <v>29</v>
      </c>
      <c r="Z455" s="51" t="s">
        <v>2434</v>
      </c>
      <c r="AA455" s="51" t="s">
        <v>2470</v>
      </c>
      <c r="AB455" s="102">
        <v>31.6</v>
      </c>
      <c r="AC455" s="103">
        <v>29</v>
      </c>
      <c r="AD455" s="55">
        <v>35.6</v>
      </c>
      <c r="AE455" s="103">
        <v>25</v>
      </c>
      <c r="AF455" s="103">
        <v>1</v>
      </c>
      <c r="AG455" s="102">
        <v>12.5</v>
      </c>
      <c r="AH455" s="103">
        <v>29</v>
      </c>
      <c r="AI455" s="55">
        <v>6.4</v>
      </c>
      <c r="AJ455" s="103">
        <v>9</v>
      </c>
      <c r="AK455" s="103">
        <v>2</v>
      </c>
      <c r="AL455" s="52">
        <v>0</v>
      </c>
      <c r="AM455" s="103">
        <v>29</v>
      </c>
      <c r="AN455" s="52">
        <v>0</v>
      </c>
      <c r="AO455" s="103">
        <v>29</v>
      </c>
      <c r="AP455" s="103">
        <v>0</v>
      </c>
    </row>
    <row r="456" spans="25:42" x14ac:dyDescent="0.35">
      <c r="Y456" s="51" t="s">
        <v>29</v>
      </c>
      <c r="Z456" s="51" t="s">
        <v>2434</v>
      </c>
      <c r="AA456" s="51" t="s">
        <v>49</v>
      </c>
      <c r="AB456" s="102">
        <v>36.1</v>
      </c>
      <c r="AC456" s="103">
        <v>31</v>
      </c>
      <c r="AD456" s="55">
        <v>38.6</v>
      </c>
      <c r="AE456" s="103">
        <v>21</v>
      </c>
      <c r="AF456" s="103">
        <v>1</v>
      </c>
      <c r="AG456" s="102">
        <v>18</v>
      </c>
      <c r="AH456" s="103">
        <v>31</v>
      </c>
      <c r="AI456" s="55">
        <v>12.7</v>
      </c>
      <c r="AJ456" s="103">
        <v>1</v>
      </c>
      <c r="AK456" s="103">
        <v>1</v>
      </c>
      <c r="AL456" s="52">
        <v>25</v>
      </c>
      <c r="AM456" s="103">
        <v>31</v>
      </c>
      <c r="AN456" s="52">
        <v>23.4</v>
      </c>
      <c r="AO456" s="103">
        <v>23</v>
      </c>
      <c r="AP456" s="103">
        <v>1</v>
      </c>
    </row>
    <row r="457" spans="25:42" x14ac:dyDescent="0.35">
      <c r="Y457" s="51" t="s">
        <v>29</v>
      </c>
      <c r="Z457" s="51" t="s">
        <v>2434</v>
      </c>
      <c r="AA457" s="51" t="s">
        <v>2471</v>
      </c>
      <c r="AB457" s="102">
        <v>37.9</v>
      </c>
      <c r="AC457" s="103">
        <v>30</v>
      </c>
      <c r="AD457" s="55">
        <v>42.1</v>
      </c>
      <c r="AE457" s="103">
        <v>25</v>
      </c>
      <c r="AF457" s="103">
        <v>1</v>
      </c>
      <c r="AG457" s="102">
        <v>20.399999999999999</v>
      </c>
      <c r="AH457" s="103">
        <v>30</v>
      </c>
      <c r="AI457" s="55">
        <v>14.8</v>
      </c>
      <c r="AJ457" s="103">
        <v>3</v>
      </c>
      <c r="AK457" s="103">
        <v>1</v>
      </c>
      <c r="AL457" s="52">
        <v>0</v>
      </c>
      <c r="AM457" s="103">
        <v>30</v>
      </c>
      <c r="AN457" s="52">
        <v>0</v>
      </c>
      <c r="AO457" s="103">
        <v>30</v>
      </c>
      <c r="AP457" s="103">
        <v>0</v>
      </c>
    </row>
    <row r="458" spans="25:42" x14ac:dyDescent="0.35">
      <c r="Y458" s="51" t="s">
        <v>29</v>
      </c>
      <c r="Z458" s="51" t="s">
        <v>2434</v>
      </c>
      <c r="AA458" s="51" t="s">
        <v>250</v>
      </c>
      <c r="AB458" s="102">
        <v>36.799999999999997</v>
      </c>
      <c r="AC458" s="103">
        <v>31</v>
      </c>
      <c r="AD458" s="55">
        <v>38.6</v>
      </c>
      <c r="AE458" s="103">
        <v>1</v>
      </c>
      <c r="AF458" s="103">
        <v>1</v>
      </c>
      <c r="AG458" s="102">
        <v>23.1</v>
      </c>
      <c r="AH458" s="103">
        <v>31</v>
      </c>
      <c r="AI458" s="55">
        <v>20.6</v>
      </c>
      <c r="AJ458" s="103">
        <v>3</v>
      </c>
      <c r="AK458" s="103">
        <v>1</v>
      </c>
      <c r="AL458" s="52">
        <v>0</v>
      </c>
      <c r="AM458" s="103">
        <v>31</v>
      </c>
      <c r="AN458" s="52">
        <v>0</v>
      </c>
      <c r="AO458" s="103">
        <v>31</v>
      </c>
      <c r="AP458" s="103">
        <v>0</v>
      </c>
    </row>
    <row r="459" spans="25:42" x14ac:dyDescent="0.35">
      <c r="Y459" s="51" t="s">
        <v>29</v>
      </c>
      <c r="Z459" s="51" t="s">
        <v>2434</v>
      </c>
      <c r="AA459" s="51" t="s">
        <v>2472</v>
      </c>
      <c r="AB459" s="102">
        <v>31</v>
      </c>
      <c r="AC459" s="103">
        <v>30</v>
      </c>
      <c r="AD459" s="55">
        <v>37.6</v>
      </c>
      <c r="AE459" s="103">
        <v>4</v>
      </c>
      <c r="AF459" s="103">
        <v>1</v>
      </c>
      <c r="AG459" s="102">
        <v>23.1</v>
      </c>
      <c r="AH459" s="103">
        <v>30</v>
      </c>
      <c r="AI459" s="55">
        <v>20.399999999999999</v>
      </c>
      <c r="AJ459" s="103">
        <v>4</v>
      </c>
      <c r="AK459" s="103">
        <v>1</v>
      </c>
      <c r="AL459" s="52">
        <v>127.1</v>
      </c>
      <c r="AM459" s="103">
        <v>30</v>
      </c>
      <c r="AN459" s="52">
        <v>43.3</v>
      </c>
      <c r="AO459" s="103">
        <v>30</v>
      </c>
      <c r="AP459" s="103">
        <v>9</v>
      </c>
    </row>
    <row r="460" spans="25:42" x14ac:dyDescent="0.35">
      <c r="Y460" s="51" t="s">
        <v>29</v>
      </c>
      <c r="Z460" s="51" t="s">
        <v>2434</v>
      </c>
      <c r="AA460" s="51" t="s">
        <v>2473</v>
      </c>
      <c r="AB460" s="102">
        <v>28.4</v>
      </c>
      <c r="AC460" s="103">
        <v>31</v>
      </c>
      <c r="AD460" s="55">
        <v>32</v>
      </c>
      <c r="AE460" s="103">
        <v>24</v>
      </c>
      <c r="AF460" s="103">
        <v>1</v>
      </c>
      <c r="AG460" s="102">
        <v>22.4</v>
      </c>
      <c r="AH460" s="103">
        <v>31</v>
      </c>
      <c r="AI460" s="55">
        <v>21.3</v>
      </c>
      <c r="AJ460" s="103">
        <v>29</v>
      </c>
      <c r="AK460" s="103">
        <v>1</v>
      </c>
      <c r="AL460" s="52">
        <v>96.4</v>
      </c>
      <c r="AM460" s="103">
        <v>31</v>
      </c>
      <c r="AN460" s="52">
        <v>15.2</v>
      </c>
      <c r="AO460" s="103">
        <v>28</v>
      </c>
      <c r="AP460" s="103">
        <v>11</v>
      </c>
    </row>
    <row r="461" spans="25:42" x14ac:dyDescent="0.35">
      <c r="Y461" s="51" t="s">
        <v>29</v>
      </c>
      <c r="Z461" s="51" t="s">
        <v>2434</v>
      </c>
      <c r="AA461" s="51" t="s">
        <v>2474</v>
      </c>
      <c r="AB461" s="102">
        <v>27.4</v>
      </c>
      <c r="AC461" s="103">
        <v>31</v>
      </c>
      <c r="AD461" s="55">
        <v>32</v>
      </c>
      <c r="AE461" s="103">
        <v>30</v>
      </c>
      <c r="AF461" s="103">
        <v>1</v>
      </c>
      <c r="AG461" s="102">
        <v>21.6</v>
      </c>
      <c r="AH461" s="103">
        <v>31</v>
      </c>
      <c r="AI461" s="55">
        <v>19</v>
      </c>
      <c r="AJ461" s="103">
        <v>22</v>
      </c>
      <c r="AK461" s="103">
        <v>1</v>
      </c>
      <c r="AL461" s="52">
        <v>157.69999999999999</v>
      </c>
      <c r="AM461" s="103">
        <v>31</v>
      </c>
      <c r="AN461" s="52">
        <v>57.7</v>
      </c>
      <c r="AO461" s="103">
        <v>11</v>
      </c>
      <c r="AP461" s="103">
        <v>9</v>
      </c>
    </row>
    <row r="462" spans="25:42" x14ac:dyDescent="0.35">
      <c r="Y462" s="51" t="s">
        <v>29</v>
      </c>
      <c r="Z462" s="51" t="s">
        <v>2434</v>
      </c>
      <c r="AA462" s="51" t="s">
        <v>410</v>
      </c>
      <c r="AB462" s="102">
        <v>29.4</v>
      </c>
      <c r="AC462" s="103">
        <v>30</v>
      </c>
      <c r="AD462" s="55">
        <v>33.200000000000003</v>
      </c>
      <c r="AE462" s="103">
        <v>1</v>
      </c>
      <c r="AF462" s="103">
        <v>1</v>
      </c>
      <c r="AG462" s="102">
        <v>21.3</v>
      </c>
      <c r="AH462" s="103">
        <v>30</v>
      </c>
      <c r="AI462" s="55">
        <v>17.7</v>
      </c>
      <c r="AJ462" s="103">
        <v>27</v>
      </c>
      <c r="AK462" s="103">
        <v>1</v>
      </c>
      <c r="AL462" s="52">
        <v>295.60000000000002</v>
      </c>
      <c r="AM462" s="103">
        <v>30</v>
      </c>
      <c r="AN462" s="52">
        <v>70.099999999999994</v>
      </c>
      <c r="AO462" s="103">
        <v>3</v>
      </c>
      <c r="AP462" s="103">
        <v>12</v>
      </c>
    </row>
    <row r="463" spans="25:42" x14ac:dyDescent="0.35">
      <c r="Y463" s="51" t="s">
        <v>29</v>
      </c>
      <c r="Z463" s="51" t="s">
        <v>2434</v>
      </c>
      <c r="AA463" s="51" t="s">
        <v>112</v>
      </c>
      <c r="AB463" s="102">
        <v>32.299999999999997</v>
      </c>
      <c r="AC463" s="103">
        <v>31</v>
      </c>
      <c r="AD463" s="55">
        <v>34.1</v>
      </c>
      <c r="AE463" s="103">
        <v>28</v>
      </c>
      <c r="AF463" s="103">
        <v>1</v>
      </c>
      <c r="AG463" s="102">
        <v>17</v>
      </c>
      <c r="AH463" s="103">
        <v>31</v>
      </c>
      <c r="AI463" s="55">
        <v>11.6</v>
      </c>
      <c r="AJ463" s="103">
        <v>25</v>
      </c>
      <c r="AK463" s="103">
        <v>1</v>
      </c>
      <c r="AL463" s="52">
        <v>30</v>
      </c>
      <c r="AM463" s="103">
        <v>31</v>
      </c>
      <c r="AN463" s="52">
        <v>14.2</v>
      </c>
      <c r="AO463" s="103">
        <v>8</v>
      </c>
      <c r="AP463" s="103">
        <v>2</v>
      </c>
    </row>
    <row r="464" spans="25:42" x14ac:dyDescent="0.35">
      <c r="Y464" s="51" t="s">
        <v>29</v>
      </c>
      <c r="Z464" s="51" t="s">
        <v>2434</v>
      </c>
      <c r="AA464" s="51" t="s">
        <v>142</v>
      </c>
      <c r="AB464" s="102">
        <v>30.5</v>
      </c>
      <c r="AC464" s="103">
        <v>30</v>
      </c>
      <c r="AD464" s="55">
        <v>33.9</v>
      </c>
      <c r="AE464" s="103">
        <v>1</v>
      </c>
      <c r="AF464" s="103">
        <v>1</v>
      </c>
      <c r="AG464" s="102">
        <v>15.8</v>
      </c>
      <c r="AH464" s="103">
        <v>30</v>
      </c>
      <c r="AI464" s="55">
        <v>9.9</v>
      </c>
      <c r="AJ464" s="103">
        <v>27</v>
      </c>
      <c r="AK464" s="103">
        <v>1</v>
      </c>
      <c r="AL464" s="52">
        <v>0.5</v>
      </c>
      <c r="AM464" s="103">
        <v>30</v>
      </c>
      <c r="AN464" s="52">
        <v>0.3</v>
      </c>
      <c r="AO464" s="103">
        <v>21</v>
      </c>
      <c r="AP464" s="103">
        <v>0</v>
      </c>
    </row>
    <row r="465" spans="25:42" x14ac:dyDescent="0.35">
      <c r="Y465" s="51" t="s">
        <v>29</v>
      </c>
      <c r="Z465" s="51" t="s">
        <v>2434</v>
      </c>
      <c r="AA465" s="51" t="s">
        <v>30</v>
      </c>
      <c r="AB465" s="102">
        <v>30.6</v>
      </c>
      <c r="AC465" s="103">
        <v>31</v>
      </c>
      <c r="AD465" s="55">
        <v>32.4</v>
      </c>
      <c r="AE465" s="103">
        <v>28</v>
      </c>
      <c r="AF465" s="103">
        <v>1</v>
      </c>
      <c r="AG465" s="102">
        <v>13.9</v>
      </c>
      <c r="AH465" s="103">
        <v>31</v>
      </c>
      <c r="AI465" s="55">
        <v>8.6</v>
      </c>
      <c r="AJ465" s="103">
        <v>31</v>
      </c>
      <c r="AK465" s="103">
        <v>1</v>
      </c>
      <c r="AL465" s="52">
        <v>24.3</v>
      </c>
      <c r="AM465" s="103">
        <v>31</v>
      </c>
      <c r="AN465" s="52">
        <v>24.3</v>
      </c>
      <c r="AO465" s="103">
        <v>2</v>
      </c>
      <c r="AP465" s="103">
        <v>1</v>
      </c>
    </row>
    <row r="466" spans="25:42" x14ac:dyDescent="0.35">
      <c r="AB466" s="95"/>
      <c r="AD466" s="96">
        <f>MAX(AD106:AD465)</f>
        <v>42.5</v>
      </c>
      <c r="AG466" s="95"/>
      <c r="AI466" s="96">
        <f>MIN(AI91:AI105)</f>
        <v>2.8</v>
      </c>
      <c r="AL466" s="48"/>
      <c r="AN466" s="48"/>
    </row>
    <row r="467" spans="25:42" x14ac:dyDescent="0.35">
      <c r="AB467" s="95"/>
      <c r="AD467" s="96"/>
      <c r="AG467" s="95"/>
      <c r="AI467" s="96"/>
      <c r="AL467" s="48"/>
      <c r="AN467" s="48"/>
    </row>
    <row r="468" spans="25:42" x14ac:dyDescent="0.35">
      <c r="AB468" s="95"/>
      <c r="AD468" s="96"/>
      <c r="AG468" s="95"/>
      <c r="AI468" s="96"/>
      <c r="AL468" s="48"/>
      <c r="AN468" s="48"/>
    </row>
  </sheetData>
  <mergeCells count="28">
    <mergeCell ref="AB49:AD49"/>
    <mergeCell ref="AE49:AG49"/>
    <mergeCell ref="AH49:AJ49"/>
    <mergeCell ref="AK49:AM49"/>
    <mergeCell ref="AN49:AP49"/>
    <mergeCell ref="AQ49:AS49"/>
    <mergeCell ref="AN7:AP7"/>
    <mergeCell ref="AQ7:AS7"/>
    <mergeCell ref="H49:H50"/>
    <mergeCell ref="I49:I50"/>
    <mergeCell ref="J49:L49"/>
    <mergeCell ref="M49:O49"/>
    <mergeCell ref="P49:R49"/>
    <mergeCell ref="S49:U49"/>
    <mergeCell ref="V49:X49"/>
    <mergeCell ref="Y49:AA49"/>
    <mergeCell ref="V7:X7"/>
    <mergeCell ref="Y7:AA7"/>
    <mergeCell ref="AB7:AD7"/>
    <mergeCell ref="AE7:AG7"/>
    <mergeCell ref="AH7:AJ7"/>
    <mergeCell ref="AK7:AM7"/>
    <mergeCell ref="H7:H8"/>
    <mergeCell ref="I7:I8"/>
    <mergeCell ref="J7:L7"/>
    <mergeCell ref="M7:O7"/>
    <mergeCell ref="P7:R7"/>
    <mergeCell ref="S7:U7"/>
  </mergeCells>
  <conditionalFormatting sqref="B94:B96 B10:B12 B47:B49 B84:B86">
    <cfRule type="cellIs" dxfId="129" priority="63" stopIfTrue="1" operator="equal">
      <formula>TODAY()</formula>
    </cfRule>
  </conditionalFormatting>
  <conditionalFormatting sqref="B132">
    <cfRule type="cellIs" dxfId="128" priority="62" stopIfTrue="1" operator="equal">
      <formula>TODAY()</formula>
    </cfRule>
  </conditionalFormatting>
  <conditionalFormatting sqref="B132">
    <cfRule type="cellIs" dxfId="127" priority="61" stopIfTrue="1" operator="equal">
      <formula>TODAY()</formula>
    </cfRule>
  </conditionalFormatting>
  <conditionalFormatting sqref="B132">
    <cfRule type="cellIs" dxfId="126" priority="60" stopIfTrue="1" operator="equal">
      <formula>TODAY()</formula>
    </cfRule>
  </conditionalFormatting>
  <conditionalFormatting sqref="B133">
    <cfRule type="cellIs" dxfId="125" priority="59" stopIfTrue="1" operator="equal">
      <formula>TODAY()</formula>
    </cfRule>
  </conditionalFormatting>
  <conditionalFormatting sqref="B133">
    <cfRule type="cellIs" dxfId="124" priority="58" stopIfTrue="1" operator="equal">
      <formula>TODAY()</formula>
    </cfRule>
  </conditionalFormatting>
  <conditionalFormatting sqref="B133">
    <cfRule type="cellIs" dxfId="123" priority="57" stopIfTrue="1" operator="equal">
      <formula>TODAY()</formula>
    </cfRule>
  </conditionalFormatting>
  <conditionalFormatting sqref="B131">
    <cfRule type="cellIs" dxfId="122" priority="56" stopIfTrue="1" operator="equal">
      <formula>TODAY()</formula>
    </cfRule>
  </conditionalFormatting>
  <conditionalFormatting sqref="B131">
    <cfRule type="cellIs" dxfId="121" priority="55" stopIfTrue="1" operator="equal">
      <formula>TODAY()</formula>
    </cfRule>
  </conditionalFormatting>
  <conditionalFormatting sqref="B131">
    <cfRule type="cellIs" dxfId="120" priority="54" stopIfTrue="1" operator="equal">
      <formula>TODAY()</formula>
    </cfRule>
  </conditionalFormatting>
  <conditionalFormatting sqref="B132">
    <cfRule type="cellIs" dxfId="119" priority="53" stopIfTrue="1" operator="equal">
      <formula>TODAY()</formula>
    </cfRule>
  </conditionalFormatting>
  <conditionalFormatting sqref="B132">
    <cfRule type="cellIs" dxfId="118" priority="52" stopIfTrue="1" operator="equal">
      <formula>TODAY()</formula>
    </cfRule>
  </conditionalFormatting>
  <conditionalFormatting sqref="B132">
    <cfRule type="cellIs" dxfId="117" priority="51" stopIfTrue="1" operator="equal">
      <formula>TODAY()</formula>
    </cfRule>
  </conditionalFormatting>
  <conditionalFormatting sqref="B157">
    <cfRule type="cellIs" dxfId="116" priority="50" stopIfTrue="1" operator="equal">
      <formula>TODAY()</formula>
    </cfRule>
  </conditionalFormatting>
  <conditionalFormatting sqref="B157">
    <cfRule type="cellIs" dxfId="115" priority="49" stopIfTrue="1" operator="equal">
      <formula>TODAY()</formula>
    </cfRule>
  </conditionalFormatting>
  <conditionalFormatting sqref="B157">
    <cfRule type="cellIs" dxfId="114" priority="48" stopIfTrue="1" operator="equal">
      <formula>TODAY()</formula>
    </cfRule>
  </conditionalFormatting>
  <conditionalFormatting sqref="B158">
    <cfRule type="cellIs" dxfId="113" priority="47" stopIfTrue="1" operator="equal">
      <formula>TODAY()</formula>
    </cfRule>
  </conditionalFormatting>
  <conditionalFormatting sqref="B158">
    <cfRule type="cellIs" dxfId="112" priority="46" stopIfTrue="1" operator="equal">
      <formula>TODAY()</formula>
    </cfRule>
  </conditionalFormatting>
  <conditionalFormatting sqref="B158">
    <cfRule type="cellIs" dxfId="111" priority="45" stopIfTrue="1" operator="equal">
      <formula>TODAY()</formula>
    </cfRule>
  </conditionalFormatting>
  <conditionalFormatting sqref="B156">
    <cfRule type="cellIs" dxfId="110" priority="44" stopIfTrue="1" operator="equal">
      <formula>TODAY()</formula>
    </cfRule>
  </conditionalFormatting>
  <conditionalFormatting sqref="B156">
    <cfRule type="cellIs" dxfId="109" priority="43" stopIfTrue="1" operator="equal">
      <formula>TODAY()</formula>
    </cfRule>
  </conditionalFormatting>
  <conditionalFormatting sqref="B156">
    <cfRule type="cellIs" dxfId="108" priority="42" stopIfTrue="1" operator="equal">
      <formula>TODAY()</formula>
    </cfRule>
  </conditionalFormatting>
  <conditionalFormatting sqref="B157">
    <cfRule type="cellIs" dxfId="107" priority="41" stopIfTrue="1" operator="equal">
      <formula>TODAY()</formula>
    </cfRule>
  </conditionalFormatting>
  <conditionalFormatting sqref="B157">
    <cfRule type="cellIs" dxfId="106" priority="40" stopIfTrue="1" operator="equal">
      <formula>TODAY()</formula>
    </cfRule>
  </conditionalFormatting>
  <conditionalFormatting sqref="B157">
    <cfRule type="cellIs" dxfId="105" priority="39" stopIfTrue="1" operator="equal">
      <formula>TODAY()</formula>
    </cfRule>
  </conditionalFormatting>
  <conditionalFormatting sqref="B182">
    <cfRule type="cellIs" dxfId="104" priority="38" stopIfTrue="1" operator="equal">
      <formula>TODAY()</formula>
    </cfRule>
  </conditionalFormatting>
  <conditionalFormatting sqref="B182">
    <cfRule type="cellIs" dxfId="103" priority="37" stopIfTrue="1" operator="equal">
      <formula>TODAY()</formula>
    </cfRule>
  </conditionalFormatting>
  <conditionalFormatting sqref="B182">
    <cfRule type="cellIs" dxfId="102" priority="36" stopIfTrue="1" operator="equal">
      <formula>TODAY()</formula>
    </cfRule>
  </conditionalFormatting>
  <conditionalFormatting sqref="B183">
    <cfRule type="cellIs" dxfId="101" priority="35" stopIfTrue="1" operator="equal">
      <formula>TODAY()</formula>
    </cfRule>
  </conditionalFormatting>
  <conditionalFormatting sqref="B183">
    <cfRule type="cellIs" dxfId="100" priority="34" stopIfTrue="1" operator="equal">
      <formula>TODAY()</formula>
    </cfRule>
  </conditionalFormatting>
  <conditionalFormatting sqref="B183">
    <cfRule type="cellIs" dxfId="99" priority="33" stopIfTrue="1" operator="equal">
      <formula>TODAY()</formula>
    </cfRule>
  </conditionalFormatting>
  <conditionalFormatting sqref="B181">
    <cfRule type="cellIs" dxfId="98" priority="32" stopIfTrue="1" operator="equal">
      <formula>TODAY()</formula>
    </cfRule>
  </conditionalFormatting>
  <conditionalFormatting sqref="B181">
    <cfRule type="cellIs" dxfId="97" priority="31" stopIfTrue="1" operator="equal">
      <formula>TODAY()</formula>
    </cfRule>
  </conditionalFormatting>
  <conditionalFormatting sqref="B181">
    <cfRule type="cellIs" dxfId="96" priority="30" stopIfTrue="1" operator="equal">
      <formula>TODAY()</formula>
    </cfRule>
  </conditionalFormatting>
  <conditionalFormatting sqref="B182">
    <cfRule type="cellIs" dxfId="95" priority="29" stopIfTrue="1" operator="equal">
      <formula>TODAY()</formula>
    </cfRule>
  </conditionalFormatting>
  <conditionalFormatting sqref="B182">
    <cfRule type="cellIs" dxfId="94" priority="28" stopIfTrue="1" operator="equal">
      <formula>TODAY()</formula>
    </cfRule>
  </conditionalFormatting>
  <conditionalFormatting sqref="B182">
    <cfRule type="cellIs" dxfId="93" priority="27" stopIfTrue="1" operator="equal">
      <formula>TODAY()</formula>
    </cfRule>
  </conditionalFormatting>
  <conditionalFormatting sqref="B207">
    <cfRule type="cellIs" dxfId="92" priority="26" stopIfTrue="1" operator="equal">
      <formula>TODAY()</formula>
    </cfRule>
  </conditionalFormatting>
  <conditionalFormatting sqref="B207">
    <cfRule type="cellIs" dxfId="91" priority="25" stopIfTrue="1" operator="equal">
      <formula>TODAY()</formula>
    </cfRule>
  </conditionalFormatting>
  <conditionalFormatting sqref="B207">
    <cfRule type="cellIs" dxfId="90" priority="24" stopIfTrue="1" operator="equal">
      <formula>TODAY()</formula>
    </cfRule>
  </conditionalFormatting>
  <conditionalFormatting sqref="B208">
    <cfRule type="cellIs" dxfId="89" priority="23" stopIfTrue="1" operator="equal">
      <formula>TODAY()</formula>
    </cfRule>
  </conditionalFormatting>
  <conditionalFormatting sqref="B208">
    <cfRule type="cellIs" dxfId="88" priority="22" stopIfTrue="1" operator="equal">
      <formula>TODAY()</formula>
    </cfRule>
  </conditionalFormatting>
  <conditionalFormatting sqref="B208">
    <cfRule type="cellIs" dxfId="87" priority="21" stopIfTrue="1" operator="equal">
      <formula>TODAY()</formula>
    </cfRule>
  </conditionalFormatting>
  <conditionalFormatting sqref="B206">
    <cfRule type="cellIs" dxfId="86" priority="20" stopIfTrue="1" operator="equal">
      <formula>TODAY()</formula>
    </cfRule>
  </conditionalFormatting>
  <conditionalFormatting sqref="B206">
    <cfRule type="cellIs" dxfId="85" priority="19" stopIfTrue="1" operator="equal">
      <formula>TODAY()</formula>
    </cfRule>
  </conditionalFormatting>
  <conditionalFormatting sqref="B206">
    <cfRule type="cellIs" dxfId="84" priority="18" stopIfTrue="1" operator="equal">
      <formula>TODAY()</formula>
    </cfRule>
  </conditionalFormatting>
  <conditionalFormatting sqref="B207">
    <cfRule type="cellIs" dxfId="83" priority="17" stopIfTrue="1" operator="equal">
      <formula>TODAY()</formula>
    </cfRule>
  </conditionalFormatting>
  <conditionalFormatting sqref="B207">
    <cfRule type="cellIs" dxfId="82" priority="16" stopIfTrue="1" operator="equal">
      <formula>TODAY()</formula>
    </cfRule>
  </conditionalFormatting>
  <conditionalFormatting sqref="B207">
    <cfRule type="cellIs" dxfId="81" priority="15" stopIfTrue="1" operator="equal">
      <formula>TODAY()</formula>
    </cfRule>
  </conditionalFormatting>
  <conditionalFormatting sqref="B232">
    <cfRule type="cellIs" dxfId="80" priority="14" stopIfTrue="1" operator="equal">
      <formula>TODAY()</formula>
    </cfRule>
  </conditionalFormatting>
  <conditionalFormatting sqref="B232">
    <cfRule type="cellIs" dxfId="79" priority="13" stopIfTrue="1" operator="equal">
      <formula>TODAY()</formula>
    </cfRule>
  </conditionalFormatting>
  <conditionalFormatting sqref="B232">
    <cfRule type="cellIs" dxfId="78" priority="12" stopIfTrue="1" operator="equal">
      <formula>TODAY()</formula>
    </cfRule>
  </conditionalFormatting>
  <conditionalFormatting sqref="B233">
    <cfRule type="cellIs" dxfId="77" priority="11" stopIfTrue="1" operator="equal">
      <formula>TODAY()</formula>
    </cfRule>
  </conditionalFormatting>
  <conditionalFormatting sqref="B233">
    <cfRule type="cellIs" dxfId="76" priority="10" stopIfTrue="1" operator="equal">
      <formula>TODAY()</formula>
    </cfRule>
  </conditionalFormatting>
  <conditionalFormatting sqref="B233">
    <cfRule type="cellIs" dxfId="75" priority="9" stopIfTrue="1" operator="equal">
      <formula>TODAY()</formula>
    </cfRule>
  </conditionalFormatting>
  <conditionalFormatting sqref="B231">
    <cfRule type="cellIs" dxfId="74" priority="8" stopIfTrue="1" operator="equal">
      <formula>TODAY()</formula>
    </cfRule>
  </conditionalFormatting>
  <conditionalFormatting sqref="B231">
    <cfRule type="cellIs" dxfId="73" priority="7" stopIfTrue="1" operator="equal">
      <formula>TODAY()</formula>
    </cfRule>
  </conditionalFormatting>
  <conditionalFormatting sqref="B231">
    <cfRule type="cellIs" dxfId="72" priority="6" stopIfTrue="1" operator="equal">
      <formula>TODAY()</formula>
    </cfRule>
  </conditionalFormatting>
  <conditionalFormatting sqref="B232">
    <cfRule type="cellIs" dxfId="71" priority="5" stopIfTrue="1" operator="equal">
      <formula>TODAY()</formula>
    </cfRule>
  </conditionalFormatting>
  <conditionalFormatting sqref="B232">
    <cfRule type="cellIs" dxfId="70" priority="4" stopIfTrue="1" operator="equal">
      <formula>TODAY()</formula>
    </cfRule>
  </conditionalFormatting>
  <conditionalFormatting sqref="B232">
    <cfRule type="cellIs" dxfId="69" priority="3" stopIfTrue="1" operator="equal">
      <formula>TODAY()</formula>
    </cfRule>
  </conditionalFormatting>
  <conditionalFormatting sqref="U41 Z27">
    <cfRule type="cellIs" dxfId="68" priority="2" stopIfTrue="1" operator="equal">
      <formula>TODAY()</formula>
    </cfRule>
  </conditionalFormatting>
  <conditionalFormatting sqref="AI7:AI41">
    <cfRule type="cellIs" dxfId="67" priority="1" stopIfTrue="1" operator="equal">
      <formula>TODAY()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AT199"/>
  <sheetViews>
    <sheetView topLeftCell="A28" zoomScale="69" zoomScaleNormal="69" workbookViewId="0">
      <selection activeCell="D4" sqref="D4:U4"/>
    </sheetView>
  </sheetViews>
  <sheetFormatPr defaultRowHeight="14.5" x14ac:dyDescent="0.35"/>
  <cols>
    <col min="2" max="2" width="3.81640625" customWidth="1"/>
    <col min="3" max="3" width="9.1796875" hidden="1" customWidth="1"/>
    <col min="4" max="4" width="19" customWidth="1"/>
    <col min="5" max="5" width="21.81640625" bestFit="1" customWidth="1"/>
    <col min="6" max="6" width="19" customWidth="1"/>
    <col min="7" max="7" width="16.81640625" customWidth="1"/>
    <col min="8" max="8" width="18.453125" customWidth="1"/>
    <col min="9" max="10" width="17.453125" customWidth="1"/>
    <col min="11" max="11" width="16.453125" customWidth="1"/>
    <col min="12" max="12" width="14.453125" customWidth="1"/>
    <col min="13" max="13" width="11.26953125" customWidth="1"/>
    <col min="14" max="15" width="13.453125" customWidth="1"/>
    <col min="16" max="16" width="13.1796875" bestFit="1" customWidth="1"/>
    <col min="17" max="17" width="18.453125" customWidth="1"/>
    <col min="18" max="18" width="14.7265625" customWidth="1"/>
    <col min="19" max="19" width="16.1796875" customWidth="1"/>
    <col min="25" max="25" width="12.81640625" customWidth="1"/>
  </cols>
  <sheetData>
    <row r="4" spans="4:39" ht="18.5" x14ac:dyDescent="0.35">
      <c r="D4" s="132" t="s">
        <v>2483</v>
      </c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 t="s">
        <v>2400</v>
      </c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</row>
    <row r="6" spans="4:39" ht="55.5" x14ac:dyDescent="0.45">
      <c r="D6" s="106" t="s">
        <v>2476</v>
      </c>
      <c r="E6" s="107" t="s">
        <v>2477</v>
      </c>
      <c r="F6" s="116" t="s">
        <v>2478</v>
      </c>
      <c r="G6" s="116" t="s">
        <v>2479</v>
      </c>
      <c r="H6" s="106" t="s">
        <v>2476</v>
      </c>
      <c r="I6" s="116" t="s">
        <v>2477</v>
      </c>
      <c r="J6" s="116" t="s">
        <v>2478</v>
      </c>
      <c r="K6" s="107" t="s">
        <v>2479</v>
      </c>
      <c r="L6" s="106" t="s">
        <v>2476</v>
      </c>
      <c r="M6" s="116" t="s">
        <v>2477</v>
      </c>
      <c r="N6" s="116" t="s">
        <v>2478</v>
      </c>
      <c r="O6" s="116" t="s">
        <v>2479</v>
      </c>
      <c r="P6" s="117" t="s">
        <v>2476</v>
      </c>
      <c r="Q6" s="116" t="s">
        <v>2477</v>
      </c>
      <c r="R6" s="116" t="s">
        <v>2478</v>
      </c>
      <c r="S6" s="116" t="s">
        <v>2479</v>
      </c>
    </row>
    <row r="7" spans="4:39" x14ac:dyDescent="0.35">
      <c r="D7" s="108">
        <v>41640</v>
      </c>
      <c r="E7" s="109">
        <v>29.3</v>
      </c>
      <c r="F7" s="109">
        <v>12.5</v>
      </c>
      <c r="G7" s="109">
        <v>0</v>
      </c>
      <c r="H7" s="108">
        <v>41671</v>
      </c>
      <c r="I7" s="109">
        <v>29.2</v>
      </c>
      <c r="J7" s="109">
        <v>11.3</v>
      </c>
      <c r="K7" s="109">
        <v>0</v>
      </c>
      <c r="L7" s="108">
        <v>41699</v>
      </c>
      <c r="M7" s="109">
        <v>29.1</v>
      </c>
      <c r="N7" s="109">
        <v>8.9</v>
      </c>
      <c r="O7" s="109">
        <v>0</v>
      </c>
      <c r="P7" s="108">
        <v>41730</v>
      </c>
      <c r="Q7" s="109">
        <v>38.799999999999997</v>
      </c>
      <c r="R7" s="109">
        <v>18.5</v>
      </c>
      <c r="S7" s="109">
        <v>0</v>
      </c>
    </row>
    <row r="8" spans="4:39" x14ac:dyDescent="0.35">
      <c r="D8" s="108">
        <v>41641</v>
      </c>
      <c r="E8" s="109">
        <v>28.8</v>
      </c>
      <c r="F8" s="109">
        <v>13.6</v>
      </c>
      <c r="G8" s="109">
        <v>0</v>
      </c>
      <c r="H8" s="108">
        <v>41672</v>
      </c>
      <c r="I8" s="109">
        <v>29.3</v>
      </c>
      <c r="J8" s="109">
        <v>11.9</v>
      </c>
      <c r="K8" s="109">
        <v>0</v>
      </c>
      <c r="L8" s="108">
        <v>41700</v>
      </c>
      <c r="M8" s="109">
        <v>28.9</v>
      </c>
      <c r="N8" s="109">
        <v>8.6</v>
      </c>
      <c r="O8" s="109">
        <v>0</v>
      </c>
      <c r="P8" s="108">
        <v>41731</v>
      </c>
      <c r="Q8" s="109">
        <v>36.6</v>
      </c>
      <c r="R8" s="109">
        <v>17.399999999999999</v>
      </c>
      <c r="S8" s="109">
        <v>0</v>
      </c>
    </row>
    <row r="9" spans="4:39" x14ac:dyDescent="0.35">
      <c r="D9" s="108">
        <v>41642</v>
      </c>
      <c r="E9" s="109">
        <v>28.8</v>
      </c>
      <c r="F9" s="109">
        <v>12</v>
      </c>
      <c r="G9" s="109">
        <v>0</v>
      </c>
      <c r="H9" s="108">
        <v>41673</v>
      </c>
      <c r="I9" s="109">
        <v>29.3</v>
      </c>
      <c r="J9" s="109">
        <v>12.4</v>
      </c>
      <c r="K9" s="109">
        <v>0</v>
      </c>
      <c r="L9" s="108">
        <v>41701</v>
      </c>
      <c r="M9" s="109">
        <v>29.4</v>
      </c>
      <c r="N9" s="109">
        <v>10.6</v>
      </c>
      <c r="O9" s="109">
        <v>0</v>
      </c>
      <c r="P9" s="108">
        <v>41732</v>
      </c>
      <c r="Q9" s="109">
        <v>35.799999999999997</v>
      </c>
      <c r="R9" s="109">
        <v>15.7</v>
      </c>
      <c r="S9" s="109">
        <v>0</v>
      </c>
    </row>
    <row r="10" spans="4:39" x14ac:dyDescent="0.35">
      <c r="D10" s="108">
        <v>41643</v>
      </c>
      <c r="E10" s="109">
        <v>28.9</v>
      </c>
      <c r="F10" s="109">
        <v>12.4</v>
      </c>
      <c r="G10" s="109">
        <v>0</v>
      </c>
      <c r="H10" s="108">
        <v>41674</v>
      </c>
      <c r="I10" s="109">
        <v>31.3</v>
      </c>
      <c r="J10" s="109">
        <v>12.4</v>
      </c>
      <c r="K10" s="109">
        <v>0</v>
      </c>
      <c r="L10" s="108">
        <v>41702</v>
      </c>
      <c r="M10" s="109">
        <v>30.4</v>
      </c>
      <c r="N10" s="109">
        <v>15.4</v>
      </c>
      <c r="O10" s="109">
        <v>0</v>
      </c>
      <c r="P10" s="108">
        <v>41733</v>
      </c>
      <c r="Q10" s="109">
        <v>37.1</v>
      </c>
      <c r="R10" s="109">
        <v>19.399999999999999</v>
      </c>
      <c r="S10" s="109">
        <v>0</v>
      </c>
    </row>
    <row r="11" spans="4:39" x14ac:dyDescent="0.35">
      <c r="D11" s="108">
        <v>41644</v>
      </c>
      <c r="E11" s="109">
        <v>30.7</v>
      </c>
      <c r="F11" s="109">
        <v>12.9</v>
      </c>
      <c r="G11" s="109">
        <v>0</v>
      </c>
      <c r="H11" s="108">
        <v>41675</v>
      </c>
      <c r="I11" s="109">
        <v>32.299999999999997</v>
      </c>
      <c r="J11" s="109">
        <v>13.3</v>
      </c>
      <c r="K11" s="109">
        <v>0</v>
      </c>
      <c r="L11" s="108">
        <v>41703</v>
      </c>
      <c r="M11" s="109">
        <v>29.8</v>
      </c>
      <c r="N11" s="109">
        <v>18</v>
      </c>
      <c r="O11" s="109">
        <v>0</v>
      </c>
      <c r="P11" s="108">
        <v>41734</v>
      </c>
      <c r="Q11" s="109">
        <v>38.6</v>
      </c>
      <c r="R11" s="109">
        <v>18.899999999999999</v>
      </c>
      <c r="S11" s="109">
        <v>0</v>
      </c>
    </row>
    <row r="12" spans="4:39" x14ac:dyDescent="0.35">
      <c r="D12" s="108">
        <v>41645</v>
      </c>
      <c r="E12" s="109">
        <v>29.7</v>
      </c>
      <c r="F12" s="109">
        <v>10.3</v>
      </c>
      <c r="G12" s="109">
        <v>0</v>
      </c>
      <c r="H12" s="108">
        <v>41676</v>
      </c>
      <c r="I12" s="109">
        <v>32.299999999999997</v>
      </c>
      <c r="J12" s="109">
        <v>12.5</v>
      </c>
      <c r="K12" s="109">
        <v>0</v>
      </c>
      <c r="L12" s="108">
        <v>41704</v>
      </c>
      <c r="M12" s="109">
        <v>30</v>
      </c>
      <c r="N12" s="109">
        <v>14.1</v>
      </c>
      <c r="O12" s="109">
        <v>0</v>
      </c>
      <c r="P12" s="108">
        <v>41735</v>
      </c>
      <c r="Q12" s="109">
        <v>39.4</v>
      </c>
      <c r="R12" s="109">
        <v>22.4</v>
      </c>
      <c r="S12" s="109">
        <v>0</v>
      </c>
    </row>
    <row r="13" spans="4:39" x14ac:dyDescent="0.35">
      <c r="D13" s="108">
        <v>41646</v>
      </c>
      <c r="E13" s="109">
        <v>29.1</v>
      </c>
      <c r="F13" s="109">
        <v>11.2</v>
      </c>
      <c r="G13" s="109">
        <v>0</v>
      </c>
      <c r="H13" s="108">
        <v>41677</v>
      </c>
      <c r="I13" s="109">
        <v>34</v>
      </c>
      <c r="J13" s="109">
        <v>11</v>
      </c>
      <c r="K13" s="109">
        <v>0</v>
      </c>
      <c r="L13" s="108">
        <v>41705</v>
      </c>
      <c r="M13" s="109">
        <v>29.7</v>
      </c>
      <c r="N13" s="109">
        <v>15.5</v>
      </c>
      <c r="O13" s="109">
        <v>0</v>
      </c>
      <c r="P13" s="108">
        <v>41736</v>
      </c>
      <c r="Q13" s="109">
        <v>38.299999999999997</v>
      </c>
      <c r="R13" s="109">
        <v>24.3</v>
      </c>
      <c r="S13" s="109">
        <v>0</v>
      </c>
    </row>
    <row r="14" spans="4:39" x14ac:dyDescent="0.35">
      <c r="D14" s="108">
        <v>41647</v>
      </c>
      <c r="E14" s="109">
        <v>29.5</v>
      </c>
      <c r="F14" s="109">
        <v>12.4</v>
      </c>
      <c r="G14" s="109">
        <v>0</v>
      </c>
      <c r="H14" s="108">
        <v>41678</v>
      </c>
      <c r="I14" s="109">
        <v>33.799999999999997</v>
      </c>
      <c r="J14" s="109">
        <v>11.4</v>
      </c>
      <c r="K14" s="109">
        <v>0</v>
      </c>
      <c r="L14" s="108">
        <v>41706</v>
      </c>
      <c r="M14" s="109">
        <v>32.799999999999997</v>
      </c>
      <c r="N14" s="109">
        <v>16.3</v>
      </c>
      <c r="O14" s="109">
        <v>0</v>
      </c>
      <c r="P14" s="108">
        <v>41737</v>
      </c>
      <c r="Q14" s="109">
        <v>38.5</v>
      </c>
      <c r="R14" s="109">
        <v>24.2</v>
      </c>
      <c r="S14" s="109">
        <v>0</v>
      </c>
    </row>
    <row r="15" spans="4:39" x14ac:dyDescent="0.35">
      <c r="D15" s="108">
        <v>41648</v>
      </c>
      <c r="E15" s="109">
        <v>30.8</v>
      </c>
      <c r="F15" s="109">
        <v>12.5</v>
      </c>
      <c r="G15" s="109">
        <v>0</v>
      </c>
      <c r="H15" s="108">
        <v>41679</v>
      </c>
      <c r="I15" s="109">
        <v>32.6</v>
      </c>
      <c r="J15" s="109">
        <v>8.5</v>
      </c>
      <c r="K15" s="109">
        <v>0</v>
      </c>
      <c r="L15" s="108">
        <v>41707</v>
      </c>
      <c r="M15" s="109">
        <v>33.299999999999997</v>
      </c>
      <c r="N15" s="109">
        <v>18.7</v>
      </c>
      <c r="O15" s="109">
        <v>0</v>
      </c>
      <c r="P15" s="108">
        <v>41738</v>
      </c>
      <c r="Q15" s="109">
        <v>37.1</v>
      </c>
      <c r="R15" s="109">
        <v>19.399999999999999</v>
      </c>
      <c r="S15" s="109">
        <v>0</v>
      </c>
    </row>
    <row r="16" spans="4:39" x14ac:dyDescent="0.35">
      <c r="D16" s="108">
        <v>41649</v>
      </c>
      <c r="E16" s="109">
        <v>30.8</v>
      </c>
      <c r="F16" s="109">
        <v>12.4</v>
      </c>
      <c r="G16" s="109">
        <v>0</v>
      </c>
      <c r="H16" s="108">
        <v>41680</v>
      </c>
      <c r="I16" s="109">
        <v>30.3</v>
      </c>
      <c r="J16" s="109">
        <v>7.8</v>
      </c>
      <c r="K16" s="109">
        <v>0</v>
      </c>
      <c r="L16" s="108">
        <v>41708</v>
      </c>
      <c r="M16" s="109">
        <v>31.3</v>
      </c>
      <c r="N16" s="109">
        <v>16.600000000000001</v>
      </c>
      <c r="O16" s="109">
        <v>2</v>
      </c>
      <c r="P16" s="108">
        <v>41739</v>
      </c>
      <c r="Q16" s="109">
        <v>37</v>
      </c>
      <c r="R16" s="109">
        <v>17.7</v>
      </c>
      <c r="S16" s="109">
        <v>0</v>
      </c>
    </row>
    <row r="17" spans="4:19" x14ac:dyDescent="0.35">
      <c r="D17" s="108">
        <v>41650</v>
      </c>
      <c r="E17" s="109">
        <v>30.7</v>
      </c>
      <c r="F17" s="109">
        <v>7.1</v>
      </c>
      <c r="G17" s="109">
        <v>0</v>
      </c>
      <c r="H17" s="108">
        <v>41681</v>
      </c>
      <c r="I17" s="109">
        <v>30.1</v>
      </c>
      <c r="J17" s="109">
        <v>9.4</v>
      </c>
      <c r="K17" s="109">
        <v>0</v>
      </c>
      <c r="L17" s="108">
        <v>41709</v>
      </c>
      <c r="M17" s="109">
        <v>33</v>
      </c>
      <c r="N17" s="109">
        <v>14.7</v>
      </c>
      <c r="O17" s="109">
        <v>0</v>
      </c>
      <c r="P17" s="108">
        <v>41740</v>
      </c>
      <c r="Q17" s="109">
        <v>37.5</v>
      </c>
      <c r="R17" s="109">
        <v>17.3</v>
      </c>
      <c r="S17" s="109">
        <v>0</v>
      </c>
    </row>
    <row r="18" spans="4:19" x14ac:dyDescent="0.35">
      <c r="D18" s="108">
        <v>41651</v>
      </c>
      <c r="E18" s="109">
        <v>30</v>
      </c>
      <c r="F18" s="109">
        <v>9.4</v>
      </c>
      <c r="G18" s="109">
        <v>0</v>
      </c>
      <c r="H18" s="108">
        <v>41682</v>
      </c>
      <c r="I18" s="109">
        <v>30.6</v>
      </c>
      <c r="J18" s="109">
        <v>9.9</v>
      </c>
      <c r="K18" s="109">
        <v>0</v>
      </c>
      <c r="L18" s="108">
        <v>41710</v>
      </c>
      <c r="M18" s="109">
        <v>33.799999999999997</v>
      </c>
      <c r="N18" s="109">
        <v>17.2</v>
      </c>
      <c r="O18" s="109">
        <v>0</v>
      </c>
      <c r="P18" s="108">
        <v>41741</v>
      </c>
      <c r="Q18" s="109">
        <v>36.5</v>
      </c>
      <c r="R18" s="109">
        <v>15.7</v>
      </c>
      <c r="S18" s="109">
        <v>0</v>
      </c>
    </row>
    <row r="19" spans="4:19" x14ac:dyDescent="0.35">
      <c r="D19" s="108">
        <v>41652</v>
      </c>
      <c r="E19" s="109">
        <v>30.4</v>
      </c>
      <c r="F19" s="109">
        <v>12.9</v>
      </c>
      <c r="G19" s="109">
        <v>0</v>
      </c>
      <c r="H19" s="108">
        <v>41683</v>
      </c>
      <c r="I19" s="109">
        <v>31.3</v>
      </c>
      <c r="J19" s="109">
        <v>13</v>
      </c>
      <c r="K19" s="109">
        <v>0</v>
      </c>
      <c r="L19" s="108">
        <v>41711</v>
      </c>
      <c r="M19" s="109">
        <v>34.1</v>
      </c>
      <c r="N19" s="109">
        <v>17</v>
      </c>
      <c r="O19" s="109">
        <v>0.2</v>
      </c>
      <c r="P19" s="108">
        <v>41742</v>
      </c>
      <c r="Q19" s="109">
        <v>36.700000000000003</v>
      </c>
      <c r="R19" s="109">
        <v>14.7</v>
      </c>
      <c r="S19" s="109">
        <v>0</v>
      </c>
    </row>
    <row r="20" spans="4:19" x14ac:dyDescent="0.35">
      <c r="D20" s="108">
        <v>41653</v>
      </c>
      <c r="E20" s="109">
        <v>31.3</v>
      </c>
      <c r="F20" s="109">
        <v>16.100000000000001</v>
      </c>
      <c r="G20" s="109">
        <v>0</v>
      </c>
      <c r="H20" s="108">
        <v>41684</v>
      </c>
      <c r="I20" s="109">
        <v>28.2</v>
      </c>
      <c r="J20" s="109">
        <v>15.1</v>
      </c>
      <c r="K20" s="109">
        <v>0</v>
      </c>
      <c r="L20" s="108">
        <v>41712</v>
      </c>
      <c r="M20" s="109">
        <v>33.799999999999997</v>
      </c>
      <c r="N20" s="109">
        <v>16.8</v>
      </c>
      <c r="O20" s="109">
        <v>1.4</v>
      </c>
      <c r="P20" s="108">
        <v>41743</v>
      </c>
      <c r="Q20" s="109">
        <v>38.1</v>
      </c>
      <c r="R20" s="109">
        <v>16.899999999999999</v>
      </c>
      <c r="S20" s="109">
        <v>0</v>
      </c>
    </row>
    <row r="21" spans="4:19" x14ac:dyDescent="0.35">
      <c r="D21" s="108">
        <v>41654</v>
      </c>
      <c r="E21" s="109">
        <v>30.2</v>
      </c>
      <c r="F21" s="109">
        <v>13.5</v>
      </c>
      <c r="G21" s="109">
        <v>0</v>
      </c>
      <c r="H21" s="108">
        <v>41685</v>
      </c>
      <c r="I21" s="109">
        <v>26.9</v>
      </c>
      <c r="J21" s="109">
        <v>10.6</v>
      </c>
      <c r="K21" s="109">
        <v>0</v>
      </c>
      <c r="L21" s="108">
        <v>41713</v>
      </c>
      <c r="M21" s="109">
        <v>35.4</v>
      </c>
      <c r="N21" s="109">
        <v>17.3</v>
      </c>
      <c r="O21" s="109">
        <v>0</v>
      </c>
      <c r="P21" s="108">
        <v>41744</v>
      </c>
      <c r="Q21" s="109">
        <v>38.299999999999997</v>
      </c>
      <c r="R21" s="109">
        <v>19.2</v>
      </c>
      <c r="S21" s="109">
        <v>0</v>
      </c>
    </row>
    <row r="22" spans="4:19" x14ac:dyDescent="0.35">
      <c r="D22" s="108">
        <v>41655</v>
      </c>
      <c r="E22" s="109">
        <v>30.6</v>
      </c>
      <c r="F22" s="109">
        <v>12.8</v>
      </c>
      <c r="G22" s="109">
        <v>0</v>
      </c>
      <c r="H22" s="108">
        <v>41686</v>
      </c>
      <c r="I22" s="109">
        <v>27.5</v>
      </c>
      <c r="J22" s="109">
        <v>10.1</v>
      </c>
      <c r="K22" s="109">
        <v>0</v>
      </c>
      <c r="L22" s="108">
        <v>41714</v>
      </c>
      <c r="M22" s="109">
        <v>35.6</v>
      </c>
      <c r="N22" s="109">
        <v>17.8</v>
      </c>
      <c r="O22" s="109">
        <v>0</v>
      </c>
      <c r="P22" s="108">
        <v>41745</v>
      </c>
      <c r="Q22" s="109">
        <v>38.6</v>
      </c>
      <c r="R22" s="109">
        <v>22</v>
      </c>
      <c r="S22" s="109">
        <v>0</v>
      </c>
    </row>
    <row r="23" spans="4:19" x14ac:dyDescent="0.35">
      <c r="D23" s="108">
        <v>41656</v>
      </c>
      <c r="E23" s="109">
        <v>30.2</v>
      </c>
      <c r="F23" s="109">
        <v>11.7</v>
      </c>
      <c r="G23" s="109">
        <v>0</v>
      </c>
      <c r="H23" s="108">
        <v>41687</v>
      </c>
      <c r="I23" s="109">
        <v>27.1</v>
      </c>
      <c r="J23" s="109">
        <v>8.8000000000000007</v>
      </c>
      <c r="K23" s="109">
        <v>0</v>
      </c>
      <c r="L23" s="108">
        <v>41715</v>
      </c>
      <c r="M23" s="109">
        <v>36</v>
      </c>
      <c r="N23" s="109">
        <v>19.8</v>
      </c>
      <c r="O23" s="109">
        <v>0</v>
      </c>
      <c r="P23" s="108">
        <v>41746</v>
      </c>
      <c r="Q23" s="109">
        <v>39.1</v>
      </c>
      <c r="R23" s="109">
        <v>23.4</v>
      </c>
      <c r="S23" s="109">
        <v>0</v>
      </c>
    </row>
    <row r="24" spans="4:19" x14ac:dyDescent="0.35">
      <c r="D24" s="108">
        <v>41657</v>
      </c>
      <c r="E24" s="109">
        <v>29.6</v>
      </c>
      <c r="F24" s="109">
        <v>9.9</v>
      </c>
      <c r="G24" s="109">
        <v>0</v>
      </c>
      <c r="H24" s="108">
        <v>41688</v>
      </c>
      <c r="I24" s="109">
        <v>27.3</v>
      </c>
      <c r="J24" s="109">
        <v>8.1</v>
      </c>
      <c r="K24" s="109">
        <v>0</v>
      </c>
      <c r="L24" s="108">
        <v>41716</v>
      </c>
      <c r="M24" s="109">
        <v>35.200000000000003</v>
      </c>
      <c r="N24" s="109">
        <v>22</v>
      </c>
      <c r="O24" s="109">
        <v>0</v>
      </c>
      <c r="P24" s="108">
        <v>41747</v>
      </c>
      <c r="Q24" s="109">
        <v>38.700000000000003</v>
      </c>
      <c r="R24" s="109">
        <v>21.9</v>
      </c>
      <c r="S24" s="109">
        <v>0</v>
      </c>
    </row>
    <row r="25" spans="4:19" x14ac:dyDescent="0.35">
      <c r="D25" s="108">
        <v>41658</v>
      </c>
      <c r="E25" s="109">
        <v>27.6</v>
      </c>
      <c r="F25" s="109">
        <v>10.7</v>
      </c>
      <c r="G25" s="109">
        <v>0</v>
      </c>
      <c r="H25" s="108">
        <v>41689</v>
      </c>
      <c r="I25" s="109">
        <v>29.2</v>
      </c>
      <c r="J25" s="109">
        <v>10.3</v>
      </c>
      <c r="K25" s="109">
        <v>0</v>
      </c>
      <c r="L25" s="108">
        <v>41717</v>
      </c>
      <c r="M25" s="109">
        <v>36</v>
      </c>
      <c r="N25" s="109">
        <v>18.899999999999999</v>
      </c>
      <c r="O25" s="109">
        <v>0</v>
      </c>
      <c r="P25" s="108">
        <v>41748</v>
      </c>
      <c r="Q25" s="109">
        <v>38.5</v>
      </c>
      <c r="R25" s="109">
        <v>21.8</v>
      </c>
      <c r="S25" s="109">
        <v>0</v>
      </c>
    </row>
    <row r="26" spans="4:19" x14ac:dyDescent="0.35">
      <c r="D26" s="108">
        <v>41659</v>
      </c>
      <c r="E26" s="109">
        <v>30.2</v>
      </c>
      <c r="F26" s="109">
        <v>11.8</v>
      </c>
      <c r="G26" s="109">
        <v>0</v>
      </c>
      <c r="H26" s="108">
        <v>41690</v>
      </c>
      <c r="I26" s="109">
        <v>32.5</v>
      </c>
      <c r="J26" s="109">
        <v>13.6</v>
      </c>
      <c r="K26" s="109">
        <v>0</v>
      </c>
      <c r="L26" s="108">
        <v>41718</v>
      </c>
      <c r="M26" s="109">
        <v>36.799999999999997</v>
      </c>
      <c r="N26" s="109">
        <v>17.5</v>
      </c>
      <c r="O26" s="109">
        <v>0</v>
      </c>
      <c r="P26" s="108">
        <v>41749</v>
      </c>
      <c r="Q26" s="109">
        <v>38.700000000000003</v>
      </c>
      <c r="R26" s="109">
        <v>20.9</v>
      </c>
      <c r="S26" s="109">
        <v>0</v>
      </c>
    </row>
    <row r="27" spans="4:19" x14ac:dyDescent="0.35">
      <c r="D27" s="108">
        <v>41660</v>
      </c>
      <c r="E27" s="109">
        <v>31.1</v>
      </c>
      <c r="F27" s="109">
        <v>18</v>
      </c>
      <c r="G27" s="109">
        <v>0</v>
      </c>
      <c r="H27" s="108">
        <v>41691</v>
      </c>
      <c r="I27" s="109">
        <v>33.1</v>
      </c>
      <c r="J27" s="109">
        <v>18.600000000000001</v>
      </c>
      <c r="K27" s="109">
        <v>0</v>
      </c>
      <c r="L27" s="108">
        <v>41719</v>
      </c>
      <c r="M27" s="109">
        <v>37.299999999999997</v>
      </c>
      <c r="N27" s="109">
        <v>16.899999999999999</v>
      </c>
      <c r="O27" s="109">
        <v>0</v>
      </c>
      <c r="P27" s="108">
        <v>41750</v>
      </c>
      <c r="Q27" s="109">
        <v>37.299999999999997</v>
      </c>
      <c r="R27" s="109">
        <v>20.9</v>
      </c>
      <c r="S27" s="109">
        <v>0</v>
      </c>
    </row>
    <row r="28" spans="4:19" x14ac:dyDescent="0.35">
      <c r="D28" s="108">
        <v>41661</v>
      </c>
      <c r="E28" s="109">
        <v>28.6</v>
      </c>
      <c r="F28" s="109">
        <v>14.9</v>
      </c>
      <c r="G28" s="109">
        <v>0</v>
      </c>
      <c r="H28" s="108">
        <v>41692</v>
      </c>
      <c r="I28" s="109">
        <v>29</v>
      </c>
      <c r="J28" s="109">
        <v>14</v>
      </c>
      <c r="K28" s="109">
        <v>0</v>
      </c>
      <c r="L28" s="108">
        <v>41720</v>
      </c>
      <c r="M28" s="109">
        <v>36</v>
      </c>
      <c r="N28" s="109">
        <v>15</v>
      </c>
      <c r="O28" s="109">
        <v>0</v>
      </c>
      <c r="P28" s="108">
        <v>41751</v>
      </c>
      <c r="Q28" s="109">
        <v>37.9</v>
      </c>
      <c r="R28" s="109">
        <v>20.399999999999999</v>
      </c>
      <c r="S28" s="109">
        <v>6</v>
      </c>
    </row>
    <row r="29" spans="4:19" x14ac:dyDescent="0.35">
      <c r="D29" s="108">
        <v>41662</v>
      </c>
      <c r="E29" s="109">
        <v>30</v>
      </c>
      <c r="F29" s="109">
        <v>15.7</v>
      </c>
      <c r="G29" s="109">
        <v>0</v>
      </c>
      <c r="H29" s="108">
        <v>41693</v>
      </c>
      <c r="I29" s="109">
        <v>31</v>
      </c>
      <c r="J29" s="109">
        <v>14.9</v>
      </c>
      <c r="K29" s="109">
        <v>0</v>
      </c>
      <c r="L29" s="108">
        <v>41721</v>
      </c>
      <c r="M29" s="109">
        <v>34.9</v>
      </c>
      <c r="N29" s="109">
        <v>14.1</v>
      </c>
      <c r="O29" s="109">
        <v>0</v>
      </c>
      <c r="P29" s="108">
        <v>41752</v>
      </c>
      <c r="Q29" s="109">
        <v>37.5</v>
      </c>
      <c r="R29" s="109">
        <v>23.8</v>
      </c>
      <c r="S29" s="109">
        <v>0</v>
      </c>
    </row>
    <row r="30" spans="4:19" x14ac:dyDescent="0.35">
      <c r="D30" s="108">
        <v>41663</v>
      </c>
      <c r="E30" s="109">
        <v>29.1</v>
      </c>
      <c r="F30" s="109">
        <v>16.5</v>
      </c>
      <c r="G30" s="109">
        <v>0</v>
      </c>
      <c r="H30" s="108">
        <v>41694</v>
      </c>
      <c r="I30" s="109">
        <v>31.6</v>
      </c>
      <c r="J30" s="109">
        <v>16.2</v>
      </c>
      <c r="K30" s="109">
        <v>0</v>
      </c>
      <c r="L30" s="108">
        <v>41722</v>
      </c>
      <c r="M30" s="109">
        <v>37.299999999999997</v>
      </c>
      <c r="N30" s="109">
        <v>16.899999999999999</v>
      </c>
      <c r="O30" s="109">
        <v>0</v>
      </c>
      <c r="P30" s="108">
        <v>41753</v>
      </c>
      <c r="Q30" s="109">
        <v>38.299999999999997</v>
      </c>
      <c r="R30" s="109">
        <v>23.2</v>
      </c>
      <c r="S30" s="109">
        <v>0</v>
      </c>
    </row>
    <row r="31" spans="4:19" x14ac:dyDescent="0.35">
      <c r="D31" s="108">
        <v>41664</v>
      </c>
      <c r="E31" s="109">
        <v>29.2</v>
      </c>
      <c r="F31" s="109">
        <v>14.8</v>
      </c>
      <c r="G31" s="109">
        <v>0.1</v>
      </c>
      <c r="H31" s="108">
        <v>41695</v>
      </c>
      <c r="I31" s="109">
        <v>32.700000000000003</v>
      </c>
      <c r="J31" s="109">
        <v>16.2</v>
      </c>
      <c r="K31" s="109">
        <v>0</v>
      </c>
      <c r="L31" s="108">
        <v>41723</v>
      </c>
      <c r="M31" s="109">
        <v>36.9</v>
      </c>
      <c r="N31" s="109">
        <v>16.3</v>
      </c>
      <c r="O31" s="109">
        <v>0</v>
      </c>
      <c r="P31" s="108">
        <v>41754</v>
      </c>
      <c r="Q31" s="109">
        <v>38.9</v>
      </c>
      <c r="R31" s="109">
        <v>19.600000000000001</v>
      </c>
      <c r="S31" s="109">
        <v>0</v>
      </c>
    </row>
    <row r="32" spans="4:19" x14ac:dyDescent="0.35">
      <c r="D32" s="108">
        <v>41665</v>
      </c>
      <c r="E32" s="109">
        <v>29.9</v>
      </c>
      <c r="F32" s="109">
        <v>14.3</v>
      </c>
      <c r="G32" s="109">
        <v>0</v>
      </c>
      <c r="H32" s="108">
        <v>41696</v>
      </c>
      <c r="I32" s="109">
        <v>33.4</v>
      </c>
      <c r="J32" s="109">
        <v>17</v>
      </c>
      <c r="K32" s="109">
        <v>0</v>
      </c>
      <c r="L32" s="108">
        <v>41724</v>
      </c>
      <c r="M32" s="109">
        <v>35.9</v>
      </c>
      <c r="N32" s="109">
        <v>17.399999999999999</v>
      </c>
      <c r="O32" s="109">
        <v>0</v>
      </c>
      <c r="P32" s="108">
        <v>41755</v>
      </c>
      <c r="Q32" s="109">
        <v>39.6</v>
      </c>
      <c r="R32" s="109">
        <v>19</v>
      </c>
      <c r="S32" s="109">
        <v>0</v>
      </c>
    </row>
    <row r="33" spans="4:21" x14ac:dyDescent="0.35">
      <c r="D33" s="108">
        <v>41666</v>
      </c>
      <c r="E33" s="109">
        <v>29.6</v>
      </c>
      <c r="F33" s="109">
        <v>14.8</v>
      </c>
      <c r="G33" s="109">
        <v>0</v>
      </c>
      <c r="H33" s="108">
        <v>41697</v>
      </c>
      <c r="I33" s="109">
        <v>32.299999999999997</v>
      </c>
      <c r="J33" s="109">
        <v>18.600000000000001</v>
      </c>
      <c r="K33" s="109">
        <v>0</v>
      </c>
      <c r="L33" s="108">
        <v>41725</v>
      </c>
      <c r="M33" s="109">
        <v>37.299999999999997</v>
      </c>
      <c r="N33" s="109">
        <v>18.899999999999999</v>
      </c>
      <c r="O33" s="109">
        <v>0</v>
      </c>
      <c r="P33" s="108">
        <v>41756</v>
      </c>
      <c r="Q33" s="109">
        <v>40.299999999999997</v>
      </c>
      <c r="R33" s="109">
        <v>22.6</v>
      </c>
      <c r="S33" s="109">
        <v>0</v>
      </c>
    </row>
    <row r="34" spans="4:21" x14ac:dyDescent="0.35">
      <c r="D34" s="108">
        <v>41667</v>
      </c>
      <c r="E34" s="109">
        <v>28.6</v>
      </c>
      <c r="F34" s="109">
        <v>9.9</v>
      </c>
      <c r="G34" s="109">
        <v>0</v>
      </c>
      <c r="H34" s="108">
        <v>41698</v>
      </c>
      <c r="I34" s="109">
        <v>31.7</v>
      </c>
      <c r="J34" s="109">
        <v>17.899999999999999</v>
      </c>
      <c r="K34" s="109">
        <v>0</v>
      </c>
      <c r="L34" s="108">
        <v>41726</v>
      </c>
      <c r="M34" s="109">
        <v>38.299999999999997</v>
      </c>
      <c r="N34" s="109">
        <v>18.399999999999999</v>
      </c>
      <c r="O34" s="109">
        <v>0</v>
      </c>
      <c r="P34" s="108">
        <v>41757</v>
      </c>
      <c r="Q34" s="109">
        <v>39.799999999999997</v>
      </c>
      <c r="R34" s="109">
        <v>23.2</v>
      </c>
      <c r="S34" s="109">
        <v>0</v>
      </c>
    </row>
    <row r="35" spans="4:21" x14ac:dyDescent="0.35">
      <c r="D35" s="108">
        <v>41668</v>
      </c>
      <c r="E35" s="109">
        <v>29</v>
      </c>
      <c r="F35" s="109">
        <v>8.6999999999999993</v>
      </c>
      <c r="G35" s="109">
        <v>0</v>
      </c>
      <c r="H35" s="108"/>
      <c r="K35" s="109">
        <f>SUM(K7:K34)</f>
        <v>0</v>
      </c>
      <c r="L35" s="108">
        <v>41727</v>
      </c>
      <c r="M35" s="109">
        <v>37.9</v>
      </c>
      <c r="N35" s="109">
        <v>18.3</v>
      </c>
      <c r="O35" s="109">
        <v>0</v>
      </c>
      <c r="P35" s="108">
        <v>41758</v>
      </c>
      <c r="Q35" s="109">
        <v>40.1</v>
      </c>
      <c r="R35" s="109">
        <v>23.4</v>
      </c>
      <c r="S35" s="109">
        <v>0</v>
      </c>
    </row>
    <row r="36" spans="4:21" x14ac:dyDescent="0.35">
      <c r="D36" s="108">
        <v>41669</v>
      </c>
      <c r="E36" s="109">
        <v>29.1</v>
      </c>
      <c r="F36" s="109">
        <v>11</v>
      </c>
      <c r="G36" s="109">
        <v>0</v>
      </c>
      <c r="H36" s="108"/>
      <c r="I36" s="109"/>
      <c r="J36" s="109"/>
      <c r="L36" s="108">
        <v>41728</v>
      </c>
      <c r="M36" s="109">
        <v>37.9</v>
      </c>
      <c r="N36" s="109">
        <v>18.2</v>
      </c>
      <c r="O36" s="109">
        <v>0</v>
      </c>
      <c r="P36" s="108">
        <v>41759</v>
      </c>
      <c r="Q36" s="109">
        <v>40.6</v>
      </c>
      <c r="R36" s="109">
        <v>25.6</v>
      </c>
      <c r="S36" s="109">
        <v>0</v>
      </c>
    </row>
    <row r="37" spans="4:21" x14ac:dyDescent="0.35">
      <c r="D37" s="108">
        <v>41670</v>
      </c>
      <c r="E37" s="109">
        <v>29.6</v>
      </c>
      <c r="F37" s="109">
        <v>11.6</v>
      </c>
      <c r="G37" s="109">
        <v>0</v>
      </c>
      <c r="H37" s="108"/>
      <c r="I37" s="109"/>
      <c r="J37" s="109"/>
      <c r="K37" s="109"/>
      <c r="L37" s="108">
        <v>41729</v>
      </c>
      <c r="M37" s="109">
        <v>38.4</v>
      </c>
      <c r="N37" s="109">
        <v>18.8</v>
      </c>
      <c r="O37" s="109">
        <v>0</v>
      </c>
      <c r="P37" s="108"/>
      <c r="Q37" s="109"/>
      <c r="R37" s="109"/>
    </row>
    <row r="39" spans="4:21" x14ac:dyDescent="0.35">
      <c r="E39" s="115">
        <f>MAX(E7:E37)</f>
        <v>31.3</v>
      </c>
      <c r="F39" s="119">
        <f>MIN(F7:F37)</f>
        <v>7.1</v>
      </c>
      <c r="G39" s="112">
        <f>SUM(G7:G37)</f>
        <v>0.1</v>
      </c>
      <c r="I39" s="118">
        <f>MAX(I7:I34)</f>
        <v>34</v>
      </c>
      <c r="J39" s="109">
        <f>MIN(J7:J34)</f>
        <v>7.8</v>
      </c>
      <c r="K39" s="111">
        <f>SUM(K35)</f>
        <v>0</v>
      </c>
      <c r="M39" s="115">
        <f>MAX(M7:M38)</f>
        <v>38.4</v>
      </c>
      <c r="N39" s="48">
        <f>MIN(N7:N38)</f>
        <v>8.6</v>
      </c>
      <c r="O39" s="112">
        <f>SUM(O7:O37)</f>
        <v>3.6</v>
      </c>
      <c r="Q39" s="115">
        <f>MAX(Q7:Q38)</f>
        <v>40.6</v>
      </c>
      <c r="R39" s="48">
        <f>MIN(R7:R38)</f>
        <v>14.7</v>
      </c>
      <c r="S39" s="111">
        <f>SUM(S7:S36)</f>
        <v>6</v>
      </c>
      <c r="T39" s="48"/>
      <c r="U39" s="48"/>
    </row>
    <row r="70" spans="4:19" ht="18.5" x14ac:dyDescent="0.45">
      <c r="D70" s="106" t="s">
        <v>2476</v>
      </c>
      <c r="E70" s="107" t="s">
        <v>2477</v>
      </c>
      <c r="F70" s="107" t="s">
        <v>2478</v>
      </c>
      <c r="G70" s="107" t="s">
        <v>2479</v>
      </c>
      <c r="H70" s="106" t="s">
        <v>2476</v>
      </c>
      <c r="I70" s="107" t="s">
        <v>2477</v>
      </c>
      <c r="J70" s="107" t="s">
        <v>2478</v>
      </c>
      <c r="K70" s="107" t="s">
        <v>2479</v>
      </c>
      <c r="L70" s="106" t="s">
        <v>2476</v>
      </c>
      <c r="M70" s="107" t="s">
        <v>2477</v>
      </c>
      <c r="N70" s="107" t="s">
        <v>2478</v>
      </c>
      <c r="O70" s="107" t="s">
        <v>2479</v>
      </c>
      <c r="P70" s="106" t="s">
        <v>2476</v>
      </c>
      <c r="Q70" s="107" t="s">
        <v>2477</v>
      </c>
      <c r="R70" s="107" t="s">
        <v>2478</v>
      </c>
      <c r="S70" s="107" t="s">
        <v>2479</v>
      </c>
    </row>
    <row r="71" spans="4:19" x14ac:dyDescent="0.35">
      <c r="D71" s="108">
        <v>41760</v>
      </c>
      <c r="E71" s="109">
        <v>40.700000000000003</v>
      </c>
      <c r="F71" s="109">
        <v>22.6</v>
      </c>
      <c r="G71" s="109">
        <v>0.2</v>
      </c>
      <c r="H71" s="108">
        <v>41791</v>
      </c>
      <c r="I71" s="109">
        <v>37.200000000000003</v>
      </c>
      <c r="J71" s="109">
        <v>22.5</v>
      </c>
      <c r="K71" s="109">
        <v>0</v>
      </c>
      <c r="L71" s="108">
        <v>41821</v>
      </c>
      <c r="M71" s="109">
        <v>34.4</v>
      </c>
      <c r="N71" s="109">
        <v>23.6</v>
      </c>
      <c r="O71" s="109">
        <v>0</v>
      </c>
      <c r="P71" s="108">
        <v>41852</v>
      </c>
      <c r="Q71" s="109">
        <v>24</v>
      </c>
      <c r="R71" s="109">
        <v>21.9</v>
      </c>
      <c r="S71" s="109">
        <v>11.1</v>
      </c>
    </row>
    <row r="72" spans="4:19" x14ac:dyDescent="0.35">
      <c r="D72" s="108">
        <v>41761</v>
      </c>
      <c r="E72" s="109">
        <v>40.4</v>
      </c>
      <c r="F72" s="109">
        <v>24.9</v>
      </c>
      <c r="G72" s="109">
        <v>0</v>
      </c>
      <c r="H72" s="108">
        <v>41792</v>
      </c>
      <c r="I72" s="109">
        <v>39.200000000000003</v>
      </c>
      <c r="J72" s="109">
        <v>23.7</v>
      </c>
      <c r="K72" s="109">
        <v>0</v>
      </c>
      <c r="L72" s="108">
        <v>41822</v>
      </c>
      <c r="M72" s="109">
        <v>33.200000000000003</v>
      </c>
      <c r="N72" s="109">
        <v>23</v>
      </c>
      <c r="O72" s="109">
        <v>0</v>
      </c>
      <c r="P72" s="108">
        <v>41853</v>
      </c>
      <c r="Q72" s="109">
        <v>28.1</v>
      </c>
      <c r="R72" s="109">
        <v>22.2</v>
      </c>
      <c r="S72" s="109">
        <v>2.5</v>
      </c>
    </row>
    <row r="73" spans="4:19" x14ac:dyDescent="0.35">
      <c r="D73" s="108">
        <v>41762</v>
      </c>
      <c r="E73" s="109">
        <v>39</v>
      </c>
      <c r="F73" s="109">
        <v>23.8</v>
      </c>
      <c r="G73" s="109">
        <v>0</v>
      </c>
      <c r="H73" s="108">
        <v>41793</v>
      </c>
      <c r="I73" s="109">
        <v>40.4</v>
      </c>
      <c r="J73" s="109">
        <v>26.4</v>
      </c>
      <c r="K73" s="109">
        <v>0</v>
      </c>
      <c r="L73" s="108">
        <v>41823</v>
      </c>
      <c r="M73" s="109">
        <v>31.1</v>
      </c>
      <c r="N73" s="109">
        <v>22.6</v>
      </c>
      <c r="O73" s="109">
        <v>0</v>
      </c>
      <c r="P73" s="108">
        <v>41854</v>
      </c>
      <c r="Q73" s="109">
        <v>27.9</v>
      </c>
      <c r="R73" s="109">
        <v>22.1</v>
      </c>
      <c r="S73" s="109">
        <v>3.9</v>
      </c>
    </row>
    <row r="74" spans="4:19" x14ac:dyDescent="0.35">
      <c r="D74" s="108">
        <v>41763</v>
      </c>
      <c r="E74" s="109">
        <v>39.299999999999997</v>
      </c>
      <c r="F74" s="109">
        <v>20.7</v>
      </c>
      <c r="G74" s="109">
        <v>0.5</v>
      </c>
      <c r="H74" s="108">
        <v>41794</v>
      </c>
      <c r="I74" s="109">
        <v>35.1</v>
      </c>
      <c r="J74" s="109">
        <v>25.5</v>
      </c>
      <c r="K74" s="109">
        <v>0</v>
      </c>
      <c r="L74" s="108">
        <v>41824</v>
      </c>
      <c r="M74" s="109">
        <v>30.8</v>
      </c>
      <c r="N74" s="109">
        <v>22.5</v>
      </c>
      <c r="O74" s="109">
        <v>0.4</v>
      </c>
      <c r="P74" s="108">
        <v>41855</v>
      </c>
      <c r="Q74" s="109">
        <v>28.9</v>
      </c>
      <c r="R74" s="109">
        <v>22</v>
      </c>
      <c r="S74" s="109">
        <v>13.6</v>
      </c>
    </row>
    <row r="75" spans="4:19" x14ac:dyDescent="0.35">
      <c r="D75" s="108">
        <v>41764</v>
      </c>
      <c r="E75" s="109">
        <v>38.4</v>
      </c>
      <c r="F75" s="109">
        <v>18.7</v>
      </c>
      <c r="G75" s="109">
        <v>0</v>
      </c>
      <c r="H75" s="108">
        <v>41795</v>
      </c>
      <c r="I75" s="109">
        <v>35.799999999999997</v>
      </c>
      <c r="J75" s="109">
        <v>21.4</v>
      </c>
      <c r="K75" s="109">
        <v>5.2</v>
      </c>
      <c r="L75" s="108">
        <v>41825</v>
      </c>
      <c r="M75" s="109">
        <v>30.8</v>
      </c>
      <c r="N75" s="109">
        <v>23.4</v>
      </c>
      <c r="O75" s="109">
        <v>0.3</v>
      </c>
      <c r="P75" s="108">
        <v>41856</v>
      </c>
      <c r="Q75" s="109">
        <v>25.1</v>
      </c>
      <c r="R75" s="109">
        <v>21.4</v>
      </c>
      <c r="S75" s="109">
        <v>40.9</v>
      </c>
    </row>
    <row r="76" spans="4:19" x14ac:dyDescent="0.35">
      <c r="D76" s="108">
        <v>41765</v>
      </c>
      <c r="E76" s="109">
        <v>38.6</v>
      </c>
      <c r="F76" s="109">
        <v>22.9</v>
      </c>
      <c r="G76" s="109">
        <v>0</v>
      </c>
      <c r="H76" s="108">
        <v>41796</v>
      </c>
      <c r="I76" s="109">
        <v>32.799999999999997</v>
      </c>
      <c r="J76" s="109">
        <v>24.5</v>
      </c>
      <c r="K76" s="109">
        <v>0.5</v>
      </c>
      <c r="L76" s="108">
        <v>41826</v>
      </c>
      <c r="M76" s="109">
        <v>32.4</v>
      </c>
      <c r="N76" s="109">
        <v>23.9</v>
      </c>
      <c r="O76" s="109">
        <v>0</v>
      </c>
      <c r="P76" s="108">
        <v>41857</v>
      </c>
      <c r="Q76" s="109">
        <v>27.3</v>
      </c>
      <c r="R76" s="109">
        <v>21.6</v>
      </c>
      <c r="S76" s="109">
        <v>5.3</v>
      </c>
    </row>
    <row r="77" spans="4:19" x14ac:dyDescent="0.35">
      <c r="D77" s="108">
        <v>41766</v>
      </c>
      <c r="E77" s="109">
        <v>40.200000000000003</v>
      </c>
      <c r="F77" s="109">
        <v>24.3</v>
      </c>
      <c r="G77" s="109">
        <v>0</v>
      </c>
      <c r="H77" s="108">
        <v>41797</v>
      </c>
      <c r="I77" s="109">
        <v>37.1</v>
      </c>
      <c r="J77" s="109">
        <v>25.5</v>
      </c>
      <c r="K77" s="109">
        <v>0</v>
      </c>
      <c r="L77" s="108">
        <v>41827</v>
      </c>
      <c r="M77" s="109">
        <v>34.299999999999997</v>
      </c>
      <c r="N77" s="109">
        <v>24.3</v>
      </c>
      <c r="O77" s="109">
        <v>0</v>
      </c>
      <c r="P77" s="108">
        <v>41858</v>
      </c>
      <c r="Q77" s="109">
        <v>26.8</v>
      </c>
      <c r="R77" s="109">
        <v>21.6</v>
      </c>
      <c r="S77" s="109">
        <v>5.5</v>
      </c>
    </row>
    <row r="78" spans="4:19" x14ac:dyDescent="0.35">
      <c r="D78" s="108">
        <v>41767</v>
      </c>
      <c r="E78" s="109">
        <v>37</v>
      </c>
      <c r="F78" s="109">
        <v>23.9</v>
      </c>
      <c r="G78" s="109">
        <v>0</v>
      </c>
      <c r="H78" s="108">
        <v>41798</v>
      </c>
      <c r="I78" s="109">
        <v>37.5</v>
      </c>
      <c r="J78" s="109">
        <v>24.4</v>
      </c>
      <c r="K78" s="109">
        <v>0</v>
      </c>
      <c r="L78" s="108">
        <v>41828</v>
      </c>
      <c r="M78" s="109">
        <v>33</v>
      </c>
      <c r="N78" s="109">
        <v>23.7</v>
      </c>
      <c r="O78" s="109">
        <v>0</v>
      </c>
      <c r="P78" s="108">
        <v>41859</v>
      </c>
      <c r="Q78" s="109">
        <v>28</v>
      </c>
      <c r="R78" s="109">
        <v>20.9</v>
      </c>
      <c r="S78" s="109">
        <v>1.3</v>
      </c>
    </row>
    <row r="79" spans="4:19" x14ac:dyDescent="0.35">
      <c r="D79" s="108">
        <v>41768</v>
      </c>
      <c r="E79" s="109">
        <v>36.5</v>
      </c>
      <c r="F79" s="109">
        <v>24.4</v>
      </c>
      <c r="G79" s="109">
        <v>0</v>
      </c>
      <c r="H79" s="108">
        <v>41799</v>
      </c>
      <c r="I79" s="109">
        <v>37.4</v>
      </c>
      <c r="J79" s="109">
        <v>26.1</v>
      </c>
      <c r="K79" s="109">
        <v>0</v>
      </c>
      <c r="L79" s="108">
        <v>41829</v>
      </c>
      <c r="M79" s="109">
        <v>33</v>
      </c>
      <c r="N79" s="109">
        <v>23.6</v>
      </c>
      <c r="O79" s="109">
        <v>0</v>
      </c>
      <c r="P79" s="108">
        <v>41860</v>
      </c>
      <c r="Q79" s="109">
        <v>27.6</v>
      </c>
      <c r="R79" s="109">
        <v>20.8</v>
      </c>
      <c r="S79" s="109">
        <v>1.9</v>
      </c>
    </row>
    <row r="80" spans="4:19" x14ac:dyDescent="0.35">
      <c r="D80" s="108">
        <v>41769</v>
      </c>
      <c r="E80" s="109">
        <v>36.1</v>
      </c>
      <c r="F80" s="109">
        <v>22.4</v>
      </c>
      <c r="G80" s="109">
        <v>3.5</v>
      </c>
      <c r="H80" s="108">
        <v>41800</v>
      </c>
      <c r="I80" s="109">
        <v>34.1</v>
      </c>
      <c r="J80" s="109">
        <v>22.3</v>
      </c>
      <c r="K80" s="109">
        <v>3.6</v>
      </c>
      <c r="L80" s="108">
        <v>41830</v>
      </c>
      <c r="M80" s="109">
        <v>32.6</v>
      </c>
      <c r="N80" s="109">
        <v>23.6</v>
      </c>
      <c r="O80" s="109">
        <v>0</v>
      </c>
      <c r="P80" s="108">
        <v>41861</v>
      </c>
      <c r="Q80" s="109">
        <v>28.4</v>
      </c>
      <c r="R80" s="109">
        <v>21.4</v>
      </c>
      <c r="S80" s="109">
        <v>0.4</v>
      </c>
    </row>
    <row r="81" spans="4:19" x14ac:dyDescent="0.35">
      <c r="D81" s="108">
        <v>41770</v>
      </c>
      <c r="E81" s="109">
        <v>35.1</v>
      </c>
      <c r="F81" s="109">
        <v>19.5</v>
      </c>
      <c r="G81" s="109">
        <v>0</v>
      </c>
      <c r="H81" s="108">
        <v>41801</v>
      </c>
      <c r="I81" s="109">
        <v>37.1</v>
      </c>
      <c r="J81" s="109">
        <v>25</v>
      </c>
      <c r="K81" s="109">
        <v>0.8</v>
      </c>
      <c r="L81" s="108">
        <v>41831</v>
      </c>
      <c r="M81" s="109">
        <v>29.3</v>
      </c>
      <c r="N81" s="109">
        <v>21.4</v>
      </c>
      <c r="O81" s="109">
        <v>5.8</v>
      </c>
      <c r="P81" s="108">
        <v>41862</v>
      </c>
      <c r="Q81" s="109">
        <v>28.6</v>
      </c>
      <c r="R81" s="109">
        <v>21</v>
      </c>
      <c r="S81" s="109">
        <v>0.5</v>
      </c>
    </row>
    <row r="82" spans="4:19" x14ac:dyDescent="0.35">
      <c r="D82" s="108">
        <v>41771</v>
      </c>
      <c r="E82" s="109">
        <v>35.9</v>
      </c>
      <c r="F82" s="109">
        <v>20.9</v>
      </c>
      <c r="G82" s="109">
        <v>0</v>
      </c>
      <c r="H82" s="108">
        <v>41802</v>
      </c>
      <c r="I82" s="109">
        <v>35</v>
      </c>
      <c r="J82" s="109">
        <v>22.9</v>
      </c>
      <c r="K82" s="109">
        <v>0</v>
      </c>
      <c r="L82" s="108">
        <v>41832</v>
      </c>
      <c r="M82" s="109">
        <v>30</v>
      </c>
      <c r="N82" s="109">
        <v>21.1</v>
      </c>
      <c r="O82" s="109">
        <v>4.8</v>
      </c>
      <c r="P82" s="108">
        <v>41863</v>
      </c>
      <c r="Q82" s="109">
        <v>28.2</v>
      </c>
      <c r="R82" s="109">
        <v>21</v>
      </c>
      <c r="S82" s="109">
        <v>0.3</v>
      </c>
    </row>
    <row r="83" spans="4:19" x14ac:dyDescent="0.35">
      <c r="D83" s="108">
        <v>41772</v>
      </c>
      <c r="E83" s="109">
        <v>35.9</v>
      </c>
      <c r="F83" s="109">
        <v>21.4</v>
      </c>
      <c r="G83" s="109">
        <v>0</v>
      </c>
      <c r="H83" s="108">
        <v>41803</v>
      </c>
      <c r="I83" s="109">
        <v>34.299999999999997</v>
      </c>
      <c r="J83" s="109">
        <v>24.1</v>
      </c>
      <c r="K83" s="109">
        <v>0</v>
      </c>
      <c r="L83" s="108">
        <v>41833</v>
      </c>
      <c r="M83" s="109">
        <v>27.6</v>
      </c>
      <c r="N83" s="109">
        <v>21.2</v>
      </c>
      <c r="O83" s="109">
        <v>5.3</v>
      </c>
      <c r="P83" s="108">
        <v>41864</v>
      </c>
      <c r="Q83" s="109">
        <v>29.8</v>
      </c>
      <c r="R83" s="109">
        <v>21.4</v>
      </c>
      <c r="S83" s="109">
        <v>0</v>
      </c>
    </row>
    <row r="84" spans="4:19" x14ac:dyDescent="0.35">
      <c r="D84" s="108">
        <v>41773</v>
      </c>
      <c r="E84" s="109">
        <v>36.1</v>
      </c>
      <c r="F84" s="109">
        <v>21.2</v>
      </c>
      <c r="G84" s="109">
        <v>0</v>
      </c>
      <c r="H84" s="108">
        <v>41804</v>
      </c>
      <c r="I84" s="109">
        <v>34.6</v>
      </c>
      <c r="J84" s="109">
        <v>24</v>
      </c>
      <c r="K84" s="109">
        <v>0</v>
      </c>
      <c r="L84" s="108">
        <v>41834</v>
      </c>
      <c r="M84" s="109">
        <v>30.1</v>
      </c>
      <c r="N84" s="109">
        <v>22.5</v>
      </c>
      <c r="O84" s="109">
        <v>0.2</v>
      </c>
      <c r="P84" s="108">
        <v>41865</v>
      </c>
      <c r="Q84" s="109">
        <v>28.8</v>
      </c>
      <c r="R84" s="109">
        <v>21.5</v>
      </c>
      <c r="S84" s="109">
        <v>0</v>
      </c>
    </row>
    <row r="85" spans="4:19" x14ac:dyDescent="0.35">
      <c r="D85" s="108">
        <v>41774</v>
      </c>
      <c r="E85" s="109">
        <v>36</v>
      </c>
      <c r="F85" s="109">
        <v>21.4</v>
      </c>
      <c r="G85" s="109">
        <v>1.8</v>
      </c>
      <c r="H85" s="108">
        <v>41805</v>
      </c>
      <c r="I85" s="109">
        <v>33</v>
      </c>
      <c r="J85" s="109">
        <v>23.2</v>
      </c>
      <c r="K85" s="109">
        <v>0</v>
      </c>
      <c r="L85" s="108">
        <v>41835</v>
      </c>
      <c r="M85" s="109">
        <v>30.3</v>
      </c>
      <c r="N85" s="109">
        <v>22.3</v>
      </c>
      <c r="O85" s="109">
        <v>0.6</v>
      </c>
      <c r="P85" s="108">
        <v>41866</v>
      </c>
      <c r="Q85" s="109">
        <v>29.4</v>
      </c>
      <c r="R85" s="109">
        <v>21.4</v>
      </c>
      <c r="S85" s="109">
        <v>1.2</v>
      </c>
    </row>
    <row r="86" spans="4:19" x14ac:dyDescent="0.35">
      <c r="D86" s="108">
        <v>41775</v>
      </c>
      <c r="E86" s="109">
        <v>35.799999999999997</v>
      </c>
      <c r="F86" s="109">
        <v>21.9</v>
      </c>
      <c r="G86" s="109">
        <v>0</v>
      </c>
      <c r="H86" s="108">
        <v>41806</v>
      </c>
      <c r="I86" s="109">
        <v>32.4</v>
      </c>
      <c r="J86" s="109">
        <v>24.4</v>
      </c>
      <c r="K86" s="109">
        <v>1.8</v>
      </c>
      <c r="L86" s="108">
        <v>41836</v>
      </c>
      <c r="M86" s="109">
        <v>28.8</v>
      </c>
      <c r="N86" s="109">
        <v>22</v>
      </c>
      <c r="O86" s="109">
        <v>5.6</v>
      </c>
      <c r="P86" s="108">
        <v>41867</v>
      </c>
      <c r="Q86" s="109">
        <v>28.5</v>
      </c>
      <c r="R86" s="109">
        <v>21.2</v>
      </c>
      <c r="S86" s="109">
        <v>1.1000000000000001</v>
      </c>
    </row>
    <row r="87" spans="4:19" x14ac:dyDescent="0.35">
      <c r="D87" s="108">
        <v>41776</v>
      </c>
      <c r="E87" s="109">
        <v>37.1</v>
      </c>
      <c r="F87" s="109">
        <v>21.7</v>
      </c>
      <c r="G87" s="109">
        <v>0</v>
      </c>
      <c r="H87" s="108">
        <v>41807</v>
      </c>
      <c r="I87" s="109">
        <v>31.1</v>
      </c>
      <c r="J87" s="109">
        <v>23.1</v>
      </c>
      <c r="K87" s="109">
        <v>1.7</v>
      </c>
      <c r="L87" s="108">
        <v>41837</v>
      </c>
      <c r="M87" s="109">
        <v>27</v>
      </c>
      <c r="N87" s="109">
        <v>22.6</v>
      </c>
      <c r="O87" s="109">
        <v>6.9</v>
      </c>
      <c r="P87" s="108">
        <v>41868</v>
      </c>
      <c r="Q87" s="109">
        <v>27.8</v>
      </c>
      <c r="R87" s="109">
        <v>21</v>
      </c>
      <c r="S87" s="109">
        <v>2.8</v>
      </c>
    </row>
    <row r="88" spans="4:19" x14ac:dyDescent="0.35">
      <c r="D88" s="108">
        <v>41777</v>
      </c>
      <c r="E88" s="109">
        <v>37.9</v>
      </c>
      <c r="F88" s="109">
        <v>24.9</v>
      </c>
      <c r="G88" s="109">
        <v>0</v>
      </c>
      <c r="H88" s="108">
        <v>41808</v>
      </c>
      <c r="I88" s="109">
        <v>31.8</v>
      </c>
      <c r="J88" s="109">
        <v>22.3</v>
      </c>
      <c r="K88" s="109">
        <v>0</v>
      </c>
      <c r="L88" s="108">
        <v>41838</v>
      </c>
      <c r="M88" s="109">
        <v>28.3</v>
      </c>
      <c r="N88" s="109">
        <v>22.3</v>
      </c>
      <c r="O88" s="109">
        <v>12</v>
      </c>
      <c r="P88" s="108">
        <v>41869</v>
      </c>
      <c r="Q88" s="109">
        <v>28.9</v>
      </c>
      <c r="R88" s="109">
        <v>21.1</v>
      </c>
      <c r="S88" s="109">
        <v>0</v>
      </c>
    </row>
    <row r="89" spans="4:19" x14ac:dyDescent="0.35">
      <c r="D89" s="108">
        <v>41778</v>
      </c>
      <c r="E89" s="109">
        <v>38.4</v>
      </c>
      <c r="F89" s="109">
        <v>24.2</v>
      </c>
      <c r="G89" s="109">
        <v>0</v>
      </c>
      <c r="H89" s="108">
        <v>41809</v>
      </c>
      <c r="I89" s="109">
        <v>32.700000000000003</v>
      </c>
      <c r="J89" s="109">
        <v>23.5</v>
      </c>
      <c r="K89" s="109">
        <v>0.2</v>
      </c>
      <c r="L89" s="108">
        <v>41839</v>
      </c>
      <c r="M89" s="109">
        <v>29.4</v>
      </c>
      <c r="N89" s="109">
        <v>22.4</v>
      </c>
      <c r="O89" s="109">
        <v>6.7</v>
      </c>
      <c r="P89" s="108">
        <v>41870</v>
      </c>
      <c r="Q89" s="109">
        <v>31.1</v>
      </c>
      <c r="R89" s="109">
        <v>23.3</v>
      </c>
      <c r="S89" s="109">
        <v>0</v>
      </c>
    </row>
    <row r="90" spans="4:19" x14ac:dyDescent="0.35">
      <c r="D90" s="108">
        <v>41779</v>
      </c>
      <c r="E90" s="109">
        <v>38.299999999999997</v>
      </c>
      <c r="F90" s="109">
        <v>26.6</v>
      </c>
      <c r="G90" s="109">
        <v>0</v>
      </c>
      <c r="H90" s="108">
        <v>41810</v>
      </c>
      <c r="I90" s="109">
        <v>32.299999999999997</v>
      </c>
      <c r="J90" s="109">
        <v>24.3</v>
      </c>
      <c r="K90" s="109">
        <v>0</v>
      </c>
      <c r="L90" s="108">
        <v>41840</v>
      </c>
      <c r="M90" s="109">
        <v>28.9</v>
      </c>
      <c r="N90" s="109">
        <v>22.3</v>
      </c>
      <c r="O90" s="109">
        <v>2.6</v>
      </c>
      <c r="P90" s="108">
        <v>41871</v>
      </c>
      <c r="Q90" s="109">
        <v>32.6</v>
      </c>
      <c r="R90" s="109">
        <v>22.9</v>
      </c>
      <c r="S90" s="109">
        <v>23.4</v>
      </c>
    </row>
    <row r="91" spans="4:19" x14ac:dyDescent="0.35">
      <c r="D91" s="108">
        <v>41780</v>
      </c>
      <c r="E91" s="109">
        <v>37</v>
      </c>
      <c r="F91" s="109">
        <v>25.3</v>
      </c>
      <c r="G91" s="109">
        <v>0</v>
      </c>
      <c r="H91" s="108">
        <v>41811</v>
      </c>
      <c r="I91" s="109">
        <v>31.9</v>
      </c>
      <c r="J91" s="109">
        <v>24.9</v>
      </c>
      <c r="K91" s="109">
        <v>0</v>
      </c>
      <c r="L91" s="108">
        <v>41841</v>
      </c>
      <c r="M91" s="109">
        <v>28.1</v>
      </c>
      <c r="N91" s="109">
        <v>22</v>
      </c>
      <c r="O91" s="109">
        <v>6.6</v>
      </c>
      <c r="P91" s="108">
        <v>41872</v>
      </c>
      <c r="Q91" s="109">
        <v>32.9</v>
      </c>
      <c r="R91" s="109">
        <v>23.1</v>
      </c>
      <c r="S91" s="109">
        <v>1.6</v>
      </c>
    </row>
    <row r="92" spans="4:19" x14ac:dyDescent="0.35">
      <c r="D92" s="108">
        <v>41781</v>
      </c>
      <c r="E92" s="109">
        <v>37.6</v>
      </c>
      <c r="F92" s="109">
        <v>24.9</v>
      </c>
      <c r="G92" s="109">
        <v>0</v>
      </c>
      <c r="H92" s="108">
        <v>41812</v>
      </c>
      <c r="I92" s="109">
        <v>31.2</v>
      </c>
      <c r="J92" s="109">
        <v>24.3</v>
      </c>
      <c r="K92" s="109">
        <v>0</v>
      </c>
      <c r="L92" s="108">
        <v>41842</v>
      </c>
      <c r="M92" s="109">
        <v>27.5</v>
      </c>
      <c r="N92" s="109">
        <v>22.5</v>
      </c>
      <c r="O92" s="109">
        <v>26.6</v>
      </c>
      <c r="P92" s="108">
        <v>41873</v>
      </c>
      <c r="Q92" s="109">
        <v>32.6</v>
      </c>
      <c r="R92" s="109">
        <v>23.1</v>
      </c>
      <c r="S92" s="109">
        <v>3.9</v>
      </c>
    </row>
    <row r="93" spans="4:19" x14ac:dyDescent="0.35">
      <c r="D93" s="108">
        <v>41782</v>
      </c>
      <c r="E93" s="109">
        <v>35.6</v>
      </c>
      <c r="F93" s="109">
        <v>22.4</v>
      </c>
      <c r="G93" s="109">
        <v>0</v>
      </c>
      <c r="H93" s="108">
        <v>41813</v>
      </c>
      <c r="I93" s="109">
        <v>32.700000000000003</v>
      </c>
      <c r="J93" s="109">
        <v>24</v>
      </c>
      <c r="K93" s="109">
        <v>0</v>
      </c>
      <c r="L93" s="108">
        <v>41843</v>
      </c>
      <c r="M93" s="109">
        <v>25.3</v>
      </c>
      <c r="N93" s="109">
        <v>21.9</v>
      </c>
      <c r="O93" s="109">
        <v>20.7</v>
      </c>
      <c r="P93" s="108">
        <v>41874</v>
      </c>
      <c r="Q93" s="109">
        <v>31.8</v>
      </c>
      <c r="R93" s="109">
        <v>22.1</v>
      </c>
      <c r="S93" s="109">
        <v>33.5</v>
      </c>
    </row>
    <row r="94" spans="4:19" x14ac:dyDescent="0.35">
      <c r="D94" s="108">
        <v>41783</v>
      </c>
      <c r="E94" s="109">
        <v>38.1</v>
      </c>
      <c r="F94" s="109">
        <v>22.7</v>
      </c>
      <c r="G94" s="109">
        <v>0</v>
      </c>
      <c r="H94" s="108">
        <v>41814</v>
      </c>
      <c r="I94" s="109">
        <v>33.200000000000003</v>
      </c>
      <c r="J94" s="109">
        <v>24.3</v>
      </c>
      <c r="K94" s="109">
        <v>0</v>
      </c>
      <c r="L94" s="108">
        <v>41844</v>
      </c>
      <c r="M94" s="109">
        <v>25.8</v>
      </c>
      <c r="N94" s="109">
        <v>21.4</v>
      </c>
      <c r="O94" s="109">
        <v>5</v>
      </c>
      <c r="P94" s="108">
        <v>41875</v>
      </c>
      <c r="Q94" s="109">
        <v>31.6</v>
      </c>
      <c r="R94" s="109">
        <v>21</v>
      </c>
      <c r="S94" s="109">
        <v>26.3</v>
      </c>
    </row>
    <row r="95" spans="4:19" x14ac:dyDescent="0.35">
      <c r="D95" s="108">
        <v>41784</v>
      </c>
      <c r="E95" s="109">
        <v>39</v>
      </c>
      <c r="F95" s="109">
        <v>22.1</v>
      </c>
      <c r="G95" s="109">
        <v>0</v>
      </c>
      <c r="H95" s="108">
        <v>41815</v>
      </c>
      <c r="I95" s="109">
        <v>32.9</v>
      </c>
      <c r="J95" s="109">
        <v>24</v>
      </c>
      <c r="K95" s="109">
        <v>0</v>
      </c>
      <c r="L95" s="108">
        <v>41845</v>
      </c>
      <c r="M95" s="109">
        <v>28.6</v>
      </c>
      <c r="N95" s="109">
        <v>21.7</v>
      </c>
      <c r="O95" s="109">
        <v>2.2999999999999998</v>
      </c>
      <c r="P95" s="108">
        <v>41876</v>
      </c>
      <c r="Q95" s="109">
        <v>31.1</v>
      </c>
      <c r="R95" s="109">
        <v>21.5</v>
      </c>
      <c r="S95" s="109">
        <v>63.3</v>
      </c>
    </row>
    <row r="96" spans="4:19" x14ac:dyDescent="0.35">
      <c r="D96" s="108">
        <v>41785</v>
      </c>
      <c r="E96" s="109">
        <v>38.200000000000003</v>
      </c>
      <c r="F96" s="109">
        <v>23.2</v>
      </c>
      <c r="G96" s="109">
        <v>0</v>
      </c>
      <c r="H96" s="108">
        <v>41816</v>
      </c>
      <c r="I96" s="109">
        <v>33</v>
      </c>
      <c r="J96" s="109">
        <v>23.5</v>
      </c>
      <c r="K96" s="109">
        <v>0</v>
      </c>
      <c r="L96" s="108">
        <v>41846</v>
      </c>
      <c r="M96" s="109">
        <v>29.2</v>
      </c>
      <c r="N96" s="109">
        <v>22.1</v>
      </c>
      <c r="O96" s="109">
        <v>2.8</v>
      </c>
      <c r="P96" s="108">
        <v>41877</v>
      </c>
      <c r="Q96" s="109">
        <v>32.1</v>
      </c>
      <c r="R96" s="109">
        <v>22.5</v>
      </c>
      <c r="S96" s="109">
        <v>0.1</v>
      </c>
    </row>
    <row r="97" spans="4:24" x14ac:dyDescent="0.35">
      <c r="D97" s="108">
        <v>41786</v>
      </c>
      <c r="E97" s="109">
        <v>39.4</v>
      </c>
      <c r="F97" s="109">
        <v>23.9</v>
      </c>
      <c r="G97" s="109">
        <v>0</v>
      </c>
      <c r="H97" s="108">
        <v>41817</v>
      </c>
      <c r="I97" s="109">
        <v>33.700000000000003</v>
      </c>
      <c r="J97" s="109">
        <v>22.4</v>
      </c>
      <c r="K97" s="109">
        <v>0</v>
      </c>
      <c r="L97" s="108">
        <v>41847</v>
      </c>
      <c r="M97" s="109">
        <v>29.6</v>
      </c>
      <c r="N97" s="109">
        <v>22.4</v>
      </c>
      <c r="O97" s="109">
        <v>0</v>
      </c>
      <c r="P97" s="108">
        <v>41878</v>
      </c>
      <c r="Q97" s="109">
        <v>27.9</v>
      </c>
      <c r="R97" s="109">
        <v>21.4</v>
      </c>
      <c r="S97" s="109">
        <v>6.1</v>
      </c>
    </row>
    <row r="98" spans="4:24" x14ac:dyDescent="0.35">
      <c r="D98" s="108">
        <v>41787</v>
      </c>
      <c r="E98" s="109">
        <v>37.200000000000003</v>
      </c>
      <c r="F98" s="109">
        <v>21.9</v>
      </c>
      <c r="G98" s="109">
        <v>3.4</v>
      </c>
      <c r="H98" s="108">
        <v>41818</v>
      </c>
      <c r="I98" s="109">
        <v>35.200000000000003</v>
      </c>
      <c r="J98" s="109">
        <v>23.4</v>
      </c>
      <c r="K98" s="109">
        <v>0</v>
      </c>
      <c r="L98" s="108">
        <v>41848</v>
      </c>
      <c r="M98" s="109">
        <v>27.5</v>
      </c>
      <c r="N98" s="109">
        <v>22.2</v>
      </c>
      <c r="O98" s="109">
        <v>4.4000000000000004</v>
      </c>
      <c r="P98" s="108">
        <v>41879</v>
      </c>
      <c r="Q98" s="109">
        <v>27.6</v>
      </c>
      <c r="R98" s="109">
        <v>20.9</v>
      </c>
      <c r="S98" s="109">
        <v>1.9</v>
      </c>
    </row>
    <row r="99" spans="4:24" x14ac:dyDescent="0.35">
      <c r="D99" s="108">
        <v>41788</v>
      </c>
      <c r="E99" s="109">
        <v>39</v>
      </c>
      <c r="F99" s="109">
        <v>24.6</v>
      </c>
      <c r="G99" s="109">
        <v>0</v>
      </c>
      <c r="H99" s="108">
        <v>41819</v>
      </c>
      <c r="I99" s="109">
        <v>33.1</v>
      </c>
      <c r="J99" s="109">
        <v>23.6</v>
      </c>
      <c r="K99" s="109">
        <v>0</v>
      </c>
      <c r="L99" s="108">
        <v>41849</v>
      </c>
      <c r="M99" s="109">
        <v>25.8</v>
      </c>
      <c r="N99" s="109">
        <v>22</v>
      </c>
      <c r="O99" s="109">
        <v>10.6</v>
      </c>
      <c r="P99" s="108">
        <v>41880</v>
      </c>
      <c r="Q99" s="109">
        <v>27.8</v>
      </c>
      <c r="R99" s="109">
        <v>21.8</v>
      </c>
      <c r="S99" s="109">
        <v>5.4</v>
      </c>
    </row>
    <row r="100" spans="4:24" x14ac:dyDescent="0.35">
      <c r="D100" s="108">
        <v>41789</v>
      </c>
      <c r="E100" s="109">
        <v>37.4</v>
      </c>
      <c r="F100" s="109">
        <v>24.9</v>
      </c>
      <c r="G100" s="109">
        <v>0</v>
      </c>
      <c r="H100" s="108">
        <v>41820</v>
      </c>
      <c r="I100" s="109">
        <v>34.200000000000003</v>
      </c>
      <c r="J100" s="109">
        <v>23.3</v>
      </c>
      <c r="K100" s="109">
        <v>0</v>
      </c>
      <c r="L100" s="108">
        <v>41850</v>
      </c>
      <c r="M100" s="109">
        <v>24.2</v>
      </c>
      <c r="N100" s="109">
        <v>21.9</v>
      </c>
      <c r="O100" s="109">
        <v>84.3</v>
      </c>
      <c r="P100" s="108">
        <v>41881</v>
      </c>
      <c r="Q100" s="109">
        <v>29.5</v>
      </c>
      <c r="R100" s="109">
        <v>21.9</v>
      </c>
      <c r="S100" s="109">
        <v>22.8</v>
      </c>
    </row>
    <row r="101" spans="4:24" x14ac:dyDescent="0.35">
      <c r="D101" s="108">
        <v>41790</v>
      </c>
      <c r="E101" s="109">
        <v>37.4</v>
      </c>
      <c r="F101" s="109">
        <v>22.4</v>
      </c>
      <c r="G101" s="109">
        <v>0</v>
      </c>
      <c r="H101" s="108"/>
      <c r="I101" s="110"/>
      <c r="J101" s="110"/>
      <c r="L101" s="108">
        <v>41851</v>
      </c>
      <c r="M101" s="109">
        <v>26</v>
      </c>
      <c r="N101" s="109">
        <v>22.2</v>
      </c>
      <c r="O101" s="109">
        <v>67.900000000000006</v>
      </c>
      <c r="P101" s="108">
        <v>41882</v>
      </c>
      <c r="Q101" s="109">
        <v>29.2</v>
      </c>
      <c r="R101" s="109">
        <v>22.8</v>
      </c>
      <c r="S101" s="109">
        <v>0</v>
      </c>
    </row>
    <row r="103" spans="4:24" x14ac:dyDescent="0.35">
      <c r="E103" s="115">
        <f>MAX(E71:E102)</f>
        <v>40.700000000000003</v>
      </c>
      <c r="F103" s="48">
        <f>MIN(F71:F102)</f>
        <v>18.7</v>
      </c>
      <c r="G103" s="112">
        <f>SUM(G71:G101)</f>
        <v>9.4</v>
      </c>
      <c r="I103" s="115">
        <f>MAX(I71:I102)</f>
        <v>40.4</v>
      </c>
      <c r="J103" s="120">
        <f>MIN(J71:J102)</f>
        <v>21.4</v>
      </c>
      <c r="K103" s="114">
        <f>SUM(K71:K100)</f>
        <v>13.8</v>
      </c>
      <c r="L103" s="113"/>
      <c r="M103" s="115">
        <f>MAX(M71:M102)</f>
        <v>34.4</v>
      </c>
      <c r="N103" s="120">
        <f>MIN(N71:N102)</f>
        <v>21.1</v>
      </c>
      <c r="O103" s="112">
        <f>SUM(O71:O101)</f>
        <v>282.39999999999998</v>
      </c>
      <c r="P103" s="113"/>
      <c r="Q103" s="115">
        <f>MAX(Q71:Q102)</f>
        <v>32.9</v>
      </c>
      <c r="R103" s="120">
        <f>MIN(R71:R102)</f>
        <v>20.8</v>
      </c>
      <c r="S103" s="112">
        <f>SUM(S71:S101)</f>
        <v>280.60000000000002</v>
      </c>
    </row>
    <row r="104" spans="4:24" x14ac:dyDescent="0.35">
      <c r="Q104" s="48"/>
    </row>
    <row r="111" spans="4:24" x14ac:dyDescent="0.35">
      <c r="X111" s="115"/>
    </row>
    <row r="115" spans="25:46" x14ac:dyDescent="0.35">
      <c r="Y115" t="s">
        <v>2480</v>
      </c>
      <c r="AA115" t="s">
        <v>2481</v>
      </c>
      <c r="AC115" t="s">
        <v>2482</v>
      </c>
    </row>
    <row r="116" spans="25:46" x14ac:dyDescent="0.35">
      <c r="Y116">
        <v>31.3</v>
      </c>
      <c r="AA116">
        <v>7.1</v>
      </c>
      <c r="AC116" s="119">
        <v>0.1</v>
      </c>
    </row>
    <row r="117" spans="25:46" x14ac:dyDescent="0.35">
      <c r="Y117">
        <v>34</v>
      </c>
      <c r="AA117">
        <v>7.8</v>
      </c>
      <c r="AC117" s="109">
        <v>0</v>
      </c>
    </row>
    <row r="118" spans="25:46" x14ac:dyDescent="0.35">
      <c r="Y118">
        <v>38.4</v>
      </c>
      <c r="AA118">
        <v>8.6</v>
      </c>
      <c r="AC118" s="119">
        <v>3.6</v>
      </c>
    </row>
    <row r="119" spans="25:46" x14ac:dyDescent="0.35">
      <c r="Y119">
        <v>40.6</v>
      </c>
      <c r="AA119">
        <v>14.7</v>
      </c>
      <c r="AC119" s="109">
        <v>6</v>
      </c>
    </row>
    <row r="120" spans="25:46" x14ac:dyDescent="0.35">
      <c r="Y120">
        <v>40.700000000000003</v>
      </c>
      <c r="AA120">
        <v>18.7</v>
      </c>
      <c r="AC120" s="119">
        <v>9.4</v>
      </c>
    </row>
    <row r="121" spans="25:46" x14ac:dyDescent="0.35">
      <c r="Y121">
        <v>40.4</v>
      </c>
      <c r="AA121">
        <v>21.4</v>
      </c>
      <c r="AC121" s="110">
        <v>13.8</v>
      </c>
    </row>
    <row r="122" spans="25:46" x14ac:dyDescent="0.35">
      <c r="Y122">
        <v>34.4</v>
      </c>
      <c r="AA122">
        <v>21.1</v>
      </c>
      <c r="AC122" s="119">
        <v>282.39999999999998</v>
      </c>
      <c r="AF122" s="115"/>
      <c r="AG122" s="119"/>
      <c r="AH122" s="112"/>
      <c r="AJ122" s="118"/>
      <c r="AK122" s="109"/>
      <c r="AN122" s="115"/>
      <c r="AO122" s="48"/>
      <c r="AP122" s="112"/>
      <c r="AR122" s="115"/>
      <c r="AS122" s="48"/>
      <c r="AT122" s="111"/>
    </row>
    <row r="123" spans="25:46" x14ac:dyDescent="0.35">
      <c r="Y123">
        <v>32.9</v>
      </c>
      <c r="AA123">
        <v>20.8</v>
      </c>
      <c r="AC123" s="119">
        <v>280.60000000000002</v>
      </c>
      <c r="AH123" s="115"/>
      <c r="AI123" s="120"/>
      <c r="AK123" s="113"/>
      <c r="AL123" s="115"/>
      <c r="AM123" s="120"/>
      <c r="AO123" s="113"/>
      <c r="AP123" s="115"/>
      <c r="AQ123" s="120"/>
    </row>
    <row r="124" spans="25:46" x14ac:dyDescent="0.35">
      <c r="Y124">
        <v>33.4</v>
      </c>
      <c r="AA124">
        <v>18.899999999999999</v>
      </c>
      <c r="AC124" s="119">
        <v>128.5</v>
      </c>
    </row>
    <row r="125" spans="25:46" x14ac:dyDescent="0.35">
      <c r="Y125">
        <v>34.700000000000003</v>
      </c>
      <c r="AA125">
        <v>13.9</v>
      </c>
      <c r="AC125" s="119">
        <v>25.9</v>
      </c>
    </row>
    <row r="126" spans="25:46" x14ac:dyDescent="0.35">
      <c r="Y126">
        <v>33.299999999999997</v>
      </c>
      <c r="AA126">
        <v>11.2</v>
      </c>
      <c r="AC126" s="119">
        <v>25.6</v>
      </c>
    </row>
    <row r="127" spans="25:46" x14ac:dyDescent="0.35">
      <c r="Y127">
        <v>31.9</v>
      </c>
      <c r="AA127">
        <v>7.8</v>
      </c>
      <c r="AC127" s="119">
        <v>53.1</v>
      </c>
    </row>
    <row r="128" spans="25:46" x14ac:dyDescent="0.35">
      <c r="Y128" s="121">
        <f>MAX(Y116:Y127)</f>
        <v>40.700000000000003</v>
      </c>
      <c r="Z128" s="121"/>
      <c r="AA128" s="121">
        <f>MIN(AA116:AA127)</f>
        <v>7.1</v>
      </c>
      <c r="AC128" s="122">
        <f>SUM(AC116:AC127)</f>
        <v>829</v>
      </c>
    </row>
    <row r="134" spans="4:19" ht="18.5" x14ac:dyDescent="0.45">
      <c r="D134" s="106" t="s">
        <v>2476</v>
      </c>
      <c r="E134" s="107" t="s">
        <v>2477</v>
      </c>
      <c r="F134" s="107" t="s">
        <v>2478</v>
      </c>
      <c r="G134" s="107" t="s">
        <v>2479</v>
      </c>
      <c r="H134" s="106" t="s">
        <v>2476</v>
      </c>
      <c r="I134" s="107" t="s">
        <v>2477</v>
      </c>
      <c r="J134" s="107" t="s">
        <v>2478</v>
      </c>
      <c r="K134" s="107" t="s">
        <v>2479</v>
      </c>
      <c r="L134" s="106" t="s">
        <v>2476</v>
      </c>
      <c r="M134" s="107" t="s">
        <v>2477</v>
      </c>
      <c r="N134" s="107" t="s">
        <v>2478</v>
      </c>
      <c r="O134" s="107" t="s">
        <v>2479</v>
      </c>
      <c r="P134" s="106" t="s">
        <v>2476</v>
      </c>
      <c r="Q134" s="107" t="s">
        <v>2477</v>
      </c>
      <c r="R134" s="107" t="s">
        <v>2478</v>
      </c>
      <c r="S134" s="107" t="s">
        <v>2479</v>
      </c>
    </row>
    <row r="135" spans="4:19" x14ac:dyDescent="0.35">
      <c r="D135" s="108">
        <v>41883</v>
      </c>
      <c r="E135" s="109">
        <v>27.1</v>
      </c>
      <c r="F135" s="109">
        <v>21.1</v>
      </c>
      <c r="G135" s="109">
        <v>15</v>
      </c>
      <c r="H135" s="108">
        <v>41913</v>
      </c>
      <c r="I135" s="109">
        <v>33.299999999999997</v>
      </c>
      <c r="J135" s="109">
        <v>22.4</v>
      </c>
      <c r="K135" s="109">
        <v>0.3</v>
      </c>
      <c r="L135" s="108">
        <v>41944</v>
      </c>
      <c r="M135" s="109">
        <v>31.8</v>
      </c>
      <c r="N135" s="109">
        <v>14.3</v>
      </c>
      <c r="O135" s="109">
        <v>0</v>
      </c>
      <c r="P135" s="108">
        <v>41974</v>
      </c>
      <c r="Q135" s="109">
        <v>29.4</v>
      </c>
      <c r="R135" s="109">
        <v>11.9</v>
      </c>
      <c r="S135" s="109">
        <v>0</v>
      </c>
    </row>
    <row r="136" spans="4:19" x14ac:dyDescent="0.35">
      <c r="D136" s="108">
        <v>41884</v>
      </c>
      <c r="E136" s="109">
        <v>25.1</v>
      </c>
      <c r="F136" s="109">
        <v>21.7</v>
      </c>
      <c r="G136" s="109">
        <v>1.2</v>
      </c>
      <c r="H136" s="108">
        <v>41914</v>
      </c>
      <c r="I136" s="109">
        <v>31.4</v>
      </c>
      <c r="J136" s="109">
        <v>20</v>
      </c>
      <c r="K136" s="109">
        <v>8.1</v>
      </c>
      <c r="L136" s="108">
        <v>41945</v>
      </c>
      <c r="M136" s="109">
        <v>32.4</v>
      </c>
      <c r="N136" s="109">
        <v>14.9</v>
      </c>
      <c r="O136" s="109">
        <v>0</v>
      </c>
      <c r="P136" s="108">
        <v>41975</v>
      </c>
      <c r="Q136" s="109">
        <v>29.3</v>
      </c>
      <c r="R136" s="109">
        <v>12.1</v>
      </c>
      <c r="S136" s="109">
        <v>0</v>
      </c>
    </row>
    <row r="137" spans="4:19" x14ac:dyDescent="0.35">
      <c r="D137" s="108">
        <v>41885</v>
      </c>
      <c r="E137" s="109">
        <v>28.5</v>
      </c>
      <c r="F137" s="109">
        <v>21.1</v>
      </c>
      <c r="G137" s="109">
        <v>2.8</v>
      </c>
      <c r="H137" s="108">
        <v>41915</v>
      </c>
      <c r="I137" s="109">
        <v>31.4</v>
      </c>
      <c r="J137" s="109">
        <v>20</v>
      </c>
      <c r="K137" s="109">
        <v>0</v>
      </c>
      <c r="L137" s="108">
        <v>41946</v>
      </c>
      <c r="M137" s="109">
        <v>32.4</v>
      </c>
      <c r="N137" s="109">
        <v>15.9</v>
      </c>
      <c r="O137" s="109">
        <v>0</v>
      </c>
      <c r="P137" s="108">
        <v>41976</v>
      </c>
      <c r="Q137" s="109">
        <v>29.9</v>
      </c>
      <c r="R137" s="109">
        <v>12.9</v>
      </c>
      <c r="S137" s="109">
        <v>0</v>
      </c>
    </row>
    <row r="138" spans="4:19" x14ac:dyDescent="0.35">
      <c r="D138" s="108">
        <v>41886</v>
      </c>
      <c r="E138" s="109">
        <v>27.7</v>
      </c>
      <c r="F138" s="109">
        <v>22</v>
      </c>
      <c r="G138" s="109">
        <v>5.8</v>
      </c>
      <c r="H138" s="108">
        <v>41916</v>
      </c>
      <c r="I138" s="109">
        <v>34.700000000000003</v>
      </c>
      <c r="J138" s="109">
        <v>22.7</v>
      </c>
      <c r="K138" s="109">
        <v>0</v>
      </c>
      <c r="L138" s="108">
        <v>41947</v>
      </c>
      <c r="M138" s="109">
        <v>32.700000000000003</v>
      </c>
      <c r="N138" s="109">
        <v>15.1</v>
      </c>
      <c r="O138" s="109">
        <v>0</v>
      </c>
      <c r="P138" s="108">
        <v>41977</v>
      </c>
      <c r="Q138" s="109">
        <v>30.3</v>
      </c>
      <c r="R138" s="109">
        <v>13.3</v>
      </c>
      <c r="S138" s="109">
        <v>0</v>
      </c>
    </row>
    <row r="139" spans="4:19" x14ac:dyDescent="0.35">
      <c r="D139" s="108">
        <v>41887</v>
      </c>
      <c r="E139" s="109">
        <v>28.1</v>
      </c>
      <c r="F139" s="109">
        <v>22</v>
      </c>
      <c r="G139" s="109">
        <v>4.2</v>
      </c>
      <c r="H139" s="108">
        <v>41917</v>
      </c>
      <c r="I139" s="109">
        <v>34.5</v>
      </c>
      <c r="J139" s="109">
        <v>20</v>
      </c>
      <c r="K139" s="109">
        <v>0.2</v>
      </c>
      <c r="L139" s="108">
        <v>41948</v>
      </c>
      <c r="M139" s="109">
        <v>32.700000000000003</v>
      </c>
      <c r="N139" s="109">
        <v>14.8</v>
      </c>
      <c r="O139" s="109">
        <v>0</v>
      </c>
      <c r="P139" s="108">
        <v>41978</v>
      </c>
      <c r="Q139" s="109">
        <v>30.2</v>
      </c>
      <c r="R139" s="109">
        <v>11.9</v>
      </c>
      <c r="S139" s="109">
        <v>0</v>
      </c>
    </row>
    <row r="140" spans="4:19" x14ac:dyDescent="0.35">
      <c r="D140" s="108">
        <v>41888</v>
      </c>
      <c r="E140" s="109">
        <v>26.1</v>
      </c>
      <c r="F140" s="109">
        <v>21.3</v>
      </c>
      <c r="G140" s="109">
        <v>9.5</v>
      </c>
      <c r="H140" s="108">
        <v>41918</v>
      </c>
      <c r="I140" s="109">
        <v>34.6</v>
      </c>
      <c r="J140" s="109">
        <v>21</v>
      </c>
      <c r="K140" s="109">
        <v>0</v>
      </c>
      <c r="L140" s="108">
        <v>41949</v>
      </c>
      <c r="M140" s="109">
        <v>32.6</v>
      </c>
      <c r="N140" s="109">
        <v>15.4</v>
      </c>
      <c r="O140" s="109">
        <v>0</v>
      </c>
      <c r="P140" s="108">
        <v>41979</v>
      </c>
      <c r="Q140" s="109">
        <v>29.6</v>
      </c>
      <c r="R140" s="109">
        <v>10.7</v>
      </c>
      <c r="S140" s="109">
        <v>0</v>
      </c>
    </row>
    <row r="141" spans="4:19" x14ac:dyDescent="0.35">
      <c r="D141" s="108">
        <v>41889</v>
      </c>
      <c r="E141" s="109">
        <v>29</v>
      </c>
      <c r="F141" s="109">
        <v>21.4</v>
      </c>
      <c r="G141" s="109">
        <v>0</v>
      </c>
      <c r="H141" s="108">
        <v>41919</v>
      </c>
      <c r="I141" s="109">
        <v>34.1</v>
      </c>
      <c r="J141" s="109">
        <v>20.399999999999999</v>
      </c>
      <c r="K141" s="109">
        <v>0</v>
      </c>
      <c r="L141" s="108">
        <v>41950</v>
      </c>
      <c r="M141" s="109">
        <v>33.299999999999997</v>
      </c>
      <c r="N141" s="109">
        <v>14.7</v>
      </c>
      <c r="O141" s="109">
        <v>0</v>
      </c>
      <c r="P141" s="108">
        <v>41980</v>
      </c>
      <c r="Q141" s="109">
        <v>29</v>
      </c>
      <c r="R141" s="109">
        <v>10.199999999999999</v>
      </c>
      <c r="S141" s="109">
        <v>0</v>
      </c>
    </row>
    <row r="142" spans="4:19" x14ac:dyDescent="0.35">
      <c r="D142" s="108">
        <v>41890</v>
      </c>
      <c r="E142" s="109">
        <v>28.3</v>
      </c>
      <c r="F142" s="109">
        <v>21.6</v>
      </c>
      <c r="G142" s="109">
        <v>0.6</v>
      </c>
      <c r="H142" s="108">
        <v>41920</v>
      </c>
      <c r="I142" s="109">
        <v>32.9</v>
      </c>
      <c r="J142" s="109">
        <v>22.3</v>
      </c>
      <c r="K142" s="109">
        <v>4.4000000000000004</v>
      </c>
      <c r="L142" s="108">
        <v>41951</v>
      </c>
      <c r="M142" s="109">
        <v>32.299999999999997</v>
      </c>
      <c r="N142" s="109">
        <v>14.9</v>
      </c>
      <c r="O142" s="109">
        <v>0</v>
      </c>
      <c r="P142" s="108">
        <v>41981</v>
      </c>
      <c r="Q142" s="109">
        <v>30.4</v>
      </c>
      <c r="R142" s="109">
        <v>12.5</v>
      </c>
      <c r="S142" s="109">
        <v>0</v>
      </c>
    </row>
    <row r="143" spans="4:19" x14ac:dyDescent="0.35">
      <c r="D143" s="108">
        <v>41891</v>
      </c>
      <c r="E143" s="109">
        <v>26.4</v>
      </c>
      <c r="F143" s="109">
        <v>21.4</v>
      </c>
      <c r="G143" s="109">
        <v>0.8</v>
      </c>
      <c r="H143" s="108">
        <v>41921</v>
      </c>
      <c r="I143" s="109">
        <v>30.3</v>
      </c>
      <c r="J143" s="109">
        <v>20.399999999999999</v>
      </c>
      <c r="K143" s="109">
        <v>0</v>
      </c>
      <c r="L143" s="108">
        <v>41952</v>
      </c>
      <c r="M143" s="109">
        <v>31</v>
      </c>
      <c r="N143" s="109">
        <v>13.8</v>
      </c>
      <c r="O143" s="109">
        <v>0</v>
      </c>
      <c r="P143" s="108">
        <v>41982</v>
      </c>
      <c r="Q143" s="109">
        <v>31.2</v>
      </c>
      <c r="R143" s="109">
        <v>13.3</v>
      </c>
      <c r="S143" s="109">
        <v>0</v>
      </c>
    </row>
    <row r="144" spans="4:19" x14ac:dyDescent="0.35">
      <c r="D144" s="108">
        <v>41892</v>
      </c>
      <c r="E144" s="109">
        <v>27.9</v>
      </c>
      <c r="F144" s="109">
        <v>20.7</v>
      </c>
      <c r="G144" s="109">
        <v>3.4</v>
      </c>
      <c r="H144" s="108">
        <v>41922</v>
      </c>
      <c r="I144" s="109">
        <v>32.4</v>
      </c>
      <c r="J144" s="109">
        <v>21.6</v>
      </c>
      <c r="K144" s="109">
        <v>0</v>
      </c>
      <c r="L144" s="108">
        <v>41953</v>
      </c>
      <c r="M144" s="109">
        <v>31.4</v>
      </c>
      <c r="N144" s="109">
        <v>17.3</v>
      </c>
      <c r="O144" s="109">
        <v>0</v>
      </c>
      <c r="P144" s="108">
        <v>41983</v>
      </c>
      <c r="Q144" s="109">
        <v>31.1</v>
      </c>
      <c r="R144" s="109">
        <v>15.1</v>
      </c>
      <c r="S144" s="109">
        <v>0</v>
      </c>
    </row>
    <row r="145" spans="4:19" x14ac:dyDescent="0.35">
      <c r="D145" s="108">
        <v>41893</v>
      </c>
      <c r="E145" s="109">
        <v>28.1</v>
      </c>
      <c r="F145" s="109">
        <v>21</v>
      </c>
      <c r="G145" s="109">
        <v>0.2</v>
      </c>
      <c r="H145" s="108">
        <v>41923</v>
      </c>
      <c r="I145" s="109">
        <v>33.9</v>
      </c>
      <c r="J145" s="109">
        <v>21.9</v>
      </c>
      <c r="K145" s="109">
        <v>0</v>
      </c>
      <c r="L145" s="108">
        <v>41954</v>
      </c>
      <c r="M145" s="109">
        <v>32</v>
      </c>
      <c r="N145" s="109">
        <v>19.7</v>
      </c>
      <c r="O145" s="109">
        <v>0</v>
      </c>
      <c r="P145" s="108">
        <v>41984</v>
      </c>
      <c r="Q145" s="109">
        <v>31.9</v>
      </c>
      <c r="R145" s="109">
        <v>15.9</v>
      </c>
      <c r="S145" s="109">
        <v>0</v>
      </c>
    </row>
    <row r="146" spans="4:19" x14ac:dyDescent="0.35">
      <c r="D146" s="108">
        <v>41894</v>
      </c>
      <c r="E146" s="109">
        <v>28</v>
      </c>
      <c r="F146" s="109">
        <v>20.399999999999999</v>
      </c>
      <c r="G146" s="109">
        <v>0</v>
      </c>
      <c r="H146" s="108">
        <v>41924</v>
      </c>
      <c r="I146" s="109">
        <v>33.200000000000003</v>
      </c>
      <c r="J146" s="109">
        <v>17.2</v>
      </c>
      <c r="K146" s="109">
        <v>0</v>
      </c>
      <c r="L146" s="108">
        <v>41955</v>
      </c>
      <c r="M146" s="109">
        <v>32.700000000000003</v>
      </c>
      <c r="N146" s="109">
        <v>18.8</v>
      </c>
      <c r="O146" s="109">
        <v>0</v>
      </c>
      <c r="P146" s="108">
        <v>41985</v>
      </c>
      <c r="Q146" s="109">
        <v>31.1</v>
      </c>
      <c r="R146" s="109">
        <v>18.5</v>
      </c>
      <c r="S146" s="109">
        <v>0</v>
      </c>
    </row>
    <row r="147" spans="4:19" x14ac:dyDescent="0.35">
      <c r="D147" s="108">
        <v>41895</v>
      </c>
      <c r="E147" s="109">
        <v>28.4</v>
      </c>
      <c r="F147" s="109">
        <v>20.399999999999999</v>
      </c>
      <c r="G147" s="109">
        <v>0</v>
      </c>
      <c r="H147" s="108">
        <v>41925</v>
      </c>
      <c r="I147" s="109">
        <v>33.9</v>
      </c>
      <c r="J147" s="109">
        <v>17.399999999999999</v>
      </c>
      <c r="K147" s="109">
        <v>0</v>
      </c>
      <c r="L147" s="108">
        <v>41956</v>
      </c>
      <c r="M147" s="109">
        <v>33.200000000000003</v>
      </c>
      <c r="N147" s="109">
        <v>20.399999999999999</v>
      </c>
      <c r="O147" s="109">
        <v>0</v>
      </c>
      <c r="P147" s="108">
        <v>41986</v>
      </c>
      <c r="Q147" s="109">
        <v>29.4</v>
      </c>
      <c r="R147" s="109">
        <v>18.3</v>
      </c>
      <c r="S147" s="109">
        <v>53.1</v>
      </c>
    </row>
    <row r="148" spans="4:19" x14ac:dyDescent="0.35">
      <c r="D148" s="108">
        <v>41896</v>
      </c>
      <c r="E148" s="109">
        <v>29.9</v>
      </c>
      <c r="F148" s="109">
        <v>20.6</v>
      </c>
      <c r="G148" s="109">
        <v>0</v>
      </c>
      <c r="H148" s="108">
        <v>41926</v>
      </c>
      <c r="I148" s="109">
        <v>33.299999999999997</v>
      </c>
      <c r="J148" s="109">
        <v>15.4</v>
      </c>
      <c r="K148" s="109">
        <v>0</v>
      </c>
      <c r="L148" s="108">
        <v>41957</v>
      </c>
      <c r="M148" s="109">
        <v>31.8</v>
      </c>
      <c r="N148" s="109">
        <v>20.2</v>
      </c>
      <c r="O148" s="109">
        <v>0</v>
      </c>
      <c r="P148" s="108">
        <v>41987</v>
      </c>
      <c r="Q148" s="109">
        <v>27.9</v>
      </c>
      <c r="R148" s="109">
        <v>18.2</v>
      </c>
      <c r="S148" s="109">
        <v>0</v>
      </c>
    </row>
    <row r="149" spans="4:19" x14ac:dyDescent="0.35">
      <c r="D149" s="108">
        <v>41897</v>
      </c>
      <c r="E149" s="109">
        <v>29.4</v>
      </c>
      <c r="F149" s="109">
        <v>19.2</v>
      </c>
      <c r="G149" s="109">
        <v>0</v>
      </c>
      <c r="H149" s="108">
        <v>41927</v>
      </c>
      <c r="I149" s="109">
        <v>33.9</v>
      </c>
      <c r="J149" s="109">
        <v>18.7</v>
      </c>
      <c r="K149" s="109">
        <v>0</v>
      </c>
      <c r="L149" s="108">
        <v>41958</v>
      </c>
      <c r="M149" s="109">
        <v>28.6</v>
      </c>
      <c r="N149" s="109">
        <v>20.6</v>
      </c>
      <c r="O149" s="109">
        <v>15.7</v>
      </c>
      <c r="P149" s="108">
        <v>41988</v>
      </c>
      <c r="Q149" s="109">
        <v>29.3</v>
      </c>
      <c r="R149" s="109">
        <v>11.4</v>
      </c>
      <c r="S149" s="109">
        <v>0</v>
      </c>
    </row>
    <row r="150" spans="4:19" x14ac:dyDescent="0.35">
      <c r="D150" s="108">
        <v>41898</v>
      </c>
      <c r="E150" s="109">
        <v>30</v>
      </c>
      <c r="F150" s="109">
        <v>19.600000000000001</v>
      </c>
      <c r="G150" s="109">
        <v>0</v>
      </c>
      <c r="H150" s="108">
        <v>41928</v>
      </c>
      <c r="I150" s="109">
        <v>34</v>
      </c>
      <c r="J150" s="109">
        <v>21.4</v>
      </c>
      <c r="K150" s="109">
        <v>0</v>
      </c>
      <c r="L150" s="108">
        <v>41959</v>
      </c>
      <c r="M150" s="109">
        <v>24.8</v>
      </c>
      <c r="N150" s="109">
        <v>20.2</v>
      </c>
      <c r="O150" s="109">
        <v>8.5</v>
      </c>
      <c r="P150" s="108">
        <v>41989</v>
      </c>
      <c r="Q150" s="109">
        <v>28.1</v>
      </c>
      <c r="R150" s="109">
        <v>10.6</v>
      </c>
      <c r="S150" s="109">
        <v>0</v>
      </c>
    </row>
    <row r="151" spans="4:19" x14ac:dyDescent="0.35">
      <c r="D151" s="108">
        <v>41899</v>
      </c>
      <c r="E151" s="109">
        <v>30.5</v>
      </c>
      <c r="F151" s="109">
        <v>21.1</v>
      </c>
      <c r="G151" s="109">
        <v>0</v>
      </c>
      <c r="H151" s="108">
        <v>41929</v>
      </c>
      <c r="I151" s="109">
        <v>32.6</v>
      </c>
      <c r="J151" s="109">
        <v>21</v>
      </c>
      <c r="K151" s="109">
        <v>0</v>
      </c>
      <c r="L151" s="108">
        <v>41960</v>
      </c>
      <c r="M151" s="109">
        <v>29.1</v>
      </c>
      <c r="N151" s="109">
        <v>20.399999999999999</v>
      </c>
      <c r="O151" s="109">
        <v>0</v>
      </c>
      <c r="P151" s="108">
        <v>41990</v>
      </c>
      <c r="Q151" s="109">
        <v>26.5</v>
      </c>
      <c r="R151" s="109">
        <v>11.4</v>
      </c>
      <c r="S151" s="109">
        <v>0</v>
      </c>
    </row>
    <row r="152" spans="4:19" x14ac:dyDescent="0.35">
      <c r="D152" s="108">
        <v>41900</v>
      </c>
      <c r="E152" s="109">
        <v>30.9</v>
      </c>
      <c r="F152" s="109">
        <v>22.2</v>
      </c>
      <c r="G152" s="109">
        <v>0.3</v>
      </c>
      <c r="H152" s="108">
        <v>41930</v>
      </c>
      <c r="I152" s="109">
        <v>34</v>
      </c>
      <c r="J152" s="109">
        <v>20.399999999999999</v>
      </c>
      <c r="K152" s="109">
        <v>0</v>
      </c>
      <c r="L152" s="108">
        <v>41961</v>
      </c>
      <c r="M152" s="109">
        <v>30.8</v>
      </c>
      <c r="N152" s="109">
        <v>19.600000000000001</v>
      </c>
      <c r="O152" s="109">
        <v>1.4</v>
      </c>
      <c r="P152" s="108">
        <v>41991</v>
      </c>
      <c r="Q152" s="109">
        <v>24.9</v>
      </c>
      <c r="R152" s="109">
        <v>9.1</v>
      </c>
      <c r="S152" s="109">
        <v>0</v>
      </c>
    </row>
    <row r="153" spans="4:19" x14ac:dyDescent="0.35">
      <c r="D153" s="108">
        <v>41901</v>
      </c>
      <c r="E153" s="109">
        <v>30.4</v>
      </c>
      <c r="F153" s="109">
        <v>20.8</v>
      </c>
      <c r="G153" s="109">
        <v>0</v>
      </c>
      <c r="H153" s="108">
        <v>41931</v>
      </c>
      <c r="I153" s="109">
        <v>34.1</v>
      </c>
      <c r="J153" s="109">
        <v>20.3</v>
      </c>
      <c r="K153" s="109">
        <v>5.5</v>
      </c>
      <c r="L153" s="108">
        <v>41962</v>
      </c>
      <c r="M153" s="109">
        <v>31.1</v>
      </c>
      <c r="N153" s="109">
        <v>19.899999999999999</v>
      </c>
      <c r="O153" s="109">
        <v>0</v>
      </c>
      <c r="P153" s="108">
        <v>41992</v>
      </c>
      <c r="Q153" s="109">
        <v>25.7</v>
      </c>
      <c r="R153" s="109">
        <v>9</v>
      </c>
      <c r="S153" s="109">
        <v>0</v>
      </c>
    </row>
    <row r="154" spans="4:19" x14ac:dyDescent="0.35">
      <c r="D154" s="108">
        <v>41902</v>
      </c>
      <c r="E154" s="109">
        <v>30.7</v>
      </c>
      <c r="F154" s="109">
        <v>22.1</v>
      </c>
      <c r="G154" s="109">
        <v>1.9</v>
      </c>
      <c r="H154" s="108">
        <v>41932</v>
      </c>
      <c r="I154" s="109">
        <v>32.9</v>
      </c>
      <c r="J154" s="109">
        <v>19.899999999999999</v>
      </c>
      <c r="K154" s="109">
        <v>0</v>
      </c>
      <c r="L154" s="108">
        <v>41963</v>
      </c>
      <c r="M154" s="109">
        <v>30.9</v>
      </c>
      <c r="N154" s="109">
        <v>16.399999999999999</v>
      </c>
      <c r="O154" s="109">
        <v>0</v>
      </c>
      <c r="P154" s="108">
        <v>41993</v>
      </c>
      <c r="Q154" s="109">
        <v>27.6</v>
      </c>
      <c r="R154" s="109">
        <v>13.4</v>
      </c>
      <c r="S154" s="109">
        <v>0</v>
      </c>
    </row>
    <row r="155" spans="4:19" x14ac:dyDescent="0.35">
      <c r="D155" s="108">
        <v>41903</v>
      </c>
      <c r="E155" s="109">
        <v>26.2</v>
      </c>
      <c r="F155" s="109">
        <v>18.899999999999999</v>
      </c>
      <c r="G155" s="109">
        <v>0</v>
      </c>
      <c r="H155" s="108">
        <v>41933</v>
      </c>
      <c r="I155" s="109">
        <v>32.9</v>
      </c>
      <c r="J155" s="109">
        <v>18.8</v>
      </c>
      <c r="K155" s="109">
        <v>0</v>
      </c>
      <c r="L155" s="108">
        <v>41964</v>
      </c>
      <c r="M155" s="109">
        <v>31</v>
      </c>
      <c r="N155" s="109">
        <v>14.6</v>
      </c>
      <c r="O155" s="109">
        <v>0</v>
      </c>
      <c r="P155" s="108">
        <v>41994</v>
      </c>
      <c r="Q155" s="109">
        <v>27.9</v>
      </c>
      <c r="R155" s="109">
        <v>10.6</v>
      </c>
      <c r="S155" s="109">
        <v>0</v>
      </c>
    </row>
    <row r="156" spans="4:19" x14ac:dyDescent="0.35">
      <c r="D156" s="108">
        <v>41904</v>
      </c>
      <c r="E156" s="109">
        <v>30.3</v>
      </c>
      <c r="F156" s="109">
        <v>19.899999999999999</v>
      </c>
      <c r="G156" s="109">
        <v>0</v>
      </c>
      <c r="H156" s="108">
        <v>41934</v>
      </c>
      <c r="I156" s="109">
        <v>33.1</v>
      </c>
      <c r="J156" s="109">
        <v>19.899999999999999</v>
      </c>
      <c r="K156" s="109">
        <v>1.6</v>
      </c>
      <c r="L156" s="108">
        <v>41965</v>
      </c>
      <c r="M156" s="109">
        <v>30.1</v>
      </c>
      <c r="N156" s="109">
        <v>15.2</v>
      </c>
      <c r="O156" s="109">
        <v>0</v>
      </c>
      <c r="P156" s="108">
        <v>41995</v>
      </c>
      <c r="Q156" s="109">
        <v>28.2</v>
      </c>
      <c r="R156" s="109">
        <v>8.3000000000000007</v>
      </c>
      <c r="S156" s="109">
        <v>0</v>
      </c>
    </row>
    <row r="157" spans="4:19" x14ac:dyDescent="0.35">
      <c r="D157" s="108">
        <v>41905</v>
      </c>
      <c r="E157" s="109">
        <v>31.1</v>
      </c>
      <c r="F157" s="109">
        <v>20.9</v>
      </c>
      <c r="G157" s="109">
        <v>0</v>
      </c>
      <c r="H157" s="108">
        <v>41935</v>
      </c>
      <c r="I157" s="109">
        <v>32.6</v>
      </c>
      <c r="J157" s="109">
        <v>17.7</v>
      </c>
      <c r="K157" s="109">
        <v>0</v>
      </c>
      <c r="L157" s="108">
        <v>41966</v>
      </c>
      <c r="M157" s="109">
        <v>30.9</v>
      </c>
      <c r="N157" s="109">
        <v>16.100000000000001</v>
      </c>
      <c r="O157" s="109">
        <v>0</v>
      </c>
      <c r="P157" s="108">
        <v>41996</v>
      </c>
      <c r="Q157" s="109">
        <v>28.1</v>
      </c>
      <c r="R157" s="109">
        <v>8.8000000000000007</v>
      </c>
      <c r="S157" s="109">
        <v>0</v>
      </c>
    </row>
    <row r="158" spans="4:19" x14ac:dyDescent="0.35">
      <c r="D158" s="108">
        <v>41906</v>
      </c>
      <c r="E158" s="109">
        <v>31.8</v>
      </c>
      <c r="F158" s="109">
        <v>21.2</v>
      </c>
      <c r="G158" s="109">
        <v>0</v>
      </c>
      <c r="H158" s="108">
        <v>41936</v>
      </c>
      <c r="I158" s="109">
        <v>32.799999999999997</v>
      </c>
      <c r="J158" s="109">
        <v>18.100000000000001</v>
      </c>
      <c r="K158" s="109">
        <v>0</v>
      </c>
      <c r="L158" s="108">
        <v>41967</v>
      </c>
      <c r="M158" s="109">
        <v>30.7</v>
      </c>
      <c r="N158" s="109">
        <v>15.7</v>
      </c>
      <c r="O158" s="109">
        <v>0</v>
      </c>
      <c r="P158" s="108">
        <v>41997</v>
      </c>
      <c r="Q158" s="109">
        <v>29.5</v>
      </c>
      <c r="R158" s="109">
        <v>9.6999999999999993</v>
      </c>
      <c r="S158" s="109">
        <v>0</v>
      </c>
    </row>
    <row r="159" spans="4:19" x14ac:dyDescent="0.35">
      <c r="D159" s="108">
        <v>41907</v>
      </c>
      <c r="E159" s="109">
        <v>32.700000000000003</v>
      </c>
      <c r="F159" s="109">
        <v>22.4</v>
      </c>
      <c r="G159" s="109">
        <v>21.6</v>
      </c>
      <c r="H159" s="108">
        <v>41937</v>
      </c>
      <c r="I159" s="109">
        <v>31.8</v>
      </c>
      <c r="J159" s="109">
        <v>21.1</v>
      </c>
      <c r="K159" s="109">
        <v>0</v>
      </c>
      <c r="L159" s="108">
        <v>41968</v>
      </c>
      <c r="M159" s="109">
        <v>30</v>
      </c>
      <c r="N159" s="109">
        <v>14.4</v>
      </c>
      <c r="O159" s="109">
        <v>0</v>
      </c>
      <c r="P159" s="108">
        <v>41998</v>
      </c>
      <c r="Q159" s="109">
        <v>29</v>
      </c>
      <c r="R159" s="109">
        <v>10.9</v>
      </c>
      <c r="S159" s="109">
        <v>0</v>
      </c>
    </row>
    <row r="160" spans="4:19" x14ac:dyDescent="0.35">
      <c r="D160" s="108">
        <v>41908</v>
      </c>
      <c r="E160" s="109">
        <v>33.4</v>
      </c>
      <c r="F160" s="109">
        <v>19.899999999999999</v>
      </c>
      <c r="G160" s="109">
        <v>61.2</v>
      </c>
      <c r="H160" s="108">
        <v>41938</v>
      </c>
      <c r="I160" s="109">
        <v>23</v>
      </c>
      <c r="J160" s="109">
        <v>17.5</v>
      </c>
      <c r="K160" s="109">
        <v>5.3</v>
      </c>
      <c r="L160" s="108">
        <v>41969</v>
      </c>
      <c r="M160" s="109">
        <v>29.3</v>
      </c>
      <c r="N160" s="109">
        <v>12.4</v>
      </c>
      <c r="O160" s="109">
        <v>0</v>
      </c>
      <c r="P160" s="108">
        <v>41999</v>
      </c>
      <c r="Q160" s="109">
        <v>29.2</v>
      </c>
      <c r="R160" s="109">
        <v>10.9</v>
      </c>
      <c r="S160" s="109">
        <v>0</v>
      </c>
    </row>
    <row r="161" spans="4:19" x14ac:dyDescent="0.35">
      <c r="D161" s="108">
        <v>41909</v>
      </c>
      <c r="E161" s="109">
        <v>33.200000000000003</v>
      </c>
      <c r="F161" s="109">
        <v>20.7</v>
      </c>
      <c r="G161" s="109">
        <v>0</v>
      </c>
      <c r="H161" s="108">
        <v>41939</v>
      </c>
      <c r="I161" s="109">
        <v>24</v>
      </c>
      <c r="J161" s="109">
        <v>19</v>
      </c>
      <c r="K161" s="109">
        <v>0.5</v>
      </c>
      <c r="L161" s="108">
        <v>41970</v>
      </c>
      <c r="M161" s="109">
        <v>29.8</v>
      </c>
      <c r="N161" s="109">
        <v>11.7</v>
      </c>
      <c r="O161" s="109">
        <v>0</v>
      </c>
      <c r="P161" s="108">
        <v>42000</v>
      </c>
      <c r="Q161" s="109">
        <v>26.9</v>
      </c>
      <c r="R161" s="109">
        <v>9.9</v>
      </c>
      <c r="S161" s="109">
        <v>0</v>
      </c>
    </row>
    <row r="162" spans="4:19" x14ac:dyDescent="0.35">
      <c r="D162" s="108">
        <v>41910</v>
      </c>
      <c r="E162" s="109">
        <v>33</v>
      </c>
      <c r="F162" s="109">
        <v>19.7</v>
      </c>
      <c r="G162" s="109">
        <v>0</v>
      </c>
      <c r="H162" s="108">
        <v>41940</v>
      </c>
      <c r="I162" s="109">
        <v>26</v>
      </c>
      <c r="J162" s="109">
        <v>19</v>
      </c>
      <c r="K162" s="109">
        <v>0</v>
      </c>
      <c r="L162" s="108">
        <v>41971</v>
      </c>
      <c r="M162" s="109">
        <v>30.6</v>
      </c>
      <c r="N162" s="109">
        <v>11.8</v>
      </c>
      <c r="O162" s="109">
        <v>0</v>
      </c>
      <c r="P162" s="108">
        <v>42001</v>
      </c>
      <c r="Q162" s="109">
        <v>25.4</v>
      </c>
      <c r="R162" s="109">
        <v>8.4</v>
      </c>
      <c r="S162" s="109">
        <v>0</v>
      </c>
    </row>
    <row r="163" spans="4:19" x14ac:dyDescent="0.35">
      <c r="D163" s="108">
        <v>41911</v>
      </c>
      <c r="E163" s="109">
        <v>33.200000000000003</v>
      </c>
      <c r="F163" s="109">
        <v>21.1</v>
      </c>
      <c r="G163" s="109">
        <v>0</v>
      </c>
      <c r="H163" s="108">
        <v>41941</v>
      </c>
      <c r="I163" s="109">
        <v>30.9</v>
      </c>
      <c r="J163" s="109">
        <v>15.3</v>
      </c>
      <c r="K163" s="109">
        <v>0</v>
      </c>
      <c r="L163" s="108">
        <v>41972</v>
      </c>
      <c r="M163" s="109">
        <v>30</v>
      </c>
      <c r="N163" s="109">
        <v>12.7</v>
      </c>
      <c r="O163" s="109">
        <v>0</v>
      </c>
      <c r="P163" s="108">
        <v>42002</v>
      </c>
      <c r="Q163" s="109">
        <v>25.9</v>
      </c>
      <c r="R163" s="109">
        <v>7.8</v>
      </c>
      <c r="S163" s="109">
        <v>0</v>
      </c>
    </row>
    <row r="164" spans="4:19" x14ac:dyDescent="0.35">
      <c r="D164" s="108">
        <v>41912</v>
      </c>
      <c r="E164" s="109">
        <v>33</v>
      </c>
      <c r="F164" s="109">
        <v>20.9</v>
      </c>
      <c r="G164" s="109">
        <v>0</v>
      </c>
      <c r="H164" s="108">
        <v>41942</v>
      </c>
      <c r="I164" s="109">
        <v>31</v>
      </c>
      <c r="J164" s="109">
        <v>13.9</v>
      </c>
      <c r="K164" s="109">
        <v>0</v>
      </c>
      <c r="L164" s="108">
        <v>41973</v>
      </c>
      <c r="M164" s="109">
        <v>30.6</v>
      </c>
      <c r="N164" s="109">
        <v>11.2</v>
      </c>
      <c r="O164" s="109">
        <v>0</v>
      </c>
      <c r="P164" s="108">
        <v>42003</v>
      </c>
      <c r="Q164" s="109">
        <v>27.9</v>
      </c>
      <c r="R164" s="109">
        <v>11.1</v>
      </c>
      <c r="S164" s="109">
        <v>0</v>
      </c>
    </row>
    <row r="165" spans="4:19" x14ac:dyDescent="0.35">
      <c r="D165" s="108"/>
      <c r="E165" s="109"/>
      <c r="F165" s="109"/>
      <c r="H165" s="108">
        <v>41943</v>
      </c>
      <c r="I165" s="109">
        <v>31.9</v>
      </c>
      <c r="J165" s="109">
        <v>13.9</v>
      </c>
      <c r="K165" s="109">
        <v>0</v>
      </c>
      <c r="L165" s="108"/>
      <c r="M165" s="109"/>
      <c r="N165" s="109"/>
      <c r="O165" s="109"/>
      <c r="P165" s="108">
        <v>42004</v>
      </c>
      <c r="Q165" s="109">
        <v>29.9</v>
      </c>
      <c r="R165" s="109">
        <v>14.5</v>
      </c>
      <c r="S165" s="109">
        <v>0</v>
      </c>
    </row>
    <row r="167" spans="4:19" x14ac:dyDescent="0.35">
      <c r="E167" s="115">
        <f>MAX(E135:E166)</f>
        <v>33.4</v>
      </c>
      <c r="F167" s="48">
        <f>MIN(F135:F166)</f>
        <v>18.899999999999999</v>
      </c>
      <c r="G167" s="112">
        <f>SUM(G135:G164)</f>
        <v>128.5</v>
      </c>
      <c r="I167" s="115">
        <f>MAX(I135:I166)</f>
        <v>34.700000000000003</v>
      </c>
      <c r="J167" s="48">
        <f>MIN(J135:J166)</f>
        <v>13.9</v>
      </c>
      <c r="K167" s="112">
        <f>SUM(K135:K165)</f>
        <v>25.900000000000002</v>
      </c>
      <c r="M167" s="115">
        <f>MAX(M135:M166)</f>
        <v>33.299999999999997</v>
      </c>
      <c r="N167" s="48">
        <f>MIN(N135:N166)</f>
        <v>11.2</v>
      </c>
      <c r="O167" s="112">
        <f>SUM(O135:O165)</f>
        <v>25.599999999999998</v>
      </c>
      <c r="Q167" s="115">
        <f>MAX(Q135:Q166)</f>
        <v>31.9</v>
      </c>
      <c r="R167" s="48">
        <f>MIN(R135:R166)</f>
        <v>7.8</v>
      </c>
      <c r="S167" s="112">
        <f>SUM(S135:S165)</f>
        <v>53.1</v>
      </c>
    </row>
    <row r="198" spans="4:11" x14ac:dyDescent="0.35">
      <c r="D198" s="108"/>
      <c r="E198" s="109"/>
      <c r="F198" s="109"/>
      <c r="G198" s="109"/>
      <c r="H198" s="108"/>
      <c r="I198" s="110"/>
      <c r="J198" s="110"/>
      <c r="K198" s="110"/>
    </row>
    <row r="199" spans="4:11" x14ac:dyDescent="0.35">
      <c r="D199" s="108"/>
      <c r="E199" s="109"/>
      <c r="F199" s="109"/>
      <c r="G199" s="109"/>
      <c r="H199" s="108"/>
      <c r="I199" s="110"/>
      <c r="J199" s="110"/>
      <c r="K199" s="110"/>
    </row>
  </sheetData>
  <mergeCells count="2">
    <mergeCell ref="D4:U4"/>
    <mergeCell ref="V4:AM4"/>
  </mergeCells>
  <conditionalFormatting sqref="P71:P101 L71:L101 L7:L37 P7:P37 D198:D199 L135:L165 H135:H165 D7:D37 H7:H37 D71:D101 H71:H101 D135:D165 H198:H199 P135:P165">
    <cfRule type="expression" dxfId="66" priority="69" stopIfTrue="1">
      <formula>D7=TODAY()</formula>
    </cfRule>
  </conditionalFormatting>
  <conditionalFormatting sqref="D7:D37 D71:D101 D135:D165 H135:H165 D198:D199 H198:H199">
    <cfRule type="expression" dxfId="65" priority="68" stopIfTrue="1">
      <formula>AND($A7&lt;=TODAY(),ISEVEN(ROW()))</formula>
    </cfRule>
  </conditionalFormatting>
  <conditionalFormatting sqref="D7:D37">
    <cfRule type="expression" dxfId="64" priority="67" stopIfTrue="1">
      <formula>AND($A7&lt;=TODAY(),ISEVEN(ROW()))</formula>
    </cfRule>
  </conditionalFormatting>
  <conditionalFormatting sqref="P71:P101 L71:L101 L7:L37 P7:P37 D198:D199 L135:L165 H135:H165 D11:D37 H7:H37 D71:D101 H71:H101 D135:D165 H198:H199 P135:P165">
    <cfRule type="expression" dxfId="63" priority="66" stopIfTrue="1">
      <formula>D7=TODAY()</formula>
    </cfRule>
  </conditionalFormatting>
  <conditionalFormatting sqref="D11:D37">
    <cfRule type="expression" dxfId="62" priority="65" stopIfTrue="1">
      <formula>AND($A11&lt;=TODAY(),ISEVEN(ROW()))</formula>
    </cfRule>
  </conditionalFormatting>
  <conditionalFormatting sqref="D7:D37">
    <cfRule type="expression" dxfId="61" priority="64" stopIfTrue="1">
      <formula>AND($A7&lt;=TODAY(),ISEVEN(ROW()))</formula>
    </cfRule>
  </conditionalFormatting>
  <conditionalFormatting sqref="L7:L37 P7:P37 P71:P101 L71:L101 L135:L165 P135:P165">
    <cfRule type="expression" dxfId="60" priority="63" stopIfTrue="1">
      <formula>AND($A39&lt;=TODAY(),ISEVEN(ROW()))</formula>
    </cfRule>
  </conditionalFormatting>
  <conditionalFormatting sqref="L11:L34">
    <cfRule type="expression" dxfId="59" priority="62" stopIfTrue="1">
      <formula>AND($A43&lt;=TODAY(),ISEVEN(ROW()))</formula>
    </cfRule>
  </conditionalFormatting>
  <conditionalFormatting sqref="L7:L34">
    <cfRule type="expression" dxfId="58" priority="61" stopIfTrue="1">
      <formula>AND($A39&lt;=TODAY(),ISEVEN(ROW()))</formula>
    </cfRule>
  </conditionalFormatting>
  <conditionalFormatting sqref="H7:H34">
    <cfRule type="expression" dxfId="57" priority="60" stopIfTrue="1">
      <formula>AND($A7&lt;=TODAY(),ISEVEN(ROW()))</formula>
    </cfRule>
  </conditionalFormatting>
  <conditionalFormatting sqref="H7:H34">
    <cfRule type="expression" dxfId="56" priority="59" stopIfTrue="1">
      <formula>AND($A7&lt;=TODAY(),ISEVEN(ROW()))</formula>
    </cfRule>
  </conditionalFormatting>
  <conditionalFormatting sqref="H11:H34">
    <cfRule type="expression" dxfId="55" priority="58" stopIfTrue="1">
      <formula>AND($A11&lt;=TODAY(),ISEVEN(ROW()))</formula>
    </cfRule>
  </conditionalFormatting>
  <conditionalFormatting sqref="H7:H34">
    <cfRule type="expression" dxfId="54" priority="57" stopIfTrue="1">
      <formula>AND($A7&lt;=TODAY(),ISEVEN(ROW()))</formula>
    </cfRule>
  </conditionalFormatting>
  <conditionalFormatting sqref="H7:H37">
    <cfRule type="expression" dxfId="53" priority="56" stopIfTrue="1">
      <formula>AND($A7&lt;=TODAY(),ISEVEN(ROW()))</formula>
    </cfRule>
  </conditionalFormatting>
  <conditionalFormatting sqref="H7:H37">
    <cfRule type="expression" dxfId="52" priority="55" stopIfTrue="1">
      <formula>AND($A7&lt;=TODAY(),ISEVEN(ROW()))</formula>
    </cfRule>
  </conditionalFormatting>
  <conditionalFormatting sqref="H11:H37">
    <cfRule type="expression" dxfId="51" priority="54" stopIfTrue="1">
      <formula>AND($A11&lt;=TODAY(),ISEVEN(ROW()))</formula>
    </cfRule>
  </conditionalFormatting>
  <conditionalFormatting sqref="H7:H37">
    <cfRule type="expression" dxfId="50" priority="53" stopIfTrue="1">
      <formula>AND($A7&lt;=TODAY(),ISEVEN(ROW()))</formula>
    </cfRule>
  </conditionalFormatting>
  <conditionalFormatting sqref="P7:P36">
    <cfRule type="expression" dxfId="49" priority="52" stopIfTrue="1">
      <formula>AND($A39&lt;=TODAY(),ISEVEN(ROW()))</formula>
    </cfRule>
  </conditionalFormatting>
  <conditionalFormatting sqref="P7:P36">
    <cfRule type="expression" dxfId="48" priority="51" stopIfTrue="1">
      <formula>AND($A39&lt;=TODAY(),ISEVEN(ROW()))</formula>
    </cfRule>
  </conditionalFormatting>
  <conditionalFormatting sqref="P7:P36">
    <cfRule type="expression" dxfId="47" priority="50" stopIfTrue="1">
      <formula>AND($A39&lt;=TODAY(),ISEVEN(ROW()))</formula>
    </cfRule>
  </conditionalFormatting>
  <conditionalFormatting sqref="P7:P36">
    <cfRule type="expression" dxfId="46" priority="49" stopIfTrue="1">
      <formula>AND($A39&lt;=TODAY(),ISEVEN(ROW()))</formula>
    </cfRule>
  </conditionalFormatting>
  <conditionalFormatting sqref="L7:L37">
    <cfRule type="expression" dxfId="45" priority="48" stopIfTrue="1">
      <formula>AND($A39&lt;=TODAY(),ISEVEN(ROW()))</formula>
    </cfRule>
  </conditionalFormatting>
  <conditionalFormatting sqref="L11:L37">
    <cfRule type="expression" dxfId="44" priority="47" stopIfTrue="1">
      <formula>AND($A43&lt;=TODAY(),ISEVEN(ROW()))</formula>
    </cfRule>
  </conditionalFormatting>
  <conditionalFormatting sqref="L7:L37">
    <cfRule type="expression" dxfId="43" priority="46" stopIfTrue="1">
      <formula>AND($A39&lt;=TODAY(),ISEVEN(ROW()))</formula>
    </cfRule>
  </conditionalFormatting>
  <conditionalFormatting sqref="P7:P34">
    <cfRule type="expression" dxfId="42" priority="45" stopIfTrue="1">
      <formula>AND($A39&lt;=TODAY(),ISEVEN(ROW()))</formula>
    </cfRule>
  </conditionalFormatting>
  <conditionalFormatting sqref="P7:P34">
    <cfRule type="expression" dxfId="41" priority="44" stopIfTrue="1">
      <formula>AND($A39&lt;=TODAY(),ISEVEN(ROW()))</formula>
    </cfRule>
  </conditionalFormatting>
  <conditionalFormatting sqref="P11:P34">
    <cfRule type="expression" dxfId="40" priority="43" stopIfTrue="1">
      <formula>AND($A43&lt;=TODAY(),ISEVEN(ROW()))</formula>
    </cfRule>
  </conditionalFormatting>
  <conditionalFormatting sqref="P7:P34">
    <cfRule type="expression" dxfId="39" priority="42" stopIfTrue="1">
      <formula>AND($A39&lt;=TODAY(),ISEVEN(ROW()))</formula>
    </cfRule>
  </conditionalFormatting>
  <conditionalFormatting sqref="P7:P37">
    <cfRule type="expression" dxfId="38" priority="41" stopIfTrue="1">
      <formula>AND($A39&lt;=TODAY(),ISEVEN(ROW()))</formula>
    </cfRule>
  </conditionalFormatting>
  <conditionalFormatting sqref="P7:P37">
    <cfRule type="expression" dxfId="37" priority="40" stopIfTrue="1">
      <formula>AND($A39&lt;=TODAY(),ISEVEN(ROW()))</formula>
    </cfRule>
  </conditionalFormatting>
  <conditionalFormatting sqref="P11:P37">
    <cfRule type="expression" dxfId="36" priority="39" stopIfTrue="1">
      <formula>AND($A43&lt;=TODAY(),ISEVEN(ROW()))</formula>
    </cfRule>
  </conditionalFormatting>
  <conditionalFormatting sqref="P7:P37">
    <cfRule type="expression" dxfId="35" priority="38" stopIfTrue="1">
      <formula>AND($A39&lt;=TODAY(),ISEVEN(ROW()))</formula>
    </cfRule>
  </conditionalFormatting>
  <conditionalFormatting sqref="D71:D101">
    <cfRule type="expression" dxfId="34" priority="37" stopIfTrue="1">
      <formula>AND($A71&lt;=TODAY(),ISEVEN(ROW()))</formula>
    </cfRule>
  </conditionalFormatting>
  <conditionalFormatting sqref="D71:D101">
    <cfRule type="expression" dxfId="33" priority="36" stopIfTrue="1">
      <formula>AND($A71&lt;=TODAY(),ISEVEN(ROW()))</formula>
    </cfRule>
  </conditionalFormatting>
  <conditionalFormatting sqref="D71:D101">
    <cfRule type="expression" dxfId="32" priority="35" stopIfTrue="1">
      <formula>AND($A71&lt;=TODAY(),ISEVEN(ROW()))</formula>
    </cfRule>
  </conditionalFormatting>
  <conditionalFormatting sqref="H71:H100">
    <cfRule type="expression" dxfId="31" priority="34" stopIfTrue="1">
      <formula>AND($A71&lt;=TODAY(),ISEVEN(ROW()))</formula>
    </cfRule>
  </conditionalFormatting>
  <conditionalFormatting sqref="H71:H100">
    <cfRule type="expression" dxfId="30" priority="33" stopIfTrue="1">
      <formula>AND($A71&lt;=TODAY(),ISEVEN(ROW()))</formula>
    </cfRule>
  </conditionalFormatting>
  <conditionalFormatting sqref="H71:H100">
    <cfRule type="expression" dxfId="29" priority="32" stopIfTrue="1">
      <formula>AND($A71&lt;=TODAY(),ISEVEN(ROW()))</formula>
    </cfRule>
  </conditionalFormatting>
  <conditionalFormatting sqref="H71:H100">
    <cfRule type="expression" dxfId="28" priority="31" stopIfTrue="1">
      <formula>AND($A71&lt;=TODAY(),ISEVEN(ROW()))</formula>
    </cfRule>
  </conditionalFormatting>
  <conditionalFormatting sqref="P71:P101">
    <cfRule type="expression" dxfId="27" priority="30" stopIfTrue="1">
      <formula>AND($A103&lt;=TODAY(),ISEVEN(ROW()))</formula>
    </cfRule>
  </conditionalFormatting>
  <conditionalFormatting sqref="H135:H165">
    <cfRule type="expression" dxfId="26" priority="29" stopIfTrue="1">
      <formula>AND($A135&lt;=TODAY(),ISEVEN(ROW()))</formula>
    </cfRule>
  </conditionalFormatting>
  <conditionalFormatting sqref="P135:P165">
    <cfRule type="expression" dxfId="25" priority="27" stopIfTrue="1">
      <formula>AND($A167&lt;=TODAY(),ISEVEN(ROW()))</formula>
    </cfRule>
  </conditionalFormatting>
  <conditionalFormatting sqref="H7:H37 H71:H101">
    <cfRule type="expression" dxfId="24" priority="25" stopIfTrue="1">
      <formula>AND($A7&lt;=TODAY(),ISEVEN(ROW()))</formula>
    </cfRule>
  </conditionalFormatting>
  <conditionalFormatting sqref="H7:H37">
    <cfRule type="expression" dxfId="23" priority="24" stopIfTrue="1">
      <formula>AND($A7&lt;=TODAY(),ISEVEN(ROW()))</formula>
    </cfRule>
  </conditionalFormatting>
  <conditionalFormatting sqref="H11:H37">
    <cfRule type="expression" dxfId="22" priority="23" stopIfTrue="1">
      <formula>AND($A11&lt;=TODAY(),ISEVEN(ROW()))</formula>
    </cfRule>
  </conditionalFormatting>
  <conditionalFormatting sqref="H7:H37">
    <cfRule type="expression" dxfId="21" priority="22" stopIfTrue="1">
      <formula>AND($A7&lt;=TODAY(),ISEVEN(ROW()))</formula>
    </cfRule>
  </conditionalFormatting>
  <conditionalFormatting sqref="P7:P34">
    <cfRule type="expression" dxfId="20" priority="21" stopIfTrue="1">
      <formula>AND($A39&lt;=TODAY(),ISEVEN(ROW()))</formula>
    </cfRule>
  </conditionalFormatting>
  <conditionalFormatting sqref="P11:P34">
    <cfRule type="expression" dxfId="19" priority="20" stopIfTrue="1">
      <formula>AND($A43&lt;=TODAY(),ISEVEN(ROW()))</formula>
    </cfRule>
  </conditionalFormatting>
  <conditionalFormatting sqref="P7:P34">
    <cfRule type="expression" dxfId="18" priority="19" stopIfTrue="1">
      <formula>AND($A39&lt;=TODAY(),ISEVEN(ROW()))</formula>
    </cfRule>
  </conditionalFormatting>
  <conditionalFormatting sqref="P7:P37">
    <cfRule type="expression" dxfId="17" priority="18" stopIfTrue="1">
      <formula>AND($A39&lt;=TODAY(),ISEVEN(ROW()))</formula>
    </cfRule>
  </conditionalFormatting>
  <conditionalFormatting sqref="P11:P37">
    <cfRule type="expression" dxfId="16" priority="17" stopIfTrue="1">
      <formula>AND($A43&lt;=TODAY(),ISEVEN(ROW()))</formula>
    </cfRule>
  </conditionalFormatting>
  <conditionalFormatting sqref="P7:P37">
    <cfRule type="expression" dxfId="15" priority="16" stopIfTrue="1">
      <formula>AND($A39&lt;=TODAY(),ISEVEN(ROW()))</formula>
    </cfRule>
  </conditionalFormatting>
  <conditionalFormatting sqref="H71:H101">
    <cfRule type="expression" dxfId="14" priority="15" stopIfTrue="1">
      <formula>AND($A71&lt;=TODAY(),ISEVEN(ROW()))</formula>
    </cfRule>
  </conditionalFormatting>
  <conditionalFormatting sqref="H71:H101">
    <cfRule type="expression" dxfId="13" priority="14" stopIfTrue="1">
      <formula>AND($A71&lt;=TODAY(),ISEVEN(ROW()))</formula>
    </cfRule>
  </conditionalFormatting>
  <conditionalFormatting sqref="H71:H101">
    <cfRule type="expression" dxfId="12" priority="13" stopIfTrue="1">
      <formula>AND($A71&lt;=TODAY(),ISEVEN(ROW()))</formula>
    </cfRule>
  </conditionalFormatting>
  <conditionalFormatting sqref="D71:D98">
    <cfRule type="expression" dxfId="11" priority="12" stopIfTrue="1">
      <formula>AND($A71&lt;=TODAY(),ISEVEN(ROW()))</formula>
    </cfRule>
  </conditionalFormatting>
  <conditionalFormatting sqref="D75:D98">
    <cfRule type="expression" dxfId="10" priority="11" stopIfTrue="1">
      <formula>AND($A75&lt;=TODAY(),ISEVEN(ROW()))</formula>
    </cfRule>
  </conditionalFormatting>
  <conditionalFormatting sqref="D71:D98">
    <cfRule type="expression" dxfId="9" priority="10" stopIfTrue="1">
      <formula>AND($A71&lt;=TODAY(),ISEVEN(ROW()))</formula>
    </cfRule>
  </conditionalFormatting>
  <conditionalFormatting sqref="D71:D101">
    <cfRule type="expression" dxfId="8" priority="9" stopIfTrue="1">
      <formula>AND($A71&lt;=TODAY(),ISEVEN(ROW()))</formula>
    </cfRule>
  </conditionalFormatting>
  <conditionalFormatting sqref="D75:D101">
    <cfRule type="expression" dxfId="7" priority="8" stopIfTrue="1">
      <formula>AND($A75&lt;=TODAY(),ISEVEN(ROW()))</formula>
    </cfRule>
  </conditionalFormatting>
  <conditionalFormatting sqref="D71:D101">
    <cfRule type="expression" dxfId="6" priority="7" stopIfTrue="1">
      <formula>AND($A71&lt;=TODAY(),ISEVEN(ROW()))</formula>
    </cfRule>
  </conditionalFormatting>
  <conditionalFormatting sqref="L71:L101">
    <cfRule type="expression" dxfId="5" priority="6" stopIfTrue="1">
      <formula>AND($A103&lt;=TODAY(),ISEVEN(ROW()))</formula>
    </cfRule>
  </conditionalFormatting>
  <conditionalFormatting sqref="L75:L101">
    <cfRule type="expression" dxfId="4" priority="5" stopIfTrue="1">
      <formula>AND($A107&lt;=TODAY(),ISEVEN(ROW()))</formula>
    </cfRule>
  </conditionalFormatting>
  <conditionalFormatting sqref="L71:L101">
    <cfRule type="expression" dxfId="3" priority="4" stopIfTrue="1">
      <formula>AND($A103&lt;=TODAY(),ISEVEN(ROW()))</formula>
    </cfRule>
  </conditionalFormatting>
  <conditionalFormatting sqref="D135:D164">
    <cfRule type="expression" dxfId="2" priority="3" stopIfTrue="1">
      <formula>AND($A135&lt;=TODAY(),ISEVEN(ROW()))</formula>
    </cfRule>
  </conditionalFormatting>
  <conditionalFormatting sqref="D139:D164">
    <cfRule type="expression" dxfId="1" priority="2" stopIfTrue="1">
      <formula>AND($A139&lt;=TODAY(),ISEVEN(ROW()))</formula>
    </cfRule>
  </conditionalFormatting>
  <conditionalFormatting sqref="D135:D164">
    <cfRule type="expression" dxfId="0" priority="1" stopIfTrue="1">
      <formula>AND($A135&lt;=TODAY(),ISEVEN(ROW()))</formula>
    </cfRule>
  </conditionalFormatting>
  <dataValidations count="3">
    <dataValidation type="custom" allowBlank="1" showInputMessage="1" showErrorMessage="1" errorTitle="Rainfall (Actual)" error="Invalid Data" promptTitle="Rainfall (Actual)" sqref="S135:S165 O71:O101 S71:S101 G198:G199 O135:O165 G7:G37 K71:K100 K7:K34 G71:G101 G135:G164 K135:K165 O7:O37 S7:S36">
      <formula1>OR(G7="tr",G7&gt;=0)</formula1>
    </dataValidation>
    <dataValidation type="decimal" allowBlank="1" showInputMessage="1" showErrorMessage="1" errorTitle="Minimum Temperature (Actual)" error="Invalid Data" promptTitle="Minimum Temperature (Actual)" prompt="Between 5.0°C to 30.0°C" sqref="R135:R165 N71:N101 R71:R101 F198:F199 N135:N165 F7:F37 J71:J100 J7:J34 F71:F101 F135:F165 J135:J165 N7:N37 R7:R36">
      <formula1>5</formula1>
      <formula2>30</formula2>
    </dataValidation>
    <dataValidation type="decimal" allowBlank="1" showInputMessage="1" showErrorMessage="1" errorTitle="Maximum Temperature (Actual)" error="Invalid Data" promptTitle="Maximum Temperature (Actual)" prompt="Between 21.0°C to 45.0°C" sqref="Q135:Q165 M71:M101 Q71:Q101 E198:E199 M135:M165 E7:E37 I71:I100 I7:I34 E71:E101 E135:E165 I135:I165 M7:M37 Q7:Q36">
      <formula1>21</formula1>
      <formula2>45</formula2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H81"/>
  <sheetViews>
    <sheetView tabSelected="1" workbookViewId="0">
      <selection activeCell="J78" sqref="J78"/>
    </sheetView>
  </sheetViews>
  <sheetFormatPr defaultRowHeight="14.5" x14ac:dyDescent="0.35"/>
  <sheetData>
    <row r="3" spans="3:7" x14ac:dyDescent="0.35">
      <c r="D3" t="s">
        <v>2399</v>
      </c>
      <c r="G3" s="56" t="s">
        <v>2440</v>
      </c>
    </row>
    <row r="4" spans="3:7" x14ac:dyDescent="0.35">
      <c r="C4">
        <v>1981</v>
      </c>
      <c r="D4">
        <v>66</v>
      </c>
      <c r="F4">
        <v>1981</v>
      </c>
      <c r="G4">
        <v>792.5</v>
      </c>
    </row>
    <row r="5" spans="3:7" x14ac:dyDescent="0.35">
      <c r="C5">
        <v>1982</v>
      </c>
      <c r="D5">
        <v>46</v>
      </c>
      <c r="F5">
        <v>1982</v>
      </c>
      <c r="G5">
        <v>551.80000000000007</v>
      </c>
    </row>
    <row r="6" spans="3:7" x14ac:dyDescent="0.35">
      <c r="C6">
        <v>1983</v>
      </c>
      <c r="D6">
        <v>63.5</v>
      </c>
      <c r="F6">
        <v>1983</v>
      </c>
      <c r="G6" s="10">
        <v>762.1</v>
      </c>
    </row>
    <row r="7" spans="3:7" x14ac:dyDescent="0.35">
      <c r="C7">
        <v>1984</v>
      </c>
      <c r="D7">
        <v>75.5</v>
      </c>
      <c r="F7">
        <v>1984</v>
      </c>
      <c r="G7" s="10">
        <v>906.3</v>
      </c>
    </row>
    <row r="8" spans="3:7" x14ac:dyDescent="0.35">
      <c r="C8">
        <v>1985</v>
      </c>
      <c r="D8">
        <v>52.4</v>
      </c>
      <c r="F8">
        <v>1985</v>
      </c>
      <c r="G8" s="48">
        <v>629.09999999999991</v>
      </c>
    </row>
    <row r="9" spans="3:7" x14ac:dyDescent="0.35">
      <c r="C9">
        <v>1986</v>
      </c>
      <c r="D9">
        <v>47.5</v>
      </c>
      <c r="F9">
        <v>1986</v>
      </c>
      <c r="G9" s="10">
        <v>570.1</v>
      </c>
    </row>
    <row r="10" spans="3:7" x14ac:dyDescent="0.35">
      <c r="C10">
        <v>1987</v>
      </c>
      <c r="D10">
        <v>59.9</v>
      </c>
      <c r="F10">
        <v>1987</v>
      </c>
      <c r="G10" s="10">
        <v>718.9</v>
      </c>
    </row>
    <row r="11" spans="3:7" x14ac:dyDescent="0.35">
      <c r="C11">
        <v>1988</v>
      </c>
      <c r="D11">
        <v>78.8</v>
      </c>
      <c r="F11">
        <v>1988</v>
      </c>
      <c r="G11" s="48">
        <v>946</v>
      </c>
    </row>
    <row r="12" spans="3:7" x14ac:dyDescent="0.35">
      <c r="C12">
        <v>1989</v>
      </c>
      <c r="D12">
        <v>55.7</v>
      </c>
      <c r="F12">
        <v>1989</v>
      </c>
      <c r="G12" s="10">
        <v>668.6</v>
      </c>
    </row>
    <row r="13" spans="3:7" x14ac:dyDescent="0.35">
      <c r="C13">
        <v>1990</v>
      </c>
      <c r="D13">
        <v>75.2</v>
      </c>
      <c r="F13">
        <v>1990</v>
      </c>
      <c r="G13" s="10">
        <v>902.4</v>
      </c>
    </row>
    <row r="14" spans="3:7" x14ac:dyDescent="0.35">
      <c r="C14">
        <v>1991</v>
      </c>
      <c r="D14">
        <v>84.4</v>
      </c>
      <c r="F14">
        <v>1991</v>
      </c>
      <c r="G14" s="10">
        <v>1013.3</v>
      </c>
    </row>
    <row r="15" spans="3:7" x14ac:dyDescent="0.35">
      <c r="C15">
        <v>1992</v>
      </c>
      <c r="D15">
        <v>53.4</v>
      </c>
      <c r="F15">
        <v>1992</v>
      </c>
      <c r="G15" s="10">
        <v>640.70000000000005</v>
      </c>
    </row>
    <row r="16" spans="3:7" x14ac:dyDescent="0.35">
      <c r="C16">
        <v>1993</v>
      </c>
      <c r="D16">
        <v>61.9</v>
      </c>
      <c r="F16">
        <v>1993</v>
      </c>
      <c r="G16" s="10">
        <v>743.1</v>
      </c>
    </row>
    <row r="17" spans="3:7" x14ac:dyDescent="0.35">
      <c r="C17">
        <v>1994</v>
      </c>
      <c r="D17">
        <v>80.5</v>
      </c>
      <c r="F17">
        <v>1994</v>
      </c>
      <c r="G17" s="10">
        <v>966.2</v>
      </c>
    </row>
    <row r="18" spans="3:7" x14ac:dyDescent="0.35">
      <c r="C18">
        <v>1995</v>
      </c>
      <c r="D18">
        <v>53.3</v>
      </c>
      <c r="F18">
        <v>1995</v>
      </c>
      <c r="G18" s="10">
        <v>627.6</v>
      </c>
    </row>
    <row r="19" spans="3:7" x14ac:dyDescent="0.35">
      <c r="C19">
        <v>1996</v>
      </c>
      <c r="D19">
        <v>67</v>
      </c>
      <c r="F19">
        <v>1996</v>
      </c>
      <c r="G19" s="10">
        <v>803.9</v>
      </c>
    </row>
    <row r="20" spans="3:7" x14ac:dyDescent="0.35">
      <c r="C20">
        <v>1997</v>
      </c>
      <c r="D20">
        <v>85.5</v>
      </c>
      <c r="F20">
        <v>1997</v>
      </c>
      <c r="G20" s="10">
        <v>1025.8</v>
      </c>
    </row>
    <row r="21" spans="3:7" x14ac:dyDescent="0.35">
      <c r="C21">
        <v>1998</v>
      </c>
      <c r="D21">
        <v>66.7</v>
      </c>
      <c r="F21">
        <v>1998</v>
      </c>
      <c r="G21" s="10">
        <v>800.7</v>
      </c>
    </row>
    <row r="22" spans="3:7" x14ac:dyDescent="0.35">
      <c r="C22">
        <v>1999</v>
      </c>
      <c r="D22">
        <v>61.1</v>
      </c>
      <c r="F22">
        <v>1999</v>
      </c>
      <c r="G22" s="10">
        <v>732.7</v>
      </c>
    </row>
    <row r="23" spans="3:7" x14ac:dyDescent="0.35">
      <c r="C23">
        <v>2000</v>
      </c>
      <c r="D23">
        <v>46.5</v>
      </c>
      <c r="F23">
        <v>2000</v>
      </c>
      <c r="G23" s="10">
        <v>558.29999999999995</v>
      </c>
    </row>
    <row r="24" spans="3:7" x14ac:dyDescent="0.35">
      <c r="C24">
        <v>2001</v>
      </c>
      <c r="D24">
        <v>45.7</v>
      </c>
      <c r="F24">
        <v>2001</v>
      </c>
      <c r="G24" s="10">
        <v>548.6</v>
      </c>
    </row>
    <row r="25" spans="3:7" x14ac:dyDescent="0.35">
      <c r="C25">
        <v>2002</v>
      </c>
      <c r="D25">
        <v>34.4</v>
      </c>
      <c r="F25">
        <v>2002</v>
      </c>
      <c r="G25" s="10">
        <v>424.7</v>
      </c>
    </row>
    <row r="26" spans="3:7" x14ac:dyDescent="0.35">
      <c r="C26">
        <v>2003</v>
      </c>
      <c r="D26">
        <v>38.299999999999997</v>
      </c>
      <c r="F26">
        <v>2003</v>
      </c>
      <c r="G26" s="48">
        <v>459</v>
      </c>
    </row>
    <row r="27" spans="3:7" x14ac:dyDescent="0.35">
      <c r="C27">
        <v>2004</v>
      </c>
      <c r="D27">
        <v>76.099999999999994</v>
      </c>
      <c r="F27">
        <v>2004</v>
      </c>
      <c r="G27" s="10">
        <v>913.3</v>
      </c>
    </row>
    <row r="28" spans="3:7" x14ac:dyDescent="0.35">
      <c r="C28">
        <v>2005</v>
      </c>
      <c r="D28">
        <v>111.5</v>
      </c>
      <c r="F28">
        <v>2005</v>
      </c>
      <c r="G28" s="10">
        <v>1338.4</v>
      </c>
    </row>
    <row r="29" spans="3:7" x14ac:dyDescent="0.35">
      <c r="C29">
        <v>2006</v>
      </c>
      <c r="D29">
        <v>105</v>
      </c>
      <c r="F29">
        <v>2006</v>
      </c>
      <c r="G29" s="10">
        <v>1266.9000000000001</v>
      </c>
    </row>
    <row r="30" spans="3:7" x14ac:dyDescent="0.35">
      <c r="C30">
        <v>2007</v>
      </c>
      <c r="D30">
        <v>72</v>
      </c>
      <c r="F30">
        <v>2007</v>
      </c>
      <c r="G30" s="10">
        <v>864.5</v>
      </c>
    </row>
    <row r="31" spans="3:7" x14ac:dyDescent="0.35">
      <c r="C31">
        <v>2008</v>
      </c>
      <c r="D31">
        <v>63.1</v>
      </c>
      <c r="F31">
        <v>2008</v>
      </c>
      <c r="G31" s="10">
        <v>756.6</v>
      </c>
    </row>
    <row r="32" spans="3:7" x14ac:dyDescent="0.35">
      <c r="C32">
        <v>2009</v>
      </c>
      <c r="D32">
        <v>68.599999999999994</v>
      </c>
      <c r="F32">
        <v>2009</v>
      </c>
      <c r="G32" s="10">
        <v>823.2</v>
      </c>
    </row>
    <row r="33" spans="3:8" x14ac:dyDescent="0.35">
      <c r="C33">
        <v>2010</v>
      </c>
      <c r="D33">
        <v>68.599999999999994</v>
      </c>
      <c r="F33">
        <v>2010</v>
      </c>
      <c r="G33" s="10">
        <v>1058.3</v>
      </c>
    </row>
    <row r="34" spans="3:8" x14ac:dyDescent="0.35">
      <c r="C34">
        <v>2011</v>
      </c>
      <c r="D34">
        <v>66.040000000000006</v>
      </c>
      <c r="F34">
        <v>2011</v>
      </c>
      <c r="G34" s="10">
        <v>941.5</v>
      </c>
    </row>
    <row r="35" spans="3:8" x14ac:dyDescent="0.35">
      <c r="C35">
        <v>2012</v>
      </c>
      <c r="D35">
        <v>1.4</v>
      </c>
      <c r="F35">
        <v>2012</v>
      </c>
      <c r="G35">
        <v>519.40000000000009</v>
      </c>
    </row>
    <row r="36" spans="3:8" x14ac:dyDescent="0.35">
      <c r="F36">
        <v>2013</v>
      </c>
      <c r="G36">
        <v>774.1</v>
      </c>
    </row>
    <row r="37" spans="3:8" x14ac:dyDescent="0.35">
      <c r="F37">
        <v>2014</v>
      </c>
      <c r="G37">
        <v>829</v>
      </c>
    </row>
    <row r="38" spans="3:8" x14ac:dyDescent="0.35">
      <c r="F38">
        <v>2015</v>
      </c>
      <c r="G38">
        <v>829.2</v>
      </c>
    </row>
    <row r="44" spans="3:8" x14ac:dyDescent="0.35">
      <c r="G44" t="s">
        <v>2441</v>
      </c>
      <c r="H44" t="s">
        <v>2442</v>
      </c>
    </row>
    <row r="45" spans="3:8" x14ac:dyDescent="0.35">
      <c r="F45">
        <v>1979</v>
      </c>
      <c r="G45">
        <v>41.5</v>
      </c>
      <c r="H45">
        <v>6.5</v>
      </c>
    </row>
    <row r="46" spans="3:8" x14ac:dyDescent="0.35">
      <c r="F46">
        <v>1980</v>
      </c>
      <c r="G46">
        <v>40.700000000000003</v>
      </c>
      <c r="H46">
        <v>7.2</v>
      </c>
    </row>
    <row r="47" spans="3:8" x14ac:dyDescent="0.35">
      <c r="F47">
        <v>1981</v>
      </c>
      <c r="G47">
        <v>42.1</v>
      </c>
      <c r="H47">
        <v>4.7</v>
      </c>
    </row>
    <row r="48" spans="3:8" x14ac:dyDescent="0.35">
      <c r="F48">
        <v>1982</v>
      </c>
      <c r="G48">
        <v>40</v>
      </c>
      <c r="H48">
        <v>8.4</v>
      </c>
    </row>
    <row r="49" spans="6:8" x14ac:dyDescent="0.35">
      <c r="F49">
        <v>1983</v>
      </c>
      <c r="G49">
        <v>42.5</v>
      </c>
      <c r="H49">
        <v>6.4</v>
      </c>
    </row>
    <row r="50" spans="6:8" x14ac:dyDescent="0.35">
      <c r="F50">
        <v>1984</v>
      </c>
      <c r="G50">
        <v>41.3</v>
      </c>
      <c r="H50">
        <v>5.0999999999999996</v>
      </c>
    </row>
    <row r="51" spans="6:8" x14ac:dyDescent="0.35">
      <c r="F51">
        <v>1985</v>
      </c>
      <c r="G51">
        <v>41.9</v>
      </c>
      <c r="H51">
        <v>5.5</v>
      </c>
    </row>
    <row r="52" spans="6:8" x14ac:dyDescent="0.35">
      <c r="F52">
        <v>1986</v>
      </c>
      <c r="G52">
        <v>40.5</v>
      </c>
      <c r="H52">
        <v>5.9</v>
      </c>
    </row>
    <row r="53" spans="6:8" x14ac:dyDescent="0.35">
      <c r="F53">
        <v>1987</v>
      </c>
      <c r="G53">
        <v>41.6</v>
      </c>
      <c r="H53">
        <v>6.8</v>
      </c>
    </row>
    <row r="54" spans="6:8" x14ac:dyDescent="0.35">
      <c r="F54">
        <v>1988</v>
      </c>
      <c r="G54">
        <v>41.8</v>
      </c>
      <c r="H54">
        <v>7.1</v>
      </c>
    </row>
    <row r="55" spans="6:8" x14ac:dyDescent="0.35">
      <c r="F55">
        <v>1989</v>
      </c>
      <c r="G55">
        <v>41.3</v>
      </c>
      <c r="H55">
        <v>6.6</v>
      </c>
    </row>
    <row r="56" spans="6:8" x14ac:dyDescent="0.35">
      <c r="F56">
        <v>1990</v>
      </c>
      <c r="G56">
        <v>41.3</v>
      </c>
      <c r="H56">
        <v>6.7</v>
      </c>
    </row>
    <row r="57" spans="6:8" x14ac:dyDescent="0.35">
      <c r="F57">
        <v>1991</v>
      </c>
      <c r="G57">
        <v>41.5</v>
      </c>
      <c r="H57">
        <v>2.8</v>
      </c>
    </row>
    <row r="58" spans="6:8" x14ac:dyDescent="0.35">
      <c r="F58">
        <v>1992</v>
      </c>
      <c r="G58">
        <v>40.4</v>
      </c>
      <c r="H58">
        <v>5.0999999999999996</v>
      </c>
    </row>
    <row r="59" spans="6:8" x14ac:dyDescent="0.35">
      <c r="F59">
        <v>1993</v>
      </c>
      <c r="G59">
        <v>41.6</v>
      </c>
      <c r="H59">
        <v>4.5</v>
      </c>
    </row>
    <row r="60" spans="6:8" x14ac:dyDescent="0.35">
      <c r="F60">
        <v>1994</v>
      </c>
      <c r="G60">
        <v>40.6</v>
      </c>
      <c r="H60">
        <v>4.4000000000000004</v>
      </c>
    </row>
    <row r="61" spans="6:8" x14ac:dyDescent="0.35">
      <c r="F61">
        <v>1995</v>
      </c>
      <c r="G61">
        <v>40.700000000000003</v>
      </c>
      <c r="H61">
        <v>6.8</v>
      </c>
    </row>
    <row r="62" spans="6:8" x14ac:dyDescent="0.35">
      <c r="F62">
        <v>1996</v>
      </c>
      <c r="G62">
        <v>41.1</v>
      </c>
      <c r="H62">
        <v>6.1</v>
      </c>
    </row>
    <row r="63" spans="6:8" x14ac:dyDescent="0.35">
      <c r="F63">
        <v>1997</v>
      </c>
      <c r="G63">
        <v>40</v>
      </c>
      <c r="H63">
        <v>4.7</v>
      </c>
    </row>
    <row r="64" spans="6:8" x14ac:dyDescent="0.35">
      <c r="F64">
        <v>1998</v>
      </c>
      <c r="G64">
        <v>42.4</v>
      </c>
      <c r="H64">
        <v>6.1</v>
      </c>
    </row>
    <row r="65" spans="6:8" x14ac:dyDescent="0.35">
      <c r="F65">
        <v>1999</v>
      </c>
      <c r="G65">
        <v>41.2</v>
      </c>
      <c r="H65">
        <v>6.9</v>
      </c>
    </row>
    <row r="66" spans="6:8" x14ac:dyDescent="0.35">
      <c r="F66">
        <v>2000</v>
      </c>
      <c r="G66">
        <v>41.2</v>
      </c>
      <c r="H66">
        <v>5.6</v>
      </c>
    </row>
    <row r="67" spans="6:8" x14ac:dyDescent="0.35">
      <c r="F67">
        <v>2001</v>
      </c>
      <c r="G67">
        <v>42.1</v>
      </c>
      <c r="H67">
        <v>7.3</v>
      </c>
    </row>
    <row r="68" spans="6:8" x14ac:dyDescent="0.35">
      <c r="F68">
        <v>2002</v>
      </c>
      <c r="G68">
        <v>42.4</v>
      </c>
      <c r="H68">
        <v>5.5</v>
      </c>
    </row>
    <row r="69" spans="6:8" x14ac:dyDescent="0.35">
      <c r="F69">
        <v>2003</v>
      </c>
      <c r="G69">
        <v>42.4</v>
      </c>
      <c r="H69">
        <v>6.9</v>
      </c>
    </row>
    <row r="70" spans="6:8" x14ac:dyDescent="0.35">
      <c r="F70">
        <v>2004</v>
      </c>
      <c r="G70">
        <v>41.3</v>
      </c>
      <c r="H70">
        <v>7.3</v>
      </c>
    </row>
    <row r="71" spans="6:8" x14ac:dyDescent="0.35">
      <c r="F71">
        <v>2005</v>
      </c>
      <c r="G71">
        <v>41.8</v>
      </c>
      <c r="H71">
        <v>5.7</v>
      </c>
    </row>
    <row r="72" spans="6:8" x14ac:dyDescent="0.35">
      <c r="F72">
        <v>2006</v>
      </c>
      <c r="G72">
        <v>40.5</v>
      </c>
      <c r="H72" s="48">
        <v>4.7</v>
      </c>
    </row>
    <row r="73" spans="6:8" x14ac:dyDescent="0.35">
      <c r="F73">
        <v>2007</v>
      </c>
      <c r="G73">
        <v>41.9</v>
      </c>
      <c r="H73" s="48">
        <v>8.1999999999999993</v>
      </c>
    </row>
    <row r="74" spans="6:8" x14ac:dyDescent="0.35">
      <c r="F74">
        <v>2008</v>
      </c>
      <c r="G74">
        <v>42.1</v>
      </c>
      <c r="H74">
        <v>5.8</v>
      </c>
    </row>
    <row r="75" spans="6:8" x14ac:dyDescent="0.35">
      <c r="F75">
        <v>2009</v>
      </c>
      <c r="G75">
        <v>41.9</v>
      </c>
      <c r="H75">
        <v>6.5</v>
      </c>
    </row>
    <row r="76" spans="6:8" x14ac:dyDescent="0.35">
      <c r="F76">
        <v>2010</v>
      </c>
      <c r="G76">
        <v>41.5</v>
      </c>
      <c r="H76">
        <v>7.3</v>
      </c>
    </row>
    <row r="77" spans="6:8" x14ac:dyDescent="0.35">
      <c r="F77">
        <v>2011</v>
      </c>
      <c r="G77">
        <v>40.4</v>
      </c>
      <c r="H77">
        <v>5.3</v>
      </c>
    </row>
    <row r="78" spans="6:8" x14ac:dyDescent="0.35">
      <c r="F78">
        <v>2012</v>
      </c>
      <c r="G78">
        <v>39.9</v>
      </c>
      <c r="H78">
        <v>6.6</v>
      </c>
    </row>
    <row r="79" spans="6:8" x14ac:dyDescent="0.35">
      <c r="F79">
        <v>2013</v>
      </c>
      <c r="G79">
        <v>41.3</v>
      </c>
      <c r="H79">
        <v>6.8</v>
      </c>
    </row>
    <row r="80" spans="6:8" x14ac:dyDescent="0.35">
      <c r="F80">
        <v>2014</v>
      </c>
      <c r="G80">
        <v>40.700000000000003</v>
      </c>
      <c r="H80">
        <v>7.1</v>
      </c>
    </row>
    <row r="81" spans="6:8" x14ac:dyDescent="0.35">
      <c r="F81">
        <v>2015</v>
      </c>
      <c r="G81">
        <v>40.799999999999997</v>
      </c>
      <c r="H81">
        <v>6.6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Pro</vt:lpstr>
      <vt:lpstr>Data</vt:lpstr>
      <vt:lpstr>Final</vt:lpstr>
      <vt:lpstr>Final (2)</vt:lpstr>
      <vt:lpstr>graphs2014-15</vt:lpstr>
      <vt:lpstr>Sheet2</vt:lpstr>
      <vt:lpstr>Sheet3</vt:lpstr>
      <vt:lpstr>garphs 2015-16</vt:lpstr>
      <vt:lpstr>Final!Print_Titles</vt:lpstr>
      <vt:lpstr>'Final (2)'!Print_Titles</vt:lpstr>
    </vt:vector>
  </TitlesOfParts>
  <Company>IMD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</dc:creator>
  <cp:lastModifiedBy>Aditya Dembla</cp:lastModifiedBy>
  <cp:lastPrinted>2013-05-08T09:36:16Z</cp:lastPrinted>
  <dcterms:created xsi:type="dcterms:W3CDTF">2013-02-21T09:40:07Z</dcterms:created>
  <dcterms:modified xsi:type="dcterms:W3CDTF">2018-09-06T12:02:52Z</dcterms:modified>
</cp:coreProperties>
</file>